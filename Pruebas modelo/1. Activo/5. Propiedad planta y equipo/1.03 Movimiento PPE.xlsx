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5. Propiedad planta y equipo\"/>
    </mc:Choice>
  </mc:AlternateContent>
  <xr:revisionPtr revIDLastSave="0" documentId="13_ncr:1_{D64A9EBC-0D28-4A60-8639-7ACC9E6280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03" sheetId="1" r:id="rId1"/>
    <sheet name="Base de mayores 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">NA()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Excel_BuiltIn_Print_Area_1_1">#REF!</definedName>
    <definedName name="_1Sin_nombre">#REF!</definedName>
    <definedName name="_2Sin_nombre_3">#REF!</definedName>
    <definedName name="_3Sin_nombre">#REF!</definedName>
    <definedName name="_4Sin_nombre_0">#REF!</definedName>
    <definedName name="_5Sin_nombre_1">#REF!</definedName>
    <definedName name="_6Sin_nombre_2">#REF!</definedName>
    <definedName name="_7Sin_nombre_3">#REF!</definedName>
    <definedName name="_a">#REF!</definedName>
    <definedName name="_A70000">#REF!</definedName>
    <definedName name="_A99999">#REF!</definedName>
    <definedName name="_DAT2">#REF!</definedName>
    <definedName name="_F">[1]Datos!$B$1</definedName>
    <definedName name="_RSE2">#REF!</definedName>
    <definedName name="_W2">#REF!</definedName>
    <definedName name="a">#REF!</definedName>
    <definedName name="A_impresión_IM">#REF!</definedName>
    <definedName name="A_IMPRESIÓN_IM_1">#REF!</definedName>
    <definedName name="AC">#REF!</definedName>
    <definedName name="ACREEDORES">#REF!</definedName>
    <definedName name="anexo">#REF!</definedName>
    <definedName name="AportePat">[2]Datos!$B$3</definedName>
    <definedName name="AportePer">[2]Datos!$B$2</definedName>
    <definedName name="ARA_Threshold">#REF!</definedName>
    <definedName name="ARP_Threshold">#REF!</definedName>
    <definedName name="arreglo">#REF!</definedName>
    <definedName name="AS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d">#REF!</definedName>
    <definedName name="asfdasfa">#REF!</definedName>
    <definedName name="b">[3]Cartera!#REF!</definedName>
    <definedName name="BAL">#REF!</definedName>
    <definedName name="balance">#REF!</definedName>
    <definedName name="BASE">#REF!</definedName>
    <definedName name="BASE1">#REF!</definedName>
    <definedName name="BASE2">#REF!</definedName>
    <definedName name="BASE2001">#REF!</definedName>
    <definedName name="BASE3">#REF!</definedName>
    <definedName name="BASEBG2001">#REF!</definedName>
    <definedName name="BASEFECHA">[2]Datos!$A$6:$C$17</definedName>
    <definedName name="basic_level">'[4]Tabla del Límite'!$A$6:$C$11</definedName>
    <definedName name="BBBB">#REF!</definedName>
    <definedName name="Beg_Bal">#REF!</definedName>
    <definedName name="BG_Del">15</definedName>
    <definedName name="BG_Ins">4</definedName>
    <definedName name="BG_Mod">6</definedName>
    <definedName name="bosque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DMINISTRACION">#REF!</definedName>
    <definedName name="carlos">#REF!</definedName>
    <definedName name="CBASE">#REF!</definedName>
    <definedName name="cbodega">#REF!</definedName>
    <definedName name="cbordados">#REF!</definedName>
    <definedName name="ccamisas">#REF!</definedName>
    <definedName name="Cchofer">#REF!</definedName>
    <definedName name="ccorte">#REF!</definedName>
    <definedName name="cdiseño">#REF!</definedName>
    <definedName name="cguardia">#REF!</definedName>
    <definedName name="ClientName">#REF!</definedName>
    <definedName name="climpieza">#REF!</definedName>
    <definedName name="cmecanico">#REF!</definedName>
    <definedName name="COIMM">#REF!</definedName>
    <definedName name="Color">OFFSET(#REF!,MATCH(#REF!,#REF!,0)-1,0,1,1)</definedName>
    <definedName name="Componente">[2]Datos!$B$1</definedName>
    <definedName name="Conclusión">#REF!</definedName>
    <definedName name="Contab_Provision">#REF!</definedName>
    <definedName name="CPantalones">#REF!</definedName>
    <definedName name="csacos">#REF!</definedName>
    <definedName name="csecretaria">#REF!</definedName>
    <definedName name="cterminados">#REF!</definedName>
    <definedName name="Ctransporte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#REF!</definedName>
    <definedName name="da">#REF!</definedName>
    <definedName name="Data">#REF!</definedName>
    <definedName name="DBDA">[5]Hoja3!$Q$41</definedName>
    <definedName name="dd">#REF!</definedName>
    <definedName name="decimo14">[2]Datos!$B$4</definedName>
    <definedName name="detalle">#REF!</definedName>
    <definedName name="df">#REF!</definedName>
    <definedName name="dffd" localSheetId="0">Scheduled_Payment+Extra_Payment</definedName>
    <definedName name="dffd">Scheduled_Payment+Extra_Payment</definedName>
    <definedName name="DI">'[6]VEG. $ NEC'!#REF!</definedName>
    <definedName name="DICIEMBRE">[7]DICIEMBRE!$A$2:$G$67</definedName>
    <definedName name="DMEI">[5]Hoja2!$Q$41</definedName>
    <definedName name="DS2PLHeader">#REF!</definedName>
    <definedName name="DS7RevProdHeader">#REF!</definedName>
    <definedName name="DS9PLFuncHeader">#REF!</definedName>
    <definedName name="End_Bal">#REF!</definedName>
    <definedName name="EndFSPeriod">#REF!</definedName>
    <definedName name="Excel_BuiltIn__FilterDatabase_1">#REF!</definedName>
    <definedName name="Excel_BuiltIn__FilterDatabase_23">'[8]Cruce Renta vs Libros (YA)'!#REF!</definedName>
    <definedName name="Excel_BuiltIn_Database">#REF!</definedName>
    <definedName name="Excel_BuiltIn_Print_Area">#REF!</definedName>
    <definedName name="Excel_BuiltIn_Print_Area_1">#REF!</definedName>
    <definedName name="Excel_BuiltIn_Print_Titles">#REF!</definedName>
    <definedName name="Extra_Pay">#REF!</definedName>
    <definedName name="FBasica2">[2]Impuestos!$B$7</definedName>
    <definedName name="Fbasica3">[2]Impuestos!$B$8</definedName>
    <definedName name="Fbasica4">[2]Impuestos!$B$9</definedName>
    <definedName name="FBasica5">[2]Impuestos!$B$10</definedName>
    <definedName name="FBasica6">[2]Impuestos!$B$11</definedName>
    <definedName name="fecha">'[8]Concili. Bancarias (MI)'!$A$3</definedName>
    <definedName name="Fexceso2">[2]Impuestos!$C$7</definedName>
    <definedName name="FExceso3">[2]Impuestos!$C$8</definedName>
    <definedName name="FExceso4">[2]Impuestos!$C$9</definedName>
    <definedName name="FExceso5">[2]Impuestos!$C$10</definedName>
    <definedName name="FNUMERO">[2]Datos!$B$19</definedName>
    <definedName name="FolderItemNumber">#REF!</definedName>
    <definedName name="FolderItemTitle">#REF!</definedName>
    <definedName name="FTESFORE">#REF!</definedName>
    <definedName name="FTESYTD">#REF!</definedName>
    <definedName name="Full_Print">#REF!</definedName>
    <definedName name="g">#REF!</definedName>
    <definedName name="Header_Row">ROW(#REF!)</definedName>
    <definedName name="HOJA">#REF!</definedName>
    <definedName name="IBasica2">[2]Impuestos!$D$7</definedName>
    <definedName name="IBasica3">[2]Impuestos!$D$8</definedName>
    <definedName name="IBasica4">[2]Impuestos!$D$9</definedName>
    <definedName name="IBasica5">[2]Impuestos!$D$10</definedName>
    <definedName name="IBasica6">[2]Impuestos!$D$11</definedName>
    <definedName name="Iexceso2">[2]Impuestos!$E$7</definedName>
    <definedName name="Iexceso3">[2]Impuestos!$E$8</definedName>
    <definedName name="IExceso4">[2]Impuestos!$E$9</definedName>
    <definedName name="IExceso5">[2]Impuestos!$E$10</definedName>
    <definedName name="IExceso6">[2]Impuestos!$E$11</definedName>
    <definedName name="inicial">#REF!</definedName>
    <definedName name="Int">#REF!</definedName>
    <definedName name="INTANGIBLES">#REF!</definedName>
    <definedName name="Interest_Rate">#REF!</definedName>
    <definedName name="interm_level">'[4]Tabla del Límite'!$D$6:$F$11</definedName>
    <definedName name="J">#REF!</definedName>
    <definedName name="jj" localSheetId="0">Scheduled_Payment+Extra_Payment</definedName>
    <definedName name="jj">Scheduled_Payment+Extra_Payment</definedName>
    <definedName name="jjjjjj">OFFSET(#REF!,MATCH(#REF!,#REF!,0)-1,0,1,1)</definedName>
    <definedName name="JOSE">#REF!</definedName>
    <definedName name="L_AJE_Tot">[9]Links!$G$1:$G$65536</definedName>
    <definedName name="L_CY_Beg">[9]Links!$F$1:$F$65536</definedName>
    <definedName name="L_CY_End">[9]Links!$J$1:$J$65536</definedName>
    <definedName name="L_PY_End">[9]Links!$K$1:$K$65536</definedName>
    <definedName name="L_RJE_Tot">[9]Links!$I$1:$I$65536</definedName>
    <definedName name="Last_Row" localSheetId="0">IF('1.03'!Values_Entered,Header_Row+'1.03'!Number_of_Payments,Header_Row)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M">#REF!</definedName>
    <definedName name="MA">'[6]VEG. $ NEC'!#REF!</definedName>
    <definedName name="MANUWL">#REF!</definedName>
    <definedName name="MARIA">#REF!</definedName>
    <definedName name="MAS">#REF!</definedName>
    <definedName name="mayor">#REF!</definedName>
    <definedName name="mayorg">#REF!</definedName>
    <definedName name="mes">#REF!</definedName>
    <definedName name="MONEDA">#REF!</definedName>
    <definedName name="NOVIEMBRE">[7]NOVIEMBRE!$A$1:$G$50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MERICO">NA()</definedName>
    <definedName name="NUMERO">'[2]rol individual 1'!$I$1</definedName>
    <definedName name="NUMERO1">'[2]rol individual 1'!$I$2</definedName>
    <definedName name="NUMERO3">#REF!</definedName>
    <definedName name="NUMERO4">#REF!</definedName>
    <definedName name="Ñ">[1]Datos!$B$1</definedName>
    <definedName name="Observaciones">[10]A.01!$K$50:$K$53</definedName>
    <definedName name="octubre">[7]octubre!$A$1:$H$50</definedName>
    <definedName name="otros" localSheetId="0">{#N/A,#N/A,FALSE,"Aging Summary";#N/A,#N/A,FALSE,"Ratio Analysis";#N/A,#N/A,FALSE,"Test 120 Day Accts";#N/A,#N/A,FALSE,"Tickmarks"}</definedName>
    <definedName name="otros">{#N/A,#N/A,FALSE,"Aging Summary";#N/A,#N/A,FALSE,"Ratio Analysis";#N/A,#N/A,FALSE,"Test 120 Day Accts";#N/A,#N/A,FALSE,"Tickmarks"}</definedName>
    <definedName name="P">[1]Datos!$B$2</definedName>
    <definedName name="PAIS">#REF!</definedName>
    <definedName name="Pay_Date">#REF!</definedName>
    <definedName name="Pay_Num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COST">#REF!</definedName>
    <definedName name="PCOSTBYACTV">#REF!</definedName>
    <definedName name="pnot_fore">#REF!</definedName>
    <definedName name="pnot_month">#REF!</definedName>
    <definedName name="pnot_ytd">#REF!</definedName>
    <definedName name="PO">#REF!</definedName>
    <definedName name="PRANGE">#REF!</definedName>
    <definedName name="Princ">#REF!</definedName>
    <definedName name="Print_Area">#REF!</definedName>
    <definedName name="Print_Area_Reset" localSheetId="0">OFFSET(Full_Print,0,0,'1.03'!Last_Row)</definedName>
    <definedName name="Print_Area_Reset">OFFSET(Full_Print,0,0,Last_Row)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R_Factor">'[11]Threshold Table'!$A$2:$A$4</definedName>
    <definedName name="Ref_1">#REF!</definedName>
    <definedName name="Ref_10">'[12]Costo+Reexp'!#REF!</definedName>
    <definedName name="Ref_103">#REF!</definedName>
    <definedName name="Ref_104">#REF!</definedName>
    <definedName name="Ref_105">[13]Costo!#REF!</definedName>
    <definedName name="Ref_11">#REF!</definedName>
    <definedName name="Ref_12">'[12]Costo+Reexp'!#REF!</definedName>
    <definedName name="Ref_125">#REF!</definedName>
    <definedName name="Ref_126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[13]Costo!#REF!</definedName>
    <definedName name="Ref_136">[13]Dep.!#REF!</definedName>
    <definedName name="Ref_14">#REF!</definedName>
    <definedName name="Ref_15">#REF!</definedName>
    <definedName name="Ref_16">#REF!</definedName>
    <definedName name="Ref_17">#REF!</definedName>
    <definedName name="Ref_18">'[12]Costo+Reexp'!#REF!</definedName>
    <definedName name="Ref_19">#REF!</definedName>
    <definedName name="Ref_2">#REF!</definedName>
    <definedName name="Ref_20">#REF!</definedName>
    <definedName name="Ref_21">'[12]Costo+Reexp'!#REF!</definedName>
    <definedName name="Ref_22">#REF!</definedName>
    <definedName name="Ref_23">#REF!</definedName>
    <definedName name="Ref_24">#REF!</definedName>
    <definedName name="Ref_25">'[12]Costo+Reexp'!#REF!</definedName>
    <definedName name="Ref_26">#REF!</definedName>
    <definedName name="Ref_27">'[12]Costo+Reexp'!#REF!</definedName>
    <definedName name="Ref_28">#REF!</definedName>
    <definedName name="Ref_29">#REF!</definedName>
    <definedName name="Ref_3">[14]A!#REF!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'[12]Costo+Reexp'!#REF!</definedName>
    <definedName name="Ref_39">#REF!</definedName>
    <definedName name="Ref_4">#REF!</definedName>
    <definedName name="Ref_40">'[12]Costo+Reexp'!#REF!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'[12]Costo+Reexp'!#REF!</definedName>
    <definedName name="Ref_47">'[12]Costo+Reexp'!#REF!</definedName>
    <definedName name="Ref_48">'[12]Costo+Reexp'!#REF!</definedName>
    <definedName name="Ref_49">#REF!</definedName>
    <definedName name="Ref_5">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'[12]Costo+Reexp'!#REF!</definedName>
    <definedName name="Ref_60">#REF!</definedName>
    <definedName name="Ref_61">#REF!</definedName>
    <definedName name="Ref_62">'[12]Costo+Reexp'!#REF!</definedName>
    <definedName name="Ref_63">'[12]Costo+Reexp'!#REF!</definedName>
    <definedName name="Ref_64">#REF!</definedName>
    <definedName name="Ref_65">#REF!</definedName>
    <definedName name="Ref_66">'[12]Costo+Reexp'!#REF!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'[12]Costo+Reexp'!#REF!</definedName>
    <definedName name="Ref_8">#REF!</definedName>
    <definedName name="Ref_80">'[12]Costo+Reexp'!#REF!</definedName>
    <definedName name="Ref_84">[13]Costo!#REF!</definedName>
    <definedName name="Ref_85">[13]Costo!#REF!</definedName>
    <definedName name="Ref_86">[13]Costo!#REF!</definedName>
    <definedName name="Ref_87">[13]Costo!#REF!</definedName>
    <definedName name="Ref_88">[13]Costo!#REF!</definedName>
    <definedName name="Ref_89">[13]Costo!#REF!</definedName>
    <definedName name="Ref_9">#REF!</definedName>
    <definedName name="Ref_98">[13]Costo!#REF!</definedName>
    <definedName name="rev_fore">#REF!</definedName>
    <definedName name="rev_month">#REF!</definedName>
    <definedName name="rev_ytd">#REF!</definedName>
    <definedName name="S_AcctDes">#REF!</definedName>
    <definedName name="S_AcctNum">#REF!</definedName>
    <definedName name="S_Adjust">#REF!</definedName>
    <definedName name="S_Adjust_Data">[9]Lead!$I$1:$I$43</definedName>
    <definedName name="S_CY_Beg">#REF!</definedName>
    <definedName name="S_CY_End">#REF!</definedName>
    <definedName name="S_Diff_Amt">#REF!</definedName>
    <definedName name="S_Diff_Pct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PY_End">#REF!</definedName>
    <definedName name="S_PY_End_Data">[9]Lead!$N$1:$N$43</definedName>
    <definedName name="S_Total">#REF!</definedName>
    <definedName name="S_Total1">#REF!</definedName>
    <definedName name="S_Total2">#REF!</definedName>
    <definedName name="S_Total3">#REF!</definedName>
    <definedName name="SAL">#REF!</definedName>
    <definedName name="SAPBEXhrIndnt">1</definedName>
    <definedName name="SAPBEXrevision">9</definedName>
    <definedName name="SAPBEXsysID">"BL6"</definedName>
    <definedName name="SAPBEXwbID">"3US4CVJVAYMOMMXFQAGC0TC14"</definedName>
    <definedName name="Scale">[15]Options!$B$1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E">'[6]VEG. $ NEC'!#REF!</definedName>
    <definedName name="seppg">#REF!</definedName>
    <definedName name="SHARED_FORMULA_0">#REF!</definedName>
    <definedName name="SHARED_FORMULA_1">#REF!</definedName>
    <definedName name="SHARED_FORMULA_10">#REF!</definedName>
    <definedName name="SHARED_FORMULA_100">#REF!</definedName>
    <definedName name="SHARED_FORMULA_101">#REF!</definedName>
    <definedName name="SHARED_FORMULA_102">#REF!</definedName>
    <definedName name="SHARED_FORMULA_103">#REF!</definedName>
    <definedName name="SHARED_FORMULA_104">#REF!</definedName>
    <definedName name="SHARED_FORMULA_105">#REF!</definedName>
    <definedName name="SHARED_FORMULA_106">#REF!</definedName>
    <definedName name="SHARED_FORMULA_107">#REF!</definedName>
    <definedName name="SHARED_FORMULA_108">#REF!</definedName>
    <definedName name="SHARED_FORMULA_109">#REF!</definedName>
    <definedName name="SHARED_FORMULA_11">#REF!</definedName>
    <definedName name="SHARED_FORMULA_110">#REF!</definedName>
    <definedName name="SHARED_FORMULA_111">#REF!</definedName>
    <definedName name="SHARED_FORMULA_112">#REF!</definedName>
    <definedName name="SHARED_FORMULA_113">#REF!</definedName>
    <definedName name="SHARED_FORMULA_114">#REF!</definedName>
    <definedName name="SHARED_FORMULA_115">#REF!</definedName>
    <definedName name="SHARED_FORMULA_116">#REF!</definedName>
    <definedName name="SHARED_FORMULA_117">#REF!</definedName>
    <definedName name="SHARED_FORMULA_118">#REF!</definedName>
    <definedName name="SHARED_FORMULA_119">#REF!</definedName>
    <definedName name="SHARED_FORMULA_12">#REF!</definedName>
    <definedName name="SHARED_FORMULA_120">#REF!</definedName>
    <definedName name="SHARED_FORMULA_121">#REF!</definedName>
    <definedName name="SHARED_FORMULA_122">#REF!</definedName>
    <definedName name="SHARED_FORMULA_123">#REF!</definedName>
    <definedName name="SHARED_FORMULA_124">#REF!</definedName>
    <definedName name="SHARED_FORMULA_125">#REF!</definedName>
    <definedName name="SHARED_FORMULA_126">#REF!</definedName>
    <definedName name="SHARED_FORMULA_127">#REF!</definedName>
    <definedName name="SHARED_FORMULA_128">#REF!</definedName>
    <definedName name="SHARED_FORMULA_129">#REF!</definedName>
    <definedName name="SHARED_FORMULA_13">#REF!</definedName>
    <definedName name="SHARED_FORMULA_130">#REF!</definedName>
    <definedName name="SHARED_FORMULA_131">#REF!</definedName>
    <definedName name="SHARED_FORMULA_132">#REF!</definedName>
    <definedName name="SHARED_FORMULA_133">#REF!</definedName>
    <definedName name="SHARED_FORMULA_134">#REF!</definedName>
    <definedName name="SHARED_FORMULA_135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63">#REF!</definedName>
    <definedName name="SHARED_FORMULA_64">#REF!</definedName>
    <definedName name="SHARED_FORMULA_65">#REF!</definedName>
    <definedName name="SHARED_FORMULA_66">#REF!</definedName>
    <definedName name="SHARED_FORMULA_67">#REF!</definedName>
    <definedName name="SHARED_FORMULA_68">#REF!</definedName>
    <definedName name="SHARED_FORMULA_69">#REF!</definedName>
    <definedName name="SHARED_FORMULA_7">#REF!</definedName>
    <definedName name="SHARED_FORMULA_70">#REF!</definedName>
    <definedName name="SHARED_FORMULA_71">#REF!</definedName>
    <definedName name="SHARED_FORMULA_72">#REF!</definedName>
    <definedName name="SHARED_FORMULA_73">#REF!</definedName>
    <definedName name="SHARED_FORMULA_74">#REF!</definedName>
    <definedName name="SHARED_FORMULA_75">#REF!</definedName>
    <definedName name="SHARED_FORMULA_76">#REF!</definedName>
    <definedName name="SHARED_FORMULA_77">#REF!</definedName>
    <definedName name="SHARED_FORMULA_78">#REF!</definedName>
    <definedName name="SHARED_FORMULA_79">#REF!</definedName>
    <definedName name="SHARED_FORMULA_8">#REF!</definedName>
    <definedName name="SHARED_FORMULA_80">#REF!</definedName>
    <definedName name="SHARED_FORMULA_81">#REF!</definedName>
    <definedName name="SHARED_FORMULA_82">#REF!</definedName>
    <definedName name="SHARED_FORMULA_83">#REF!</definedName>
    <definedName name="SHARED_FORMULA_84">#REF!</definedName>
    <definedName name="SHARED_FORMULA_85">#REF!</definedName>
    <definedName name="SHARED_FORMULA_86">#REF!</definedName>
    <definedName name="SHARED_FORMULA_87">#REF!</definedName>
    <definedName name="SHARED_FORMULA_88">#REF!</definedName>
    <definedName name="SHARED_FORMULA_89">#REF!</definedName>
    <definedName name="SHARED_FORMULA_9">#REF!</definedName>
    <definedName name="SHARED_FORMULA_90">#REF!</definedName>
    <definedName name="SHARED_FORMULA_91">#REF!</definedName>
    <definedName name="SHARED_FORMULA_92">#REF!</definedName>
    <definedName name="SHARED_FORMULA_93">#REF!</definedName>
    <definedName name="SHARED_FORMULA_94">#REF!</definedName>
    <definedName name="SHARED_FORMULA_95">#REF!</definedName>
    <definedName name="SHARED_FORMULA_96">#REF!</definedName>
    <definedName name="SHARED_FORMULA_97">#REF!</definedName>
    <definedName name="SHARED_FORMULA_98">#REF!</definedName>
    <definedName name="SHARED_FORMULA_99">#REF!</definedName>
    <definedName name="sil">#REF!</definedName>
    <definedName name="Sin_nombre">#REF!</definedName>
    <definedName name="Sin_nombre_3">#REF!</definedName>
    <definedName name="Tax_Rate">#REF!</definedName>
    <definedName name="TEST1">#REF!</definedName>
    <definedName name="TESTHKEY">#REF!</definedName>
    <definedName name="TESTKEYS">#REF!</definedName>
    <definedName name="TESTVKEY">#REF!</definedName>
    <definedName name="TextRefCopy1">'[12]Costo+Reexp'!#REF!</definedName>
    <definedName name="TextRefCopy1_15">#REF!</definedName>
    <definedName name="TextRefCopy1_16">#REF!</definedName>
    <definedName name="TextRefCopy1_2">#REF!</definedName>
    <definedName name="TextRefCopy1_3">#REF!</definedName>
    <definedName name="TextRefCopy10">#REF!</definedName>
    <definedName name="TextRefCopy10_15">#REF!</definedName>
    <definedName name="TextRefCopy10_16">#REF!</definedName>
    <definedName name="TextRefCopy10_2">#REF!</definedName>
    <definedName name="TextRefCopy10_3">#REF!</definedName>
    <definedName name="TextRefCopy11">#REF!</definedName>
    <definedName name="TextRefCopy11_15">#REF!</definedName>
    <definedName name="TextRefCopy11_16">#REF!</definedName>
    <definedName name="TextRefCopy11_2">#REF!</definedName>
    <definedName name="TextRefCopy11_3">#REF!</definedName>
    <definedName name="TextRefCopy12">#REF!</definedName>
    <definedName name="TextRefCopy12_15">#REF!</definedName>
    <definedName name="TextRefCopy12_16">#REF!</definedName>
    <definedName name="TextRefCopy12_2">#REF!</definedName>
    <definedName name="TextRefCopy12_3">#REF!</definedName>
    <definedName name="TextRefCopy13">#REF!</definedName>
    <definedName name="TextRefCopy13_15">#REF!</definedName>
    <definedName name="TextRefCopy13_16">#REF!</definedName>
    <definedName name="TextRefCopy13_2">#REF!</definedName>
    <definedName name="TextRefCopy13_3">#REF!</definedName>
    <definedName name="TextRefCopy14">#REF!</definedName>
    <definedName name="TextRefCopy15">'[16]Anexo 4'!#REF!</definedName>
    <definedName name="TextRefCopy15_15">#REF!</definedName>
    <definedName name="TextRefCopy15_16">#REF!</definedName>
    <definedName name="TextRefCopy15_2">#REF!</definedName>
    <definedName name="TextRefCopy15_3">#REF!</definedName>
    <definedName name="TextRefCopy16">'[12]Costo+Reexp'!#REF!</definedName>
    <definedName name="TextRefCopy17">'[12]Costo+Reexp'!#REF!</definedName>
    <definedName name="TextRefCopy18">'[12]Costo+Reexp'!#REF!</definedName>
    <definedName name="TextRefCopy2">'[12]Costo+Reexp'!#REF!</definedName>
    <definedName name="TextRefCopy2_15">#REF!</definedName>
    <definedName name="TextRefCopy2_16">#REF!</definedName>
    <definedName name="TextRefCopy2_2">#REF!</definedName>
    <definedName name="TextRefCopy2_3">#REF!</definedName>
    <definedName name="TextRefCopy20">'[12]Costo+Reexp'!#REF!</definedName>
    <definedName name="TextRefCopy21">'[12]Costo+Reexp'!#REF!</definedName>
    <definedName name="TextRefCopy22">'[12]Costo+Reexp'!#REF!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'[12]Costo+Reexp'!#REF!</definedName>
    <definedName name="TextRefCopy3_15">#REF!</definedName>
    <definedName name="TextRefCopy3_16">#REF!</definedName>
    <definedName name="TextRefCopy3_2">#REF!</definedName>
    <definedName name="TextRefCopy3_3">#REF!</definedName>
    <definedName name="TextRefCopy30">#REF!</definedName>
    <definedName name="TextRefCopy31">#REF!</definedName>
    <definedName name="TextRefCopy32">'[17]Nota a los Estados Financieros'!#REF!</definedName>
    <definedName name="TextRefCopy34">#REF!</definedName>
    <definedName name="TextRefCopy39">#REF!</definedName>
    <definedName name="TextRefCopy4">'[12]Costo+Reexp'!#REF!</definedName>
    <definedName name="TextRefCopy4_15">#REF!</definedName>
    <definedName name="TextRefCopy4_16">#REF!</definedName>
    <definedName name="TextRefCopy4_2">#REF!</definedName>
    <definedName name="TextRefCopy4_3">#REF!</definedName>
    <definedName name="TextRefCopy42">#REF!</definedName>
    <definedName name="TextRefCopy43">[18]Detalle!$G$2</definedName>
    <definedName name="TextRefCopy44">'[19]Cálculo S. I.'!$U$55</definedName>
    <definedName name="TextRefCopy44_15">#REF!</definedName>
    <definedName name="TextRefCopy44_16">#REF!</definedName>
    <definedName name="TextRefCopy44_2">#REF!</definedName>
    <definedName name="TextRefCopy44_23">#REF!</definedName>
    <definedName name="TextRefCopy44_3">#REF!</definedName>
    <definedName name="TextRefCopy45">'[16]Anexo 4'!#REF!</definedName>
    <definedName name="TextRefCopy47">#REF!</definedName>
    <definedName name="TextRefCopy49">'[16]Anexo 4'!#REF!</definedName>
    <definedName name="TextRefCopy5">#REF!</definedName>
    <definedName name="TextRefCopy50">'[17]Deprec. {PPC}'!#REF!</definedName>
    <definedName name="TextRefCopy51">#REF!</definedName>
    <definedName name="TextRefCopy52">'[17]Deprec. {PPC}'!#REF!</definedName>
    <definedName name="TextRefCopy53">'[17]Deprec. {PPC}'!#REF!</definedName>
    <definedName name="TextRefCopy6">#REF!</definedName>
    <definedName name="TextRefCopy6_15">#REF!</definedName>
    <definedName name="TextRefCopy6_16">#REF!</definedName>
    <definedName name="TextRefCopy6_2">#REF!</definedName>
    <definedName name="TextRefCopy6_3">#REF!</definedName>
    <definedName name="TextRefCopy69">#REF!</definedName>
    <definedName name="TextRefCopy7">'[16]Anexo 4'!#REF!</definedName>
    <definedName name="TextRefCopy7_15">#REF!</definedName>
    <definedName name="TextRefCopy7_16">#REF!</definedName>
    <definedName name="TextRefCopy7_2">#REF!</definedName>
    <definedName name="TextRefCopy7_3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'[16]Anexo 4'!#REF!</definedName>
    <definedName name="TextRefCopy8_15">#REF!</definedName>
    <definedName name="TextRefCopy8_16">#REF!</definedName>
    <definedName name="TextRefCopy8_2">#REF!</definedName>
    <definedName name="TextRefCopy8_3">#REF!</definedName>
    <definedName name="TextRefCopy9">#REF!</definedName>
    <definedName name="TextRefCopy9_15">#REF!</definedName>
    <definedName name="TextRefCopy9_16">#REF!</definedName>
    <definedName name="TextRefCopy9_2">#REF!</definedName>
    <definedName name="TextRefCopy9_3">#REF!</definedName>
    <definedName name="TextRefCopyRangeCount">6</definedName>
    <definedName name="tg" localSheetId="0">DATE(YEAR(Loan_Start),MONTH(Loan_Start)+Payment_Number,DAY(Loan_Start))</definedName>
    <definedName name="tg">DATE(YEAR(Loan_Start),MONTH(Loan_Start)+Payment_Number,DAY(Loan_Start))</definedName>
    <definedName name="th" localSheetId="0">DATE(YEAR(Loan_Start),MONTH(Loan_Start)+Payment_Number,DAY(Loan_Start))</definedName>
    <definedName name="th">DATE(YEAR(Loan_Start),MONTH(Loan_Start)+Payment_Number,DAY(Loan_Start))</definedName>
    <definedName name="TIPO">#REF!</definedName>
    <definedName name="TN" localSheetId="0">DATE(YEAR(Loan_Start),MONTH(Loan_Start)+Payment_Number,DAY(Loan_Start))</definedName>
    <definedName name="TN">DATE(YEAR(Loan_Start),MONTH(Loan_Start)+Payment_Number,DAY(Loan_Start))</definedName>
    <definedName name="Total_Amount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C">#REF!</definedName>
    <definedName name="verito">2</definedName>
    <definedName name="VM">#REF!</definedName>
    <definedName name="W">[1]Datos!$A$6:$C$17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WW">#REF!</definedName>
    <definedName name="XREF_COLUMN_11">#REF!</definedName>
    <definedName name="XREF_COLUMN_13">#REF!</definedName>
    <definedName name="XREF_COLUMN_14">#REF!</definedName>
    <definedName name="XREF_COLUMN_16">'[20]Análisis IVA'!#REF!</definedName>
    <definedName name="XREF_COLUMN_17">'[20]Análisis IVA'!#REF!</definedName>
    <definedName name="XREF_COLUMN_18">'[20]Análisis IVA'!#REF!</definedName>
    <definedName name="XREF_COLUMN_19">#REF!</definedName>
    <definedName name="XREF_COLUMN_21">#REF!</definedName>
    <definedName name="XREF_COLUMN_22">#REF!</definedName>
    <definedName name="XREF_COLUMN_28">[21]Detalle!#REF!</definedName>
    <definedName name="XREF_COLUMN_29">[21]Detalle!#REF!</definedName>
    <definedName name="XREF_COLUMN_3">'[22]Análisis Ret Fuente'!#REF!</definedName>
    <definedName name="XREF_COLUMN_9">'[23]Varios dólares'!#REF!</definedName>
    <definedName name="XRefActiveRow">#REF!</definedName>
    <definedName name="XRefColumnsCount">18</definedName>
    <definedName name="XRefCopy1Row">[20]XREF!#REF!</definedName>
    <definedName name="XRefCopy35Row">#REF!</definedName>
    <definedName name="XRefCopy36Row">#REF!</definedName>
    <definedName name="XRefCopy37Row">#REF!</definedName>
    <definedName name="XRefCopy38Row">#REF!</definedName>
    <definedName name="XRefCopy39Row">#REF!</definedName>
    <definedName name="XRefCopy3Row">[24]XREF!#REF!</definedName>
    <definedName name="XRefCopy43Row">#REF!</definedName>
    <definedName name="XRefCopy4Row">#REF!</definedName>
    <definedName name="XRefCopy5">#REF!</definedName>
    <definedName name="XRefCopyRangeCount">1</definedName>
    <definedName name="XRefPaste10Row">[20]XREF!#REF!</definedName>
    <definedName name="XRefPaste11Row">[20]XREF!#REF!</definedName>
    <definedName name="XRefPaste14">#REF!</definedName>
    <definedName name="XRefPaste14Row">#REF!</definedName>
    <definedName name="XRefPaste16">#REF!</definedName>
    <definedName name="XRefPaste17">#REF!</definedName>
    <definedName name="XRefPaste18">#REF!</definedName>
    <definedName name="XRefPaste19">#REF!</definedName>
    <definedName name="XRefPaste1Row">#REF!</definedName>
    <definedName name="XRefPaste20">#REF!</definedName>
    <definedName name="XRefPaste21">#REF!</definedName>
    <definedName name="XRefPaste22">#REF!</definedName>
    <definedName name="XRefPaste22Row">#REF!</definedName>
    <definedName name="XRefPaste28">#REF!</definedName>
    <definedName name="XRefPaste29">#REF!</definedName>
    <definedName name="XRefPaste3">#REF!</definedName>
    <definedName name="XRefPaste31">#REF!</definedName>
    <definedName name="XRefPaste32">#REF!</definedName>
    <definedName name="XRefPaste33">#REF!</definedName>
    <definedName name="XRefPaste34">#REF!</definedName>
    <definedName name="XRefPaste35">#REF!</definedName>
    <definedName name="XRefPaste36">#REF!</definedName>
    <definedName name="XRefPaste37">#REF!</definedName>
    <definedName name="XRefPaste38">#REF!</definedName>
    <definedName name="XRefPaste39">#REF!</definedName>
    <definedName name="XRefPaste3Row">#REF!</definedName>
    <definedName name="XRefPaste4Row">[20]XREF!#REF!</definedName>
    <definedName name="XRefPaste9Row">[20]XREF!#REF!</definedName>
    <definedName name="XRefPasteRangeCount">22</definedName>
    <definedName name="XXX" localSheetId="0">OFFSET(Full_Print,0,0,'1.03'!Last_Row)</definedName>
    <definedName name="XXX">OFFSET(Full_Print,0,0,Last_Row)</definedName>
    <definedName name="Z">[25]A!$1:$14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1" roundtripDataChecksum="Dt2SlvfZ0dh+oofAYm1dpyvLbo2tyVt6lOl3JYh6PFI="/>
    </ext>
  </extLst>
</workbook>
</file>

<file path=xl/calcChain.xml><?xml version="1.0" encoding="utf-8"?>
<calcChain xmlns="http://schemas.openxmlformats.org/spreadsheetml/2006/main">
  <c r="G46" i="1" l="1"/>
  <c r="H37" i="1"/>
  <c r="D100" i="1" l="1"/>
  <c r="D87" i="1"/>
  <c r="D75" i="1"/>
  <c r="G63" i="1"/>
  <c r="F63" i="1"/>
  <c r="E63" i="1"/>
  <c r="D102" i="1" s="1"/>
  <c r="D63" i="1"/>
  <c r="H61" i="1"/>
  <c r="H60" i="1"/>
  <c r="H59" i="1"/>
  <c r="H58" i="1"/>
  <c r="H57" i="1"/>
  <c r="H56" i="1"/>
  <c r="H55" i="1"/>
  <c r="F46" i="1"/>
  <c r="E46" i="1"/>
  <c r="D46" i="1"/>
  <c r="H44" i="1"/>
  <c r="H43" i="1"/>
  <c r="H42" i="1"/>
  <c r="H41" i="1"/>
  <c r="H40" i="1"/>
  <c r="H39" i="1"/>
  <c r="H38" i="1"/>
  <c r="H46" i="1" s="1"/>
  <c r="D77" i="1" l="1"/>
  <c r="H63" i="1"/>
  <c r="D89" i="1" s="1"/>
  <c r="D90" i="1" s="1"/>
  <c r="D103" i="1"/>
  <c r="D78" i="1"/>
</calcChain>
</file>

<file path=xl/sharedStrings.xml><?xml version="1.0" encoding="utf-8"?>
<sst xmlns="http://schemas.openxmlformats.org/spreadsheetml/2006/main" count="104" uniqueCount="74">
  <si>
    <t>Preparado por:</t>
  </si>
  <si>
    <t>Revisado por:</t>
  </si>
  <si>
    <t>Ref.</t>
  </si>
  <si>
    <t>XX</t>
  </si>
  <si>
    <t>1.03</t>
  </si>
  <si>
    <t>COMPAÑÍA MODELO S.A.</t>
  </si>
  <si>
    <t>MOVIMIENTO DE PROPIEDAD, PLANTA Y EQUIPO</t>
  </si>
  <si>
    <t>AL 31 DE DICIEMBRE DE 20XX</t>
  </si>
  <si>
    <t>FECHA DE CORTE: _/_/20XX</t>
  </si>
  <si>
    <t xml:space="preserve">Objetivo: 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</si>
  <si>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</si>
  <si>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</si>
  <si>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</si>
  <si>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</si>
  <si>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</si>
  <si>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</si>
  <si>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</si>
  <si>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1.-</t>
  </si>
  <si>
    <t>2.-</t>
  </si>
  <si>
    <t>3.-</t>
  </si>
  <si>
    <t>4.-</t>
  </si>
  <si>
    <t>5.-</t>
  </si>
  <si>
    <t xml:space="preserve">Desarrollo: </t>
  </si>
  <si>
    <t>Movimiento del costo</t>
  </si>
  <si>
    <t>Código cuenta contable</t>
  </si>
  <si>
    <t>Nombre cuenta contable</t>
  </si>
  <si>
    <t>Saldo según EEFF al  _/_/20xx</t>
  </si>
  <si>
    <t>Adiciones</t>
  </si>
  <si>
    <t>Reversos</t>
  </si>
  <si>
    <t>p/t 1.05</t>
  </si>
  <si>
    <t>p/t 1</t>
  </si>
  <si>
    <t>Movimiento depreciación acumulada</t>
  </si>
  <si>
    <t>Ajustes</t>
  </si>
  <si>
    <t>Cruce con estados financieros</t>
  </si>
  <si>
    <t>Saldo según EEFF al _/_/20xx</t>
  </si>
  <si>
    <t>Saldo según movimiento</t>
  </si>
  <si>
    <t>Diferencia</t>
  </si>
  <si>
    <t>3) Cruce del gasto depreciación vs estado de resultados</t>
  </si>
  <si>
    <t>p/t 1600</t>
  </si>
  <si>
    <t>Marcas de auditoría:</t>
  </si>
  <si>
    <t>Tomado de mayores contables al 31/xx/20xx (Año de revisión)</t>
  </si>
  <si>
    <t>Según Estado Financiero al 31/12/202x (Año de revisión)</t>
  </si>
  <si>
    <t>Cálculos de Auditoría</t>
  </si>
  <si>
    <t xml:space="preserve">Sumatoria </t>
  </si>
  <si>
    <t>A</t>
  </si>
  <si>
    <t>B</t>
  </si>
  <si>
    <t>C</t>
  </si>
  <si>
    <t xml:space="preserve">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</si>
  <si>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</si>
  <si>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</si>
  <si>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</si>
  <si>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</si>
  <si>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</si>
  <si>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</si>
  <si>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</si>
  <si>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</si>
  <si>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</si>
  <si>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***Base de mayores con la que se efectua el movimieto</t>
  </si>
  <si>
    <t>*** (Concluir en función al objetivo)</t>
  </si>
  <si>
    <t>Identificar el tipo de transacciones que se han registrado en la cuenta de propiedad, planta y equipo al _/_/20XX.</t>
  </si>
  <si>
    <t>1) Cruce del costo vs estado de situación financiera</t>
  </si>
  <si>
    <t>2) Cruce de la depreciación acumulada vs estado de situación financiera</t>
  </si>
  <si>
    <t>Verificaciones:</t>
  </si>
  <si>
    <t>Ventas / bajas</t>
  </si>
  <si>
    <t>Conciliar íntegramente el saldo final del movimiento con estados financieros.</t>
  </si>
  <si>
    <t>Documentar el papel de trabajo y concluir en base al objetivo.</t>
  </si>
  <si>
    <t>Clasificar los movimientos en el mayor contable de la cuenta propiedad, planta y equipo.</t>
  </si>
  <si>
    <t>Solicitar a la Compañía los mayores contables al _/_/20XX.</t>
  </si>
  <si>
    <t>Solicitar a la Compañía los estados financieros al _/_/20XX.</t>
  </si>
  <si>
    <t>p/t 1.08</t>
  </si>
  <si>
    <t xml:space="preserve">Procedimientos: </t>
  </si>
  <si>
    <t>[1]</t>
  </si>
  <si>
    <t>Según Estado Financiero al 31/12/202x (Año anterior)</t>
  </si>
  <si>
    <t>Saldo según movimiento al  _/_/20xx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</si>
</sst>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  <numFmt numFmtId="167" formatCode="_(* #,##0.000_);_(* \(#,##0.000\);_(* &quot;-&quot;??_);_(@_)"/>
    <numFmt numFmtId="168" formatCode="_(* #,##0_);_(* \(#,##0\);_(* &quot;-&quot;_);_(@_)"/>
  </numFmts>
  <fonts count="18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rgb="FF002060"/>
      <name val="Tahoma"/>
      <family val="2"/>
    </font>
    <font>
      <sz val="10"/>
      <color rgb="FFFF0000"/>
      <name val="Tahoma"/>
      <family val="2"/>
    </font>
    <font>
      <sz val="11"/>
      <color theme="1"/>
      <name val="Calibri"/>
      <family val="2"/>
    </font>
    <font>
      <b/>
      <u/>
      <sz val="10"/>
      <color rgb="FF0000CC"/>
      <name val="Tahoma"/>
      <family val="2"/>
    </font>
    <font>
      <sz val="11"/>
      <name val="Calibri"/>
      <family val="2"/>
    </font>
    <font>
      <b/>
      <sz val="10"/>
      <color rgb="FF0000FF"/>
      <name val="Tahoma"/>
      <family val="2"/>
    </font>
    <font>
      <b/>
      <sz val="10"/>
      <color theme="0"/>
      <name val="Tahoma"/>
      <family val="2"/>
    </font>
    <font>
      <b/>
      <sz val="10"/>
      <color rgb="FFFF0000"/>
      <name val="Marlett"/>
      <charset val="2"/>
    </font>
    <font>
      <b/>
      <u/>
      <sz val="10"/>
      <color rgb="FF0000FF"/>
      <name val="Tahoma"/>
      <family val="2"/>
    </font>
    <font>
      <sz val="10"/>
      <color rgb="FF0000FF"/>
      <name val="Tahoma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9CC2E5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8"/>
  </cellStyleXfs>
  <cellXfs count="116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/>
    <xf numFmtId="0" fontId="2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/>
    <xf numFmtId="164" fontId="4" fillId="0" borderId="0" xfId="0" applyNumberFormat="1" applyFont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6" fillId="0" borderId="0" xfId="0" applyFont="1"/>
    <xf numFmtId="0" fontId="6" fillId="2" borderId="1" xfId="0" applyFont="1" applyFill="1" applyBorder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/>
    <xf numFmtId="0" fontId="1" fillId="0" borderId="2" xfId="0" applyFont="1" applyBorder="1" applyAlignment="1">
      <alignment horizontal="center"/>
    </xf>
    <xf numFmtId="164" fontId="1" fillId="0" borderId="0" xfId="0" applyNumberFormat="1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" fillId="2" borderId="1" xfId="0" applyNumberFormat="1" applyFont="1" applyFill="1" applyBorder="1"/>
    <xf numFmtId="164" fontId="7" fillId="0" borderId="0" xfId="0" applyNumberFormat="1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64" fontId="4" fillId="2" borderId="1" xfId="0" applyNumberFormat="1" applyFont="1" applyFill="1" applyBorder="1"/>
    <xf numFmtId="164" fontId="2" fillId="0" borderId="0" xfId="0" applyNumberFormat="1" applyFont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/>
    </xf>
    <xf numFmtId="43" fontId="1" fillId="0" borderId="2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/>
    <xf numFmtId="1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/>
    <xf numFmtId="1" fontId="1" fillId="2" borderId="1" xfId="0" applyNumberFormat="1" applyFont="1" applyFill="1" applyBorder="1" applyAlignment="1">
      <alignment horizontal="center"/>
    </xf>
    <xf numFmtId="43" fontId="1" fillId="2" borderId="1" xfId="0" applyNumberFormat="1" applyFont="1" applyFill="1" applyBorder="1"/>
    <xf numFmtId="165" fontId="1" fillId="2" borderId="1" xfId="0" applyNumberFormat="1" applyFont="1" applyFill="1" applyBorder="1"/>
    <xf numFmtId="0" fontId="9" fillId="2" borderId="1" xfId="0" applyFont="1" applyFill="1" applyBorder="1"/>
    <xf numFmtId="164" fontId="4" fillId="0" borderId="6" xfId="0" applyNumberFormat="1" applyFont="1" applyBorder="1"/>
    <xf numFmtId="0" fontId="10" fillId="4" borderId="1" xfId="0" applyFont="1" applyFill="1" applyBorder="1"/>
    <xf numFmtId="49" fontId="8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0" xfId="0" applyFont="1"/>
    <xf numFmtId="1" fontId="1" fillId="0" borderId="2" xfId="0" applyNumberFormat="1" applyFont="1" applyBorder="1" applyAlignment="1">
      <alignment horizontal="left"/>
    </xf>
    <xf numFmtId="166" fontId="1" fillId="0" borderId="2" xfId="0" applyNumberFormat="1" applyFont="1" applyBorder="1"/>
    <xf numFmtId="165" fontId="1" fillId="0" borderId="2" xfId="0" applyNumberFormat="1" applyFont="1" applyBorder="1"/>
    <xf numFmtId="4" fontId="9" fillId="0" borderId="2" xfId="0" applyNumberFormat="1" applyFont="1" applyBorder="1"/>
    <xf numFmtId="167" fontId="1" fillId="0" borderId="2" xfId="0" applyNumberFormat="1" applyFont="1" applyBorder="1"/>
    <xf numFmtId="164" fontId="1" fillId="2" borderId="1" xfId="0" applyNumberFormat="1" applyFont="1" applyFill="1" applyBorder="1" applyAlignment="1">
      <alignment horizontal="left" vertical="center" wrapText="1"/>
    </xf>
    <xf numFmtId="164" fontId="4" fillId="2" borderId="9" xfId="0" applyNumberFormat="1" applyFont="1" applyFill="1" applyBorder="1"/>
    <xf numFmtId="165" fontId="4" fillId="2" borderId="9" xfId="0" applyNumberFormat="1" applyFont="1" applyFill="1" applyBorder="1"/>
    <xf numFmtId="0" fontId="12" fillId="2" borderId="1" xfId="0" applyFont="1" applyFill="1" applyBorder="1" applyAlignment="1">
      <alignment horizontal="center"/>
    </xf>
    <xf numFmtId="166" fontId="1" fillId="2" borderId="2" xfId="0" applyNumberFormat="1" applyFont="1" applyFill="1" applyBorder="1"/>
    <xf numFmtId="166" fontId="1" fillId="2" borderId="9" xfId="0" applyNumberFormat="1" applyFont="1" applyFill="1" applyBorder="1"/>
    <xf numFmtId="164" fontId="3" fillId="0" borderId="0" xfId="0" applyNumberFormat="1" applyFont="1"/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right"/>
    </xf>
    <xf numFmtId="168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right"/>
    </xf>
    <xf numFmtId="168" fontId="3" fillId="2" borderId="1" xfId="0" applyNumberFormat="1" applyFont="1" applyFill="1" applyBorder="1" applyAlignment="1">
      <alignment horizontal="right"/>
    </xf>
    <xf numFmtId="0" fontId="3" fillId="0" borderId="0" xfId="0" applyFont="1"/>
    <xf numFmtId="0" fontId="15" fillId="2" borderId="1" xfId="0" applyFont="1" applyFill="1" applyBorder="1"/>
    <xf numFmtId="0" fontId="3" fillId="0" borderId="0" xfId="0" applyFont="1" applyAlignment="1">
      <alignment horizontal="center"/>
    </xf>
    <xf numFmtId="164" fontId="16" fillId="0" borderId="0" xfId="0" applyNumberFormat="1" applyFont="1" applyAlignment="1">
      <alignment horizontal="right"/>
    </xf>
    <xf numFmtId="164" fontId="16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8" fillId="0" borderId="0" xfId="0" applyFont="1"/>
    <xf numFmtId="168" fontId="3" fillId="2" borderId="1" xfId="0" applyNumberFormat="1" applyFont="1" applyFill="1" applyBorder="1" applyAlignment="1">
      <alignment horizontal="center"/>
    </xf>
    <xf numFmtId="0" fontId="8" fillId="5" borderId="0" xfId="0" applyFont="1" applyFill="1"/>
    <xf numFmtId="0" fontId="1" fillId="0" borderId="8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0" xfId="0" applyFont="1" applyFill="1"/>
    <xf numFmtId="164" fontId="1" fillId="0" borderId="0" xfId="0" applyNumberFormat="1" applyFont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right"/>
    </xf>
    <xf numFmtId="164" fontId="3" fillId="2" borderId="9" xfId="0" applyNumberFormat="1" applyFont="1" applyFill="1" applyBorder="1"/>
    <xf numFmtId="0" fontId="12" fillId="5" borderId="8" xfId="1" applyFont="1" applyFill="1" applyAlignment="1">
      <alignment horizontal="center"/>
    </xf>
    <xf numFmtId="0" fontId="12" fillId="5" borderId="8" xfId="1" applyFont="1" applyFill="1" applyAlignment="1">
      <alignment horizontal="left"/>
    </xf>
    <xf numFmtId="168" fontId="3" fillId="2" borderId="8" xfId="0" applyNumberFormat="1" applyFont="1" applyFill="1" applyBorder="1" applyAlignment="1">
      <alignment horizontal="right"/>
    </xf>
    <xf numFmtId="0" fontId="1" fillId="2" borderId="8" xfId="0" applyFont="1" applyFill="1" applyBorder="1"/>
    <xf numFmtId="0" fontId="1" fillId="0" borderId="8" xfId="0" applyFont="1" applyBorder="1"/>
    <xf numFmtId="164" fontId="4" fillId="2" borderId="7" xfId="0" applyNumberFormat="1" applyFont="1" applyFill="1" applyBorder="1" applyAlignment="1">
      <alignment horizontal="center"/>
    </xf>
    <xf numFmtId="0" fontId="11" fillId="0" borderId="8" xfId="0" applyFont="1" applyBorder="1"/>
    <xf numFmtId="0" fontId="2" fillId="6" borderId="10" xfId="0" applyFont="1" applyFill="1" applyBorder="1" applyAlignment="1">
      <alignment horizontal="center"/>
    </xf>
    <xf numFmtId="0" fontId="11" fillId="7" borderId="11" xfId="0" applyFont="1" applyFill="1" applyBorder="1"/>
    <xf numFmtId="0" fontId="11" fillId="7" borderId="12" xfId="0" applyFont="1" applyFill="1" applyBorder="1"/>
  </cellXfs>
  <cellStyles count="2">
    <cellStyle name="Normal" xfId="0" builtinId="0"/>
    <cellStyle name="Normal 2 2 2 10" xfId="1" xr:uid="{47AA65A1-5B95-4387-A320-AF194B505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customschemas.google.com/relationships/workbookmetadata" Target="metadata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274636</xdr:colOff>
      <xdr:row>34</xdr:row>
      <xdr:rowOff>161925</xdr:rowOff>
    </xdr:from>
    <xdr:ext cx="37800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31824" y="5019675"/>
          <a:ext cx="3780000" cy="38100"/>
          <a:chOff x="3626738" y="3780000"/>
          <a:chExt cx="34385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26738" y="3780000"/>
            <a:ext cx="343852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276224</xdr:colOff>
      <xdr:row>52</xdr:row>
      <xdr:rowOff>104775</xdr:rowOff>
    </xdr:from>
    <xdr:ext cx="374400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33412" y="8058150"/>
          <a:ext cx="3744000" cy="38100"/>
          <a:chOff x="3588638" y="3780000"/>
          <a:chExt cx="35147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3588638" y="3780000"/>
            <a:ext cx="351472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273050</xdr:colOff>
      <xdr:row>34</xdr:row>
      <xdr:rowOff>176212</xdr:rowOff>
    </xdr:from>
    <xdr:ext cx="302400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6797675" y="5033962"/>
          <a:ext cx="3024000" cy="38100"/>
          <a:chOff x="3650550" y="3780000"/>
          <a:chExt cx="3390900" cy="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3650550" y="3780000"/>
            <a:ext cx="3390900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303211</xdr:colOff>
      <xdr:row>52</xdr:row>
      <xdr:rowOff>125413</xdr:rowOff>
    </xdr:from>
    <xdr:ext cx="302400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6827836" y="8078788"/>
          <a:ext cx="3024000" cy="38100"/>
          <a:chOff x="3607688" y="3780000"/>
          <a:chExt cx="3476625" cy="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3607688" y="3780000"/>
            <a:ext cx="3476625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149229</xdr:colOff>
      <xdr:row>106</xdr:row>
      <xdr:rowOff>76200</xdr:rowOff>
    </xdr:from>
    <xdr:ext cx="180000" cy="180000"/>
    <xdr:pic>
      <xdr:nvPicPr>
        <xdr:cNvPr id="11" name="image2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229" y="16363950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1754188</xdr:colOff>
      <xdr:row>44</xdr:row>
      <xdr:rowOff>63500</xdr:rowOff>
    </xdr:from>
    <xdr:ext cx="246063" cy="21272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67188" y="6715125"/>
          <a:ext cx="246063" cy="212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1800225</xdr:colOff>
      <xdr:row>61</xdr:row>
      <xdr:rowOff>152400</xdr:rowOff>
    </xdr:from>
    <xdr:ext cx="190500" cy="190500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955675</xdr:colOff>
      <xdr:row>34</xdr:row>
      <xdr:rowOff>71438</xdr:rowOff>
    </xdr:from>
    <xdr:ext cx="211137" cy="190500"/>
    <xdr:pic>
      <xdr:nvPicPr>
        <xdr:cNvPr id="17" name="image7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24488" y="4929188"/>
          <a:ext cx="211137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1815144</xdr:colOff>
      <xdr:row>98</xdr:row>
      <xdr:rowOff>86874</xdr:rowOff>
    </xdr:from>
    <xdr:ext cx="186063" cy="169148"/>
    <xdr:pic>
      <xdr:nvPicPr>
        <xdr:cNvPr id="18" name="image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28144" y="14985562"/>
          <a:ext cx="186063" cy="169148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15875</xdr:colOff>
      <xdr:row>34</xdr:row>
      <xdr:rowOff>0</xdr:rowOff>
    </xdr:from>
    <xdr:ext cx="214313" cy="249238"/>
    <xdr:pic>
      <xdr:nvPicPr>
        <xdr:cNvPr id="19" name="image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40500" y="4857750"/>
          <a:ext cx="214313" cy="249238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1815145</xdr:colOff>
      <xdr:row>73</xdr:row>
      <xdr:rowOff>86874</xdr:rowOff>
    </xdr:from>
    <xdr:ext cx="186063" cy="169148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28145" y="11278749"/>
          <a:ext cx="186063" cy="16914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52</xdr:row>
      <xdr:rowOff>9525</xdr:rowOff>
    </xdr:from>
    <xdr:ext cx="228600" cy="228600"/>
    <xdr:pic>
      <xdr:nvPicPr>
        <xdr:cNvPr id="21" name="image6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1799270</xdr:colOff>
      <xdr:row>85</xdr:row>
      <xdr:rowOff>54606</xdr:rowOff>
    </xdr:from>
    <xdr:ext cx="186063" cy="186063"/>
    <xdr:pic>
      <xdr:nvPicPr>
        <xdr:cNvPr id="22" name="image8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12270" y="13024481"/>
          <a:ext cx="186063" cy="186063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47624</xdr:rowOff>
    </xdr:from>
    <xdr:ext cx="214312" cy="219075"/>
    <xdr:pic>
      <xdr:nvPicPr>
        <xdr:cNvPr id="23" name="image1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188" y="4905374"/>
          <a:ext cx="214312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1000125</xdr:colOff>
      <xdr:row>52</xdr:row>
      <xdr:rowOff>7938</xdr:rowOff>
    </xdr:from>
    <xdr:ext cx="247650" cy="247650"/>
    <xdr:pic>
      <xdr:nvPicPr>
        <xdr:cNvPr id="24" name="image1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68938" y="7794626"/>
          <a:ext cx="247650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31748</xdr:rowOff>
    </xdr:from>
    <xdr:ext cx="214313" cy="200025"/>
    <xdr:pic>
      <xdr:nvPicPr>
        <xdr:cNvPr id="25" name="image1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524625" y="7818436"/>
          <a:ext cx="214313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150812</xdr:colOff>
      <xdr:row>108</xdr:row>
      <xdr:rowOff>142873</xdr:rowOff>
    </xdr:from>
    <xdr:ext cx="180000" cy="180000"/>
    <xdr:pic>
      <xdr:nvPicPr>
        <xdr:cNvPr id="26" name="image1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0812" y="16668748"/>
          <a:ext cx="180000" cy="18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150811</xdr:colOff>
      <xdr:row>110</xdr:row>
      <xdr:rowOff>15875</xdr:rowOff>
    </xdr:from>
    <xdr:ext cx="180000" cy="180000"/>
    <xdr:pic>
      <xdr:nvPicPr>
        <xdr:cNvPr id="27" name="image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0811" y="16843375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150025</xdr:colOff>
      <xdr:row>110</xdr:row>
      <xdr:rowOff>149689</xdr:rowOff>
    </xdr:from>
    <xdr:to>
      <xdr:col>0</xdr:col>
      <xdr:colOff>342113</xdr:colOff>
      <xdr:row>112</xdr:row>
      <xdr:rowOff>43959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BB726D0-0566-428D-8905-B2D1138D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25" y="16731127"/>
          <a:ext cx="192088" cy="19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107</xdr:row>
      <xdr:rowOff>142875</xdr:rowOff>
    </xdr:from>
    <xdr:to>
      <xdr:col>1</xdr:col>
      <xdr:colOff>31330</xdr:colOff>
      <xdr:row>109</xdr:row>
      <xdr:rowOff>85724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B852C24-05B8-4491-AD9A-24C884D0A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7249775"/>
          <a:ext cx="259930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1\contabilidad\CONTABILIDAD\ROLES\Roles%202004\RolJulio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IME%20S\BIBLIOTECA\MATERIAL%20ACTUALIZADO%2008\Textos%20entregados%20Planificaci&#243;n\Formatos%20de%20papeles%20de%20trabajo\Auditorias%202004\2004\Trabajo%20Especial\Nuevo%20Almacen\El%20nuevo%20almac&#233;n\File%20An&#225;lisis\Nomina\Nomina%20Agosto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DEX%20VEGETATIVO\VEG.%20PLANTAS%20SL%20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reyes\CaseWare\2016_UIO_Auditor&#237;a_Superteporte%20S.A.%20(Sync)\Visita%20preliminar\Anexos%20a%20los%20EEFF%20-%200300%20-%20Superdeporte%20-%20Agosto%20201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1%20APT\Cepsa%202011\A%20Efectivo%20y%20Equivalentes%20de%20Efectivo%20DP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uio-storage\activos\My%20Documents\CECILIA\FORREQU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1152%20Anexos%20Carta%20de%20Requerimiento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0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l%20Saldo%20Incial%20de%20Activos%20Fijo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C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A (2)"/>
      <sheetName val="ENA"/>
      <sheetName val="ENA1"/>
      <sheetName val="CON"/>
      <sheetName val="CON1"/>
      <sheetName val="CON2"/>
      <sheetName val="PRA"/>
      <sheetName val="CHI"/>
      <sheetName val="CASA"/>
      <sheetName val="CASA2"/>
      <sheetName val="CAB"/>
      <sheetName val="GARCIA"/>
      <sheetName val="CONTABIL"/>
      <sheetName val="Datos"/>
      <sheetName val="Tablas SRI"/>
      <sheetName val="A-2"/>
      <sheetName val="A-2-1"/>
      <sheetName val="ENA_(2)"/>
    </sheetNames>
    <sheetDataSet>
      <sheetData sheetId="0">
        <row r="1">
          <cell r="B1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>
            <v>8</v>
          </cell>
        </row>
      </sheetData>
      <sheetData sheetId="13" refreshError="1">
        <row r="1">
          <cell r="B1">
            <v>8</v>
          </cell>
        </row>
        <row r="2">
          <cell r="B2">
            <v>9.35E-2</v>
          </cell>
        </row>
        <row r="6">
          <cell r="A6">
            <v>1</v>
          </cell>
          <cell r="B6" t="str">
            <v>ENERO DEL 2004</v>
          </cell>
        </row>
        <row r="7">
          <cell r="A7">
            <v>2</v>
          </cell>
          <cell r="B7" t="str">
            <v>FEBRERO DEL 2004</v>
          </cell>
        </row>
        <row r="8">
          <cell r="A8">
            <v>3</v>
          </cell>
          <cell r="B8" t="str">
            <v>MARZO DEL 2004</v>
          </cell>
        </row>
        <row r="9">
          <cell r="A9">
            <v>4</v>
          </cell>
          <cell r="B9" t="str">
            <v>ABRIL DEL 2004</v>
          </cell>
        </row>
        <row r="10">
          <cell r="A10">
            <v>5</v>
          </cell>
          <cell r="B10" t="str">
            <v>MAYO DEL 2004</v>
          </cell>
        </row>
        <row r="11">
          <cell r="A11">
            <v>6</v>
          </cell>
          <cell r="B11" t="str">
            <v>JUNIO DEL 2004</v>
          </cell>
        </row>
        <row r="12">
          <cell r="A12">
            <v>7</v>
          </cell>
          <cell r="B12" t="str">
            <v>JULIO DEL 2004</v>
          </cell>
        </row>
        <row r="13">
          <cell r="A13">
            <v>8</v>
          </cell>
          <cell r="B13" t="str">
            <v>AGOSTO DEL 2004</v>
          </cell>
        </row>
        <row r="14">
          <cell r="A14">
            <v>9</v>
          </cell>
          <cell r="B14" t="str">
            <v>SEPTIEMBRE DEL 2004</v>
          </cell>
        </row>
        <row r="15">
          <cell r="A15">
            <v>10</v>
          </cell>
          <cell r="B15" t="str">
            <v>OCTUBRE DEL 2004</v>
          </cell>
        </row>
        <row r="16">
          <cell r="A16">
            <v>11</v>
          </cell>
          <cell r="B16" t="str">
            <v>NOVIEMBRE DEL 2004</v>
          </cell>
        </row>
        <row r="17">
          <cell r="A17">
            <v>12</v>
          </cell>
          <cell r="B17" t="str">
            <v>DICIEMBRE DEL 2004</v>
          </cell>
        </row>
      </sheetData>
      <sheetData sheetId="14" refreshError="1"/>
      <sheetData sheetId="15" refreshError="1"/>
      <sheetData sheetId="16" refreshError="1"/>
      <sheetData sheetId="17">
        <row r="1">
          <cell r="B1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 (2)"/>
      <sheetName val="ENA"/>
      <sheetName val="rol individual 1"/>
      <sheetName val="rol individual 2"/>
      <sheetName val="rol individual 3"/>
      <sheetName val="rol individual 4"/>
      <sheetName val="rol individual 5"/>
      <sheetName val="CONTABIL"/>
      <sheetName val="Datos"/>
      <sheetName val="Impuestos"/>
      <sheetName val="Hoja1"/>
      <sheetName val="ENA (2)"/>
    </sheetNames>
    <sheetDataSet>
      <sheetData sheetId="0"/>
      <sheetData sheetId="1"/>
      <sheetData sheetId="2">
        <row r="1">
          <cell r="I1">
            <v>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B1">
            <v>0</v>
          </cell>
        </row>
        <row r="2">
          <cell r="B2">
            <v>9.35E-2</v>
          </cell>
        </row>
        <row r="3">
          <cell r="B3">
            <v>0.1215</v>
          </cell>
        </row>
        <row r="4">
          <cell r="B4">
            <v>150</v>
          </cell>
        </row>
        <row r="6">
          <cell r="A6">
            <v>1</v>
          </cell>
          <cell r="B6" t="str">
            <v>ENERO DEL 2005</v>
          </cell>
        </row>
        <row r="7">
          <cell r="A7">
            <v>2</v>
          </cell>
          <cell r="B7" t="str">
            <v>FEBRERO DEL 2005</v>
          </cell>
        </row>
        <row r="8">
          <cell r="A8">
            <v>3</v>
          </cell>
          <cell r="B8" t="str">
            <v>MARZO DEL 2005</v>
          </cell>
        </row>
        <row r="9">
          <cell r="A9">
            <v>4</v>
          </cell>
          <cell r="B9" t="str">
            <v>ABRIL DEL 2005</v>
          </cell>
        </row>
        <row r="10">
          <cell r="A10">
            <v>5</v>
          </cell>
          <cell r="B10" t="str">
            <v>MAYO DEL 2005</v>
          </cell>
        </row>
        <row r="11">
          <cell r="A11">
            <v>6</v>
          </cell>
          <cell r="B11" t="str">
            <v>JUNIO DEL 2005</v>
          </cell>
        </row>
        <row r="12">
          <cell r="A12">
            <v>7</v>
          </cell>
          <cell r="B12" t="str">
            <v>JULIO DEL 2005</v>
          </cell>
        </row>
        <row r="13">
          <cell r="A13">
            <v>8</v>
          </cell>
          <cell r="B13" t="str">
            <v>AGOSTO DEL 2005</v>
          </cell>
        </row>
        <row r="14">
          <cell r="A14">
            <v>9</v>
          </cell>
          <cell r="B14" t="str">
            <v>SEPTIEMBRE DEL 2005</v>
          </cell>
        </row>
        <row r="15">
          <cell r="A15">
            <v>10</v>
          </cell>
          <cell r="B15" t="str">
            <v>OCTUBRE DEL 2005</v>
          </cell>
        </row>
        <row r="16">
          <cell r="A16">
            <v>11</v>
          </cell>
          <cell r="B16" t="str">
            <v>NOVIEMBRE DEL 2005</v>
          </cell>
        </row>
        <row r="17">
          <cell r="A17">
            <v>12</v>
          </cell>
          <cell r="B17" t="str">
            <v>DICIEMBRE DEL 2005</v>
          </cell>
        </row>
        <row r="19">
          <cell r="B19">
            <v>7</v>
          </cell>
        </row>
      </sheetData>
      <sheetData sheetId="9">
        <row r="7">
          <cell r="B7">
            <v>7401</v>
          </cell>
          <cell r="C7">
            <v>14800</v>
          </cell>
          <cell r="D7">
            <v>0</v>
          </cell>
          <cell r="E7">
            <v>5</v>
          </cell>
        </row>
        <row r="8">
          <cell r="B8">
            <v>14801</v>
          </cell>
          <cell r="C8">
            <v>29600</v>
          </cell>
          <cell r="D8">
            <v>370</v>
          </cell>
          <cell r="E8">
            <v>10</v>
          </cell>
        </row>
        <row r="9">
          <cell r="B9">
            <v>29601</v>
          </cell>
          <cell r="C9">
            <v>44100</v>
          </cell>
          <cell r="D9">
            <v>1850</v>
          </cell>
          <cell r="E9">
            <v>15</v>
          </cell>
        </row>
        <row r="10">
          <cell r="B10">
            <v>44101</v>
          </cell>
          <cell r="C10">
            <v>58800</v>
          </cell>
          <cell r="D10">
            <v>4025</v>
          </cell>
          <cell r="E10">
            <v>20</v>
          </cell>
        </row>
        <row r="11">
          <cell r="B11">
            <v>58801</v>
          </cell>
          <cell r="D11">
            <v>6965</v>
          </cell>
          <cell r="E11">
            <v>25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Compañías"/>
      <sheetName val="Anexos EEFF"/>
      <sheetName val="Comentarios"/>
      <sheetName val="Balance Comp. (AS)"/>
      <sheetName val="E.E.F.F."/>
      <sheetName val="Revisión Analítica"/>
      <sheetName val="Cajas Chicas - Sueltos (MI)"/>
      <sheetName val="Concili. Bancarias (MI)"/>
      <sheetName val="Detalle Conc. Banc. (MI)"/>
      <sheetName val="Inversiones"/>
      <sheetName val="Cartera Cías. Relac. (PCH)"/>
      <sheetName val="Cartera (PCH)"/>
      <sheetName val="Prov. Incobra. (PCH)"/>
      <sheetName val="Prov. Pérdida de Inventario (AS"/>
      <sheetName val="Costo Amortizado NIIF (AS)"/>
      <sheetName val="Conceciones (AS)"/>
      <sheetName val="Otras Cuentas por Cobrar (PT)"/>
      <sheetName val="Servicios Pag. x Adelan (AS)"/>
      <sheetName val="Amortizaciones (AS)"/>
      <sheetName val="Arriendos Pag. x Adelan (AS)"/>
      <sheetName val="Licencias Pag. x Adelan (AS)"/>
      <sheetName val="Detalle Inv. Valorado"/>
      <sheetName val="Mov. Inv. (YA)"/>
      <sheetName val="Detalle Compras Inven. (YA)"/>
      <sheetName val="Inv. Tránsit. (YA)"/>
      <sheetName val="Prov. Obsolesc. (YA)"/>
      <sheetName val="Detalle Polizas Seguros (YA)"/>
      <sheetName val="1294.03 AMORTIZACIONES"/>
      <sheetName val="PPE (HR)"/>
      <sheetName val="Mov. PPE Costo (HR)"/>
      <sheetName val="Mov. PPE Deprec. (HR)"/>
      <sheetName val="Detalle compras PPE (HR)"/>
      <sheetName val="Bajas y ventas PPE (HR)"/>
      <sheetName val="Detalle Concesiones"/>
      <sheetName val="Inversiones en Acciones"/>
      <sheetName val="Mov. Inversiones Acciones"/>
      <sheetName val="Proveedores (PCH)"/>
      <sheetName val="Prestamos"/>
      <sheetName val="CxP Cías. Relacionadas (PCH)"/>
      <sheetName val="Provisiones (YA)"/>
      <sheetName val="Det de Oblig. Financieras (MI)"/>
      <sheetName val="Benefcios Sociales (PT)"/>
      <sheetName val="IVA (HR)"/>
      <sheetName val="Cruce IVA vs Libros (HR)"/>
      <sheetName val="Cruce Renta vs Libros (YA)"/>
      <sheetName val="Movimiento Patrimonio (AS)"/>
      <sheetName val="bc (AS)"/>
      <sheetName val="Anticipos ISD (PCH)"/>
      <sheetName val="n"/>
      <sheetName val="Transitoria Bancos (YA)"/>
      <sheetName val="DETALLE P.COMER-OBLIG (MI)"/>
    </sheetNames>
    <sheetDataSet>
      <sheetData sheetId="0"/>
      <sheetData sheetId="1">
        <row r="8">
          <cell r="H8" t="str">
            <v>Superdeporte S.A.</v>
          </cell>
        </row>
      </sheetData>
      <sheetData sheetId="2"/>
      <sheetData sheetId="3">
        <row r="146">
          <cell r="G146">
            <v>249208.24000000005</v>
          </cell>
        </row>
      </sheetData>
      <sheetData sheetId="4"/>
      <sheetData sheetId="5"/>
      <sheetData sheetId="6"/>
      <sheetData sheetId="7">
        <row r="3">
          <cell r="A3">
            <v>42613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4">
          <cell r="K14">
            <v>60981288.149999999</v>
          </cell>
        </row>
      </sheetData>
      <sheetData sheetId="23"/>
      <sheetData sheetId="24"/>
      <sheetData sheetId="25"/>
      <sheetData sheetId="26"/>
      <sheetData sheetId="27"/>
      <sheetData sheetId="28">
        <row r="30">
          <cell r="B30" t="str">
            <v>1212,02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 refreshError="1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/>
      <sheetData sheetId="609"/>
      <sheetData sheetId="610" refreshError="1"/>
      <sheetData sheetId="611"/>
      <sheetData sheetId="612" refreshError="1"/>
      <sheetData sheetId="613" refreshError="1"/>
      <sheetData sheetId="614" refreshError="1"/>
      <sheetData sheetId="615"/>
      <sheetData sheetId="616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 refreshError="1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1"/>
      <sheetName val="C2"/>
      <sheetName val="C3"/>
      <sheetName val="C4"/>
      <sheetName val="C5"/>
      <sheetName val="D"/>
      <sheetName val="E"/>
      <sheetName val="G"/>
      <sheetName val="H"/>
      <sheetName val="H1"/>
      <sheetName val="H2"/>
      <sheetName val="H3"/>
      <sheetName val="I"/>
      <sheetName val="J"/>
      <sheetName val="K"/>
      <sheetName val="L"/>
      <sheetName val="M"/>
      <sheetName val="M1"/>
      <sheetName val="N"/>
      <sheetName val="Q"/>
      <sheetName val="RS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1"/>
      <sheetName val="Anexo 3"/>
      <sheetName val="Anexo 4"/>
      <sheetName val="Anexo 5"/>
      <sheetName val="Anexo 6"/>
      <sheetName val="Anexo 7"/>
      <sheetName val="Anexo 8"/>
      <sheetName val="Anexo 10"/>
      <sheetName val="Anexo 11"/>
      <sheetName val="Anexo 12"/>
      <sheetName val="Anexo 13"/>
      <sheetName val="Anexo 14"/>
      <sheetName val="Anexo 15"/>
      <sheetName val="Anexo 16"/>
      <sheetName val="Anexo 17"/>
      <sheetName val="Anexo 2"/>
      <sheetName val="Anexo 9"/>
      <sheetName val="Lead"/>
      <sheetName val="Lin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 {PPC}"/>
      <sheetName val="Deprec. {PPC}"/>
      <sheetName val="Cálculo Dep (Preliminar)"/>
      <sheetName val="Límites"/>
      <sheetName val="MMA Adiciones"/>
      <sheetName val="MMA Saldo Inicial"/>
      <sheetName val="Obs. Toma Física"/>
      <sheetName val="Análisis Adiciones"/>
      <sheetName val="Cálculo Dep (Final)"/>
      <sheetName val="XREF"/>
      <sheetName val="Tickmarks"/>
      <sheetName val="NotaalosEstadosFinancieros"/>
      <sheetName val="Deprec__PPC_"/>
      <sheetName val="Detalle"/>
      <sheetName val="MMA"/>
      <sheetName val="APT Gastos"/>
      <sheetName val="Arriendos"/>
      <sheetName val="Arr. Mercantil [ppc]"/>
      <sheetName val="Asistencia VW"/>
      <sheetName val="Comis. y Honorarios"/>
      <sheetName val="Otras ctas.xpagar (PPC)"/>
      <sheetName val="Mov. Benef. Socs."/>
      <sheetName val="Calc. Global Benef. (Sep)"/>
      <sheetName val="Calc. Global Benef. (Oct)"/>
      <sheetName val="Pagos Posteriores"/>
      <sheetName val="F.Conting. (oct)"/>
      <sheetName val="F. Conting. (Sep)"/>
      <sheetName val="Calc. Límites"/>
      <sheetName val="Mov. Inventarios"/>
      <sheetName val="Devoluci."/>
      <sheetName val="Adiciones MP."/>
      <sheetName val="Import. Tráns."/>
      <sheetName val="Valuación"/>
      <sheetName val="Préstamos Terceros"/>
      <sheetName val="Movimiento Benef.Soc."/>
      <sheetName val="Calc. Global Benef. (Prel)"/>
      <sheetName val="Det.Anticipos Clientes"/>
      <sheetName val="Análisis anticipos"/>
      <sheetName val="Int.no devenga"/>
      <sheetName val="A"/>
      <sheetName val="NotaEF "/>
      <sheetName val="Costo"/>
      <sheetName val="Dep.Costo. "/>
      <sheetName val="MMA (Adiciones) "/>
      <sheetName val="MMA S.Inicial"/>
      <sheetName val="MMA Toma física"/>
      <sheetName val="S Inicial"/>
      <sheetName val="Cálc. Global"/>
      <sheetName val="APT Adicion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Cálculo S. I."/>
      <sheetName val="Análisis Saldo Inicial"/>
      <sheetName val="XREF"/>
      <sheetName val="Tickmarks"/>
      <sheetName val="CálculoS_I_"/>
      <sheetName val="Anexo 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/>
      <sheetData sheetId="514" refreshError="1"/>
      <sheetData sheetId="515"/>
      <sheetData sheetId="516" refreshError="1"/>
      <sheetData sheetId="517" refreshError="1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 refreshError="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/>
      <sheetData sheetId="314"/>
      <sheetData sheetId="315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/>
      <sheetData sheetId="371"/>
      <sheetData sheetId="372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/>
      <sheetData sheetId="470" refreshError="1"/>
      <sheetData sheetId="471" refreshError="1"/>
      <sheetData sheetId="472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/>
      <sheetData sheetId="539"/>
      <sheetData sheetId="540" refreshError="1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 1"/>
      <sheetName val="A 1 1"/>
      <sheetName val="A C000"/>
      <sheetName val="A_1"/>
      <sheetName val="A_1_1"/>
    </sheetNames>
    <sheetDataSet>
      <sheetData sheetId="0">
        <row r="3">
          <cell r="D3" t="str">
            <v>D´BRAG AUDITORES</v>
          </cell>
        </row>
        <row r="4">
          <cell r="D4" t="str">
            <v>PROGRAMA DE TRABAJO</v>
          </cell>
        </row>
        <row r="7">
          <cell r="C7" t="str">
            <v>CLIENTE                             :</v>
          </cell>
          <cell r="D7" t="str">
            <v>CENTRO DE REHABILITACION DE MANABI</v>
          </cell>
          <cell r="H7" t="str">
            <v>FECHA                    : 20-JUN-02</v>
          </cell>
        </row>
        <row r="8">
          <cell r="C8" t="str">
            <v>TIPO DE EXAMEN               :</v>
          </cell>
          <cell r="D8" t="str">
            <v>CAJA - BANCOS</v>
          </cell>
          <cell r="H8" t="str">
            <v>ELABORADO POR   :  A.C.</v>
          </cell>
        </row>
        <row r="9">
          <cell r="C9" t="str">
            <v>PERIODO EXAMINADO       :</v>
          </cell>
          <cell r="D9" t="str">
            <v>AÑO 2001</v>
          </cell>
          <cell r="H9" t="str">
            <v>CLIENTE                  :</v>
          </cell>
        </row>
        <row r="10">
          <cell r="C10" t="str">
            <v>OBJETIVOS                        :</v>
          </cell>
          <cell r="D10" t="str">
            <v xml:space="preserve">PROPIEDAD, EXACTITUD, TOTALIDAD, CORTE, VALUACION, REVELACION, </v>
          </cell>
          <cell r="H10" t="str">
            <v xml:space="preserve"> </v>
          </cell>
        </row>
        <row r="11">
          <cell r="E11" t="str">
            <v xml:space="preserve"> </v>
          </cell>
        </row>
        <row r="13">
          <cell r="B13" t="str">
            <v>No.</v>
          </cell>
          <cell r="C13" t="str">
            <v>PROCEDIMIENTO</v>
          </cell>
          <cell r="D13" t="str">
            <v>ASEVERACION</v>
          </cell>
          <cell r="E13" t="str">
            <v>HECHO POR:</v>
          </cell>
          <cell r="F13" t="str">
            <v>FECHA</v>
          </cell>
          <cell r="G13" t="str">
            <v>REF.P/T</v>
          </cell>
          <cell r="H13" t="str">
            <v>COMENTARIOS</v>
          </cell>
        </row>
      </sheetData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topLeftCell="A38" zoomScale="80" zoomScaleNormal="80" workbookViewId="0"/>
  </sheetViews>
  <sheetFormatPr baseColWidth="10" defaultColWidth="14.453125" defaultRowHeight="15" customHeight="1" x14ac:dyDescent="0.35"/>
  <cols>
    <col min="1" max="1" width="5.08984375" customWidth="1"/>
    <col min="2" max="4" width="29.453125" customWidth="1"/>
    <col min="5" max="5" width="19" customWidth="1"/>
    <col min="6" max="6" width="15.08984375" bestFit="1" customWidth="1"/>
    <col min="7" max="7" width="13.81640625" bestFit="1" customWidth="1"/>
    <col min="8" max="8" width="19.453125" customWidth="1"/>
    <col min="9" max="9" width="19" customWidth="1"/>
    <col min="10" max="10" width="22" customWidth="1"/>
    <col min="11" max="11" width="19.90625" customWidth="1"/>
    <col min="12" max="12" width="19.453125" customWidth="1"/>
    <col min="13" max="13" width="29.08984375" customWidth="1"/>
    <col min="14" max="14" width="19.6328125" customWidth="1"/>
    <col min="15" max="26" width="11.453125" customWidth="1"/>
  </cols>
  <sheetData>
    <row r="1" spans="1:26" ht="12" customHeight="1" x14ac:dyDescent="0.3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5">
      <c r="A3" s="1"/>
      <c r="B3" s="1"/>
      <c r="C3" s="1"/>
      <c r="D3" s="1"/>
      <c r="E3" s="1"/>
      <c r="F3" s="3" t="s">
        <v>0</v>
      </c>
      <c r="G3" s="3" t="s">
        <v>1</v>
      </c>
      <c r="H3" s="3" t="s"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5">
      <c r="A4" s="1"/>
      <c r="B4" s="1"/>
      <c r="C4" s="1"/>
      <c r="D4" s="1"/>
      <c r="E4" s="1"/>
      <c r="F4" s="4" t="s">
        <v>3</v>
      </c>
      <c r="G4" s="5" t="s">
        <v>3</v>
      </c>
      <c r="H4" s="6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1"/>
      <c r="C5" s="1"/>
      <c r="D5" s="1"/>
      <c r="E5" s="1"/>
      <c r="F5" s="92"/>
      <c r="G5" s="93"/>
      <c r="H5" s="9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5">
      <c r="A6" s="1"/>
      <c r="B6" s="7" t="s">
        <v>5</v>
      </c>
      <c r="C6" s="8"/>
      <c r="D6" s="8"/>
      <c r="E6" s="9"/>
      <c r="F6" s="1"/>
      <c r="G6" s="1"/>
      <c r="H6" s="2"/>
      <c r="I6" s="1"/>
      <c r="J6" s="1"/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1"/>
      <c r="B7" s="7" t="s">
        <v>6</v>
      </c>
      <c r="C7" s="1"/>
      <c r="D7" s="1"/>
      <c r="E7" s="11"/>
      <c r="F7" s="1"/>
      <c r="G7" s="1"/>
      <c r="H7" s="2"/>
      <c r="I7" s="1"/>
      <c r="J7" s="1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5">
      <c r="A8" s="1"/>
      <c r="B8" s="12" t="s">
        <v>7</v>
      </c>
      <c r="C8" s="8"/>
      <c r="D8" s="8"/>
      <c r="E8" s="8"/>
      <c r="F8" s="8"/>
      <c r="G8" s="8"/>
      <c r="H8" s="13"/>
      <c r="I8" s="8"/>
      <c r="J8" s="8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5">
      <c r="A9" s="1"/>
      <c r="B9" s="14" t="s">
        <v>8</v>
      </c>
      <c r="C9" s="8"/>
      <c r="D9" s="8"/>
      <c r="E9" s="8"/>
      <c r="F9" s="8"/>
      <c r="G9" s="8"/>
      <c r="H9" s="13"/>
      <c r="I9" s="8"/>
      <c r="J9" s="8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.25" customHeight="1" x14ac:dyDescent="0.35">
      <c r="A10" s="1"/>
      <c r="B10" s="15"/>
      <c r="C10" s="15"/>
      <c r="D10" s="15"/>
      <c r="E10" s="15"/>
      <c r="F10" s="15"/>
      <c r="G10" s="15"/>
      <c r="H10" s="16"/>
      <c r="I10" s="17"/>
      <c r="J10" s="17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5">
      <c r="A11" s="1"/>
      <c r="B11" s="17"/>
      <c r="C11" s="17"/>
      <c r="D11" s="17"/>
      <c r="E11" s="17"/>
      <c r="F11" s="17"/>
      <c r="G11" s="17"/>
      <c r="H11" s="18"/>
      <c r="I11" s="17"/>
      <c r="J11" s="17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5">
      <c r="A12" s="1"/>
      <c r="B12" s="19" t="s">
        <v>9</v>
      </c>
      <c r="C12" s="20"/>
      <c r="D12" s="20"/>
      <c r="E12" s="20"/>
      <c r="F12" s="20"/>
      <c r="G12" s="20"/>
      <c r="H12" s="21"/>
      <c r="I12" s="20"/>
      <c r="J12" s="20"/>
      <c r="K12" s="20"/>
      <c r="L12" s="20"/>
      <c r="M12" s="20"/>
      <c r="N12" s="2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.75" customHeight="1" x14ac:dyDescent="0.35">
      <c r="A13" s="1"/>
      <c r="B13" s="19"/>
      <c r="C13" s="20"/>
      <c r="D13" s="20"/>
      <c r="E13" s="20"/>
      <c r="F13" s="20"/>
      <c r="G13" s="20"/>
      <c r="H13" s="21"/>
      <c r="I13" s="20"/>
      <c r="J13" s="20"/>
      <c r="K13" s="20"/>
      <c r="L13" s="20"/>
      <c r="M13" s="20"/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22" t="s">
        <v>59</v>
      </c>
      <c r="C14" s="22"/>
      <c r="D14" s="22"/>
      <c r="E14" s="22"/>
      <c r="F14" s="22"/>
      <c r="G14" s="22"/>
      <c r="H14" s="23"/>
      <c r="I14" s="22"/>
      <c r="J14" s="22"/>
      <c r="K14" s="22"/>
      <c r="L14" s="22"/>
      <c r="M14" s="22"/>
      <c r="N14" s="2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1"/>
      <c r="B15" s="24"/>
      <c r="C15" s="25"/>
      <c r="D15" s="25"/>
      <c r="E15" s="25"/>
      <c r="F15" s="25"/>
      <c r="G15" s="25"/>
      <c r="H15" s="26"/>
      <c r="I15" s="25"/>
      <c r="J15" s="25"/>
      <c r="K15" s="25"/>
      <c r="L15" s="25"/>
      <c r="M15" s="25"/>
      <c r="N15" s="2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1"/>
      <c r="B16" s="19" t="s">
        <v>10</v>
      </c>
      <c r="C16" s="1"/>
      <c r="D16" s="25"/>
      <c r="E16" s="25"/>
      <c r="F16" s="25"/>
      <c r="G16" s="25"/>
      <c r="H16" s="26"/>
      <c r="I16" s="25"/>
      <c r="J16" s="25"/>
      <c r="K16" s="25"/>
      <c r="L16" s="25"/>
      <c r="M16" s="25"/>
      <c r="N16" s="2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.75" customHeight="1" x14ac:dyDescent="0.35">
      <c r="A17" s="1"/>
      <c r="B17" s="19"/>
      <c r="C17" s="1"/>
      <c r="D17" s="25"/>
      <c r="E17" s="25"/>
      <c r="F17" s="25"/>
      <c r="G17" s="25"/>
      <c r="H17" s="26"/>
      <c r="I17" s="25"/>
      <c r="J17" s="25"/>
      <c r="K17" s="25"/>
      <c r="L17" s="25"/>
      <c r="M17" s="25"/>
      <c r="N17" s="2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1"/>
      <c r="B18" s="27"/>
      <c r="C18" s="28" t="s">
        <v>11</v>
      </c>
      <c r="D18" s="28" t="s">
        <v>12</v>
      </c>
      <c r="E18" s="25"/>
      <c r="F18" s="25"/>
      <c r="G18" s="25"/>
      <c r="H18" s="26"/>
      <c r="I18" s="25"/>
      <c r="J18" s="25"/>
      <c r="K18" s="25"/>
      <c r="L18" s="25"/>
      <c r="M18" s="25"/>
      <c r="N18" s="2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1"/>
      <c r="B19" s="29" t="s">
        <v>13</v>
      </c>
      <c r="C19" s="30" t="s">
        <v>14</v>
      </c>
      <c r="D19" s="30" t="s">
        <v>14</v>
      </c>
      <c r="E19" s="25"/>
      <c r="F19" s="25"/>
      <c r="G19" s="25"/>
      <c r="H19" s="26"/>
      <c r="I19" s="25"/>
      <c r="J19" s="25"/>
      <c r="K19" s="25"/>
      <c r="L19" s="25"/>
      <c r="M19" s="25"/>
      <c r="N19" s="2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1"/>
      <c r="B20" s="29" t="s">
        <v>15</v>
      </c>
      <c r="C20" s="30" t="s">
        <v>14</v>
      </c>
      <c r="D20" s="30" t="s">
        <v>14</v>
      </c>
      <c r="E20" s="25"/>
      <c r="F20" s="25"/>
      <c r="G20" s="25"/>
      <c r="H20" s="26"/>
      <c r="I20" s="25"/>
      <c r="J20" s="25"/>
      <c r="K20" s="25"/>
      <c r="L20" s="25"/>
      <c r="M20" s="25"/>
      <c r="N20" s="2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"/>
      <c r="B21" s="29" t="s">
        <v>16</v>
      </c>
      <c r="C21" s="30" t="s">
        <v>14</v>
      </c>
      <c r="D21" s="30" t="s">
        <v>14</v>
      </c>
      <c r="E21" s="25"/>
      <c r="F21" s="25"/>
      <c r="G21" s="25"/>
      <c r="H21" s="26"/>
      <c r="I21" s="25"/>
      <c r="J21" s="25"/>
      <c r="K21" s="25"/>
      <c r="L21" s="25"/>
      <c r="M21" s="25"/>
      <c r="N21" s="2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 x14ac:dyDescent="0.35">
      <c r="A22" s="1"/>
      <c r="B22" s="31"/>
      <c r="C22" s="31"/>
      <c r="D22" s="31"/>
      <c r="E22" s="31"/>
      <c r="F22" s="31"/>
      <c r="G22" s="31"/>
      <c r="H22" s="32"/>
      <c r="I22" s="31"/>
      <c r="J22" s="31"/>
      <c r="K22" s="31"/>
      <c r="L22" s="31"/>
      <c r="M22" s="31"/>
      <c r="N22" s="3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5">
      <c r="A23" s="1"/>
      <c r="B23" s="19" t="s">
        <v>70</v>
      </c>
      <c r="C23" s="20"/>
      <c r="D23" s="20"/>
      <c r="E23" s="20"/>
      <c r="F23" s="20"/>
      <c r="G23" s="20"/>
      <c r="H23" s="21"/>
      <c r="I23" s="20"/>
      <c r="J23" s="20"/>
      <c r="K23" s="20"/>
      <c r="L23" s="20"/>
      <c r="M23" s="20"/>
      <c r="N23" s="2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.75" customHeight="1" x14ac:dyDescent="0.35">
      <c r="A24" s="1"/>
      <c r="B24" s="19"/>
      <c r="C24" s="20"/>
      <c r="D24" s="20"/>
      <c r="E24" s="20"/>
      <c r="F24" s="20"/>
      <c r="G24" s="20"/>
      <c r="H24" s="21"/>
      <c r="I24" s="20"/>
      <c r="J24" s="20"/>
      <c r="K24" s="20"/>
      <c r="L24" s="20"/>
      <c r="M24" s="20"/>
      <c r="N24" s="2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11" t="s">
        <v>17</v>
      </c>
      <c r="B25" s="33" t="s">
        <v>68</v>
      </c>
      <c r="C25" s="20"/>
      <c r="D25" s="20"/>
      <c r="E25" s="20"/>
      <c r="F25" s="20"/>
      <c r="G25" s="20"/>
      <c r="H25" s="21"/>
      <c r="I25" s="20"/>
      <c r="J25" s="20"/>
      <c r="K25" s="20"/>
      <c r="L25" s="20"/>
      <c r="M25" s="20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11" t="s">
        <v>18</v>
      </c>
      <c r="B26" s="33" t="s">
        <v>67</v>
      </c>
      <c r="C26" s="20"/>
      <c r="D26" s="20"/>
      <c r="E26" s="20"/>
      <c r="F26" s="20"/>
      <c r="G26" s="20"/>
      <c r="H26" s="21"/>
      <c r="I26" s="20"/>
      <c r="J26" s="20"/>
      <c r="K26" s="20"/>
      <c r="L26" s="20"/>
      <c r="M26" s="20"/>
      <c r="N26" s="2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11" t="s">
        <v>19</v>
      </c>
      <c r="B27" s="33" t="s">
        <v>66</v>
      </c>
      <c r="C27" s="20"/>
      <c r="D27" s="20"/>
      <c r="E27" s="20"/>
      <c r="F27" s="20"/>
      <c r="G27" s="20"/>
      <c r="H27" s="21"/>
      <c r="I27" s="20"/>
      <c r="J27" s="20"/>
      <c r="K27" s="20"/>
      <c r="L27" s="20"/>
      <c r="M27" s="20"/>
      <c r="N27" s="2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1" t="s">
        <v>20</v>
      </c>
      <c r="B28" s="33" t="s">
        <v>64</v>
      </c>
      <c r="C28" s="34"/>
      <c r="D28" s="34"/>
      <c r="E28" s="34"/>
      <c r="F28" s="34"/>
      <c r="G28" s="34"/>
      <c r="H28" s="35"/>
      <c r="I28" s="34"/>
      <c r="J28" s="34"/>
      <c r="K28" s="34"/>
      <c r="L28" s="34"/>
      <c r="M28" s="34"/>
      <c r="N28" s="3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1" t="s">
        <v>21</v>
      </c>
      <c r="B29" s="33" t="s">
        <v>65</v>
      </c>
      <c r="C29" s="20"/>
      <c r="D29" s="20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34"/>
      <c r="B30" s="20"/>
      <c r="C30" s="20"/>
      <c r="D30" s="20"/>
      <c r="E30" s="20"/>
      <c r="F30" s="20"/>
      <c r="G30" s="20"/>
      <c r="H30" s="21"/>
      <c r="I30" s="20"/>
      <c r="J30" s="20"/>
      <c r="K30" s="20"/>
      <c r="L30" s="20"/>
      <c r="M30" s="20"/>
      <c r="N30" s="2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19" t="s">
        <v>22</v>
      </c>
      <c r="C31" s="20"/>
      <c r="D31" s="20"/>
      <c r="E31" s="20"/>
      <c r="F31" s="20"/>
      <c r="G31" s="20"/>
      <c r="H31" s="21"/>
      <c r="I31" s="20"/>
      <c r="J31" s="20"/>
      <c r="K31" s="20"/>
      <c r="L31" s="20"/>
      <c r="M31" s="20"/>
      <c r="N31" s="2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.75" customHeight="1" x14ac:dyDescent="0.35">
      <c r="A32" s="1"/>
      <c r="B32" s="19"/>
      <c r="C32" s="20"/>
      <c r="D32" s="20"/>
      <c r="E32" s="20"/>
      <c r="F32" s="20"/>
      <c r="G32" s="20"/>
      <c r="H32" s="21"/>
      <c r="I32" s="20"/>
      <c r="J32" s="20"/>
      <c r="K32" s="20"/>
      <c r="L32" s="20"/>
      <c r="M32" s="20"/>
      <c r="N32" s="2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" customHeight="1" x14ac:dyDescent="0.35">
      <c r="A33" s="1"/>
      <c r="B33" s="36"/>
      <c r="C33" s="20"/>
      <c r="D33" s="20"/>
      <c r="E33" s="20"/>
      <c r="F33" s="20"/>
      <c r="G33" s="20"/>
      <c r="H33" s="21"/>
      <c r="I33" s="20"/>
      <c r="J33" s="20"/>
      <c r="K33" s="20"/>
      <c r="L33" s="20"/>
      <c r="M33" s="20"/>
      <c r="N33" s="2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34"/>
      <c r="B34" s="37" t="s">
        <v>23</v>
      </c>
      <c r="C34" s="38"/>
      <c r="D34" s="37"/>
      <c r="E34" s="37"/>
      <c r="F34" s="37"/>
      <c r="G34" s="37"/>
      <c r="H34" s="39"/>
      <c r="I34" s="37"/>
      <c r="J34" s="37"/>
      <c r="K34" s="37"/>
      <c r="L34" s="37"/>
      <c r="M34" s="37"/>
      <c r="N34" s="3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34"/>
      <c r="B35" s="34"/>
      <c r="C35" s="3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7.5" x14ac:dyDescent="0.35">
      <c r="A36" s="40"/>
      <c r="B36" s="41" t="s">
        <v>24</v>
      </c>
      <c r="C36" s="41" t="s">
        <v>25</v>
      </c>
      <c r="D36" s="42" t="s">
        <v>26</v>
      </c>
      <c r="E36" s="41" t="s">
        <v>27</v>
      </c>
      <c r="F36" s="41" t="s">
        <v>63</v>
      </c>
      <c r="G36" s="41" t="s">
        <v>28</v>
      </c>
      <c r="H36" s="42" t="s">
        <v>73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" customHeight="1" x14ac:dyDescent="0.35">
      <c r="A37" s="34"/>
      <c r="B37" s="44"/>
      <c r="C37" s="45"/>
      <c r="D37" s="46"/>
      <c r="E37" s="46"/>
      <c r="F37" s="46"/>
      <c r="G37" s="46"/>
      <c r="H37" s="47">
        <f>SUM(D37:G37)</f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34"/>
      <c r="B38" s="44"/>
      <c r="C38" s="45"/>
      <c r="D38" s="46"/>
      <c r="E38" s="46"/>
      <c r="F38" s="46"/>
      <c r="G38" s="46"/>
      <c r="H38" s="47">
        <f t="shared" ref="H38:H44" si="0">SUM(D38:G38)</f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34"/>
      <c r="B39" s="44"/>
      <c r="C39" s="45"/>
      <c r="D39" s="46"/>
      <c r="E39" s="46"/>
      <c r="F39" s="46"/>
      <c r="G39" s="46"/>
      <c r="H39" s="47">
        <f t="shared" si="0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34"/>
      <c r="B40" s="48"/>
      <c r="C40" s="45"/>
      <c r="D40" s="46"/>
      <c r="E40" s="46"/>
      <c r="F40" s="46"/>
      <c r="G40" s="46"/>
      <c r="H40" s="47">
        <f t="shared" si="0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34"/>
      <c r="B41" s="44"/>
      <c r="C41" s="45"/>
      <c r="D41" s="46"/>
      <c r="E41" s="46"/>
      <c r="F41" s="46"/>
      <c r="G41" s="46"/>
      <c r="H41" s="47">
        <f t="shared" si="0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34"/>
      <c r="B42" s="44"/>
      <c r="C42" s="45"/>
      <c r="D42" s="46"/>
      <c r="E42" s="46"/>
      <c r="F42" s="49"/>
      <c r="G42" s="46"/>
      <c r="H42" s="47">
        <f t="shared" si="0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34"/>
      <c r="B43" s="44"/>
      <c r="C43" s="45"/>
      <c r="D43" s="46"/>
      <c r="E43" s="46"/>
      <c r="F43" s="46"/>
      <c r="G43" s="46"/>
      <c r="H43" s="47">
        <f t="shared" si="0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34"/>
      <c r="B44" s="50"/>
      <c r="C44" s="45"/>
      <c r="D44" s="51"/>
      <c r="E44" s="51"/>
      <c r="F44" s="51"/>
      <c r="G44" s="51"/>
      <c r="H44" s="47">
        <f t="shared" si="0"/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" customHeight="1" x14ac:dyDescent="0.35">
      <c r="A45" s="35"/>
      <c r="B45" s="52"/>
      <c r="C45" s="53"/>
      <c r="D45" s="35"/>
      <c r="E45" s="35"/>
      <c r="F45" s="35"/>
      <c r="G45" s="35"/>
      <c r="H45" s="54"/>
      <c r="I45" s="55"/>
      <c r="J45" s="55"/>
      <c r="K45" s="55"/>
      <c r="L45" s="55"/>
      <c r="M45" s="55"/>
      <c r="N45" s="5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 x14ac:dyDescent="0.35">
      <c r="A46" s="34"/>
      <c r="D46" s="56">
        <f t="shared" ref="D46:F46" si="1">+SUM(D37:D44)</f>
        <v>0</v>
      </c>
      <c r="E46" s="56">
        <f t="shared" si="1"/>
        <v>0</v>
      </c>
      <c r="F46" s="56">
        <f t="shared" si="1"/>
        <v>0</v>
      </c>
      <c r="G46" s="56">
        <f>+SUM(G37:G44)</f>
        <v>0</v>
      </c>
      <c r="H46" s="56">
        <f>+SUM(H37:H44)</f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34"/>
      <c r="B47" s="57"/>
      <c r="C47" s="58"/>
      <c r="D47" s="60" t="s">
        <v>30</v>
      </c>
      <c r="E47" s="59" t="s">
        <v>29</v>
      </c>
      <c r="F47" s="59" t="s">
        <v>69</v>
      </c>
      <c r="G47" s="34"/>
      <c r="H47" s="60" t="s">
        <v>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34"/>
      <c r="B48" s="57"/>
      <c r="C48" s="58"/>
      <c r="D48" s="34"/>
      <c r="E48" s="34"/>
      <c r="F48" s="34"/>
      <c r="G48" s="34"/>
      <c r="H48" s="61"/>
      <c r="I48" s="34"/>
      <c r="J48" s="34"/>
      <c r="K48" s="34"/>
      <c r="L48" s="62"/>
      <c r="M48" s="34"/>
      <c r="N48" s="3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34"/>
      <c r="B49" s="1"/>
      <c r="C49" s="34"/>
      <c r="D49" s="37"/>
      <c r="E49" s="37"/>
      <c r="F49" s="37"/>
      <c r="G49" s="37"/>
      <c r="H49" s="39"/>
      <c r="I49" s="37"/>
      <c r="J49" s="37"/>
      <c r="K49" s="37"/>
      <c r="L49" s="37"/>
      <c r="M49" s="37"/>
      <c r="N49" s="3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5">
      <c r="A50" s="34"/>
      <c r="B50" s="1"/>
      <c r="C50" s="34"/>
      <c r="D50" s="37"/>
      <c r="E50" s="37"/>
      <c r="F50" s="37"/>
      <c r="G50" s="37"/>
      <c r="H50" s="39"/>
      <c r="I50" s="37"/>
      <c r="J50" s="37"/>
      <c r="K50" s="37"/>
      <c r="L50" s="37"/>
      <c r="M50" s="37"/>
      <c r="N50" s="3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34"/>
      <c r="B51" s="37" t="s">
        <v>31</v>
      </c>
      <c r="C51" s="34"/>
      <c r="D51" s="37"/>
      <c r="E51" s="37"/>
      <c r="F51" s="37"/>
      <c r="G51" s="37"/>
      <c r="H51" s="39"/>
      <c r="I51" s="37"/>
      <c r="J51" s="37"/>
      <c r="K51" s="37"/>
      <c r="L51" s="37"/>
      <c r="M51" s="37"/>
      <c r="N51" s="3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34"/>
      <c r="B52" s="1"/>
      <c r="C52" s="34"/>
      <c r="D52" s="37"/>
      <c r="E52" s="37"/>
      <c r="F52" s="37"/>
      <c r="G52" s="37"/>
      <c r="H52" s="39"/>
      <c r="I52" s="37"/>
      <c r="J52" s="37"/>
      <c r="K52" s="37"/>
      <c r="L52" s="37"/>
      <c r="M52" s="37"/>
      <c r="N52" s="3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5">
      <c r="A53" s="34"/>
      <c r="B53" s="1"/>
      <c r="C53" s="3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7.5" x14ac:dyDescent="0.35">
      <c r="A54" s="34"/>
      <c r="B54" s="41" t="s">
        <v>24</v>
      </c>
      <c r="C54" s="41" t="s">
        <v>25</v>
      </c>
      <c r="D54" s="42" t="s">
        <v>26</v>
      </c>
      <c r="E54" s="41" t="s">
        <v>27</v>
      </c>
      <c r="F54" s="41" t="s">
        <v>63</v>
      </c>
      <c r="G54" s="41" t="s">
        <v>32</v>
      </c>
      <c r="H54" s="42" t="s">
        <v>73</v>
      </c>
      <c r="I54" s="6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34"/>
      <c r="B55" s="64"/>
      <c r="C55" s="49"/>
      <c r="D55" s="46"/>
      <c r="E55" s="65"/>
      <c r="F55" s="46"/>
      <c r="G55" s="46"/>
      <c r="H55" s="66">
        <f t="shared" ref="H55:H61" si="2">SUM(D55:G55)</f>
        <v>0</v>
      </c>
      <c r="I55" s="6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5">
      <c r="A56" s="34"/>
      <c r="B56" s="64"/>
      <c r="C56" s="49"/>
      <c r="D56" s="46"/>
      <c r="E56" s="65"/>
      <c r="F56" s="46"/>
      <c r="G56" s="46"/>
      <c r="H56" s="66">
        <f t="shared" si="2"/>
        <v>0</v>
      </c>
      <c r="I56" s="6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34"/>
      <c r="B57" s="64"/>
      <c r="C57" s="49"/>
      <c r="D57" s="46"/>
      <c r="E57" s="66"/>
      <c r="F57" s="49"/>
      <c r="G57" s="46"/>
      <c r="H57" s="66">
        <f t="shared" si="2"/>
        <v>0</v>
      </c>
      <c r="I57" s="6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34"/>
      <c r="B58" s="48"/>
      <c r="C58" s="49"/>
      <c r="D58" s="46"/>
      <c r="E58" s="46"/>
      <c r="F58" s="46"/>
      <c r="G58" s="46"/>
      <c r="H58" s="66">
        <f t="shared" si="2"/>
        <v>0</v>
      </c>
      <c r="I58" s="6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34"/>
      <c r="B59" s="64"/>
      <c r="C59" s="49"/>
      <c r="D59" s="46"/>
      <c r="E59" s="46"/>
      <c r="F59" s="67"/>
      <c r="G59" s="46"/>
      <c r="H59" s="66">
        <f t="shared" si="2"/>
        <v>0</v>
      </c>
      <c r="I59" s="6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34"/>
      <c r="B60" s="64"/>
      <c r="C60" s="49"/>
      <c r="D60" s="46"/>
      <c r="E60" s="46"/>
      <c r="F60" s="49"/>
      <c r="G60" s="68"/>
      <c r="H60" s="66">
        <f t="shared" si="2"/>
        <v>0</v>
      </c>
      <c r="I60" s="6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34"/>
      <c r="B61" s="64"/>
      <c r="C61" s="49"/>
      <c r="D61" s="46"/>
      <c r="E61" s="46"/>
      <c r="F61" s="46"/>
      <c r="G61" s="46"/>
      <c r="H61" s="66">
        <f t="shared" si="2"/>
        <v>0</v>
      </c>
      <c r="I61" s="6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7" customHeight="1" x14ac:dyDescent="0.35">
      <c r="A62" s="34"/>
      <c r="B62" s="57"/>
      <c r="C62" s="69"/>
      <c r="D62" s="34"/>
      <c r="E62" s="34"/>
      <c r="F62" s="34"/>
      <c r="G62" s="34"/>
      <c r="H62" s="35"/>
      <c r="I62" s="6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34"/>
      <c r="B63" s="111"/>
      <c r="C63" s="112"/>
      <c r="D63" s="70">
        <f t="shared" ref="D63:G63" si="3">+SUM(D55:D61)</f>
        <v>0</v>
      </c>
      <c r="E63" s="71">
        <f t="shared" si="3"/>
        <v>0</v>
      </c>
      <c r="F63" s="70">
        <f t="shared" si="3"/>
        <v>0</v>
      </c>
      <c r="G63" s="70">
        <f t="shared" si="3"/>
        <v>0</v>
      </c>
      <c r="H63" s="70">
        <f>SUM(H55:H61)</f>
        <v>0</v>
      </c>
      <c r="I63" s="6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34"/>
      <c r="B64" s="34"/>
      <c r="C64" s="34"/>
      <c r="D64" s="60" t="s">
        <v>30</v>
      </c>
      <c r="E64" s="106" t="s">
        <v>71</v>
      </c>
      <c r="F64" s="34"/>
      <c r="G64" s="34"/>
      <c r="H64" s="60" t="s">
        <v>30</v>
      </c>
      <c r="I64" s="6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34"/>
      <c r="B65" s="34"/>
      <c r="C65" s="34"/>
      <c r="D65" s="34"/>
      <c r="E65" s="72"/>
      <c r="F65" s="34"/>
      <c r="G65" s="34"/>
      <c r="H65" s="60"/>
      <c r="I65" s="6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34"/>
      <c r="B66" s="34"/>
      <c r="C66" s="34"/>
      <c r="D66" s="34"/>
      <c r="E66" s="34"/>
      <c r="F66" s="34"/>
      <c r="G66" s="34"/>
      <c r="H66" s="61"/>
      <c r="I66" s="6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34"/>
      <c r="B67" s="34"/>
      <c r="C67" s="34"/>
      <c r="D67" s="34"/>
      <c r="E67" s="34"/>
      <c r="F67" s="34"/>
      <c r="G67" s="34"/>
      <c r="H67" s="61"/>
      <c r="I67" s="6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5">
      <c r="A68" s="34"/>
      <c r="B68" s="113" t="s">
        <v>33</v>
      </c>
      <c r="C68" s="114"/>
      <c r="D68" s="115"/>
      <c r="E68" s="34"/>
      <c r="F68" s="34"/>
      <c r="G68" s="34"/>
      <c r="H68" s="61"/>
      <c r="I68" s="6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34"/>
      <c r="B69" s="34"/>
      <c r="C69" s="34"/>
      <c r="D69" s="34"/>
      <c r="E69" s="34"/>
      <c r="F69" s="34"/>
      <c r="G69" s="34"/>
      <c r="H69" s="61"/>
      <c r="I69" s="6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34"/>
      <c r="B70" s="95" t="s">
        <v>60</v>
      </c>
      <c r="C70" s="34"/>
      <c r="D70" s="34"/>
      <c r="E70" s="34"/>
      <c r="F70" s="34"/>
      <c r="G70" s="34"/>
      <c r="H70" s="61"/>
      <c r="I70" s="6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34"/>
      <c r="B71" s="34"/>
      <c r="C71" s="34"/>
      <c r="D71" s="34"/>
      <c r="E71" s="34"/>
      <c r="F71" s="34"/>
      <c r="G71" s="34"/>
      <c r="H71" s="61"/>
      <c r="I71" s="6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5">
      <c r="A72" s="34"/>
      <c r="B72" s="42" t="s">
        <v>24</v>
      </c>
      <c r="C72" s="42" t="s">
        <v>25</v>
      </c>
      <c r="D72" s="42" t="s">
        <v>34</v>
      </c>
      <c r="E72" s="34"/>
      <c r="F72" s="34"/>
      <c r="G72" s="34"/>
      <c r="H72" s="61"/>
      <c r="I72" s="6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34"/>
      <c r="B73" s="73">
        <v>0</v>
      </c>
      <c r="C73" s="73">
        <v>0</v>
      </c>
      <c r="D73" s="73">
        <v>0</v>
      </c>
      <c r="E73" s="34"/>
      <c r="F73" s="34"/>
      <c r="G73" s="34"/>
      <c r="H73" s="61"/>
      <c r="I73" s="6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7" customHeight="1" x14ac:dyDescent="0.35">
      <c r="A74" s="34"/>
      <c r="B74" s="2"/>
      <c r="C74" s="2"/>
      <c r="D74" s="2"/>
      <c r="E74" s="34"/>
      <c r="F74" s="34"/>
      <c r="G74" s="34"/>
      <c r="H74" s="61"/>
      <c r="I74" s="6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34"/>
      <c r="B75" s="2"/>
      <c r="C75" s="2"/>
      <c r="D75" s="74">
        <f>SUM(D73)</f>
        <v>0</v>
      </c>
      <c r="E75" s="75" t="s">
        <v>30</v>
      </c>
      <c r="F75" s="34"/>
      <c r="G75" s="34"/>
      <c r="H75" s="61"/>
      <c r="I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34"/>
      <c r="B76" s="2"/>
      <c r="C76" s="2"/>
      <c r="D76" s="2"/>
      <c r="E76" s="34"/>
      <c r="F76" s="34"/>
      <c r="G76" s="34"/>
      <c r="H76" s="61"/>
      <c r="I76" s="6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34"/>
      <c r="B77" s="2"/>
      <c r="C77" s="76" t="s">
        <v>35</v>
      </c>
      <c r="D77" s="35">
        <f>+H46</f>
        <v>0</v>
      </c>
      <c r="E77" s="34"/>
      <c r="F77" s="34"/>
      <c r="G77" s="34"/>
      <c r="H77" s="61"/>
      <c r="I77" s="6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34"/>
      <c r="B78" s="2"/>
      <c r="C78" s="104" t="s">
        <v>36</v>
      </c>
      <c r="D78" s="105">
        <f>+D75-D77</f>
        <v>0</v>
      </c>
      <c r="E78" s="34"/>
      <c r="F78" s="34"/>
      <c r="G78" s="34"/>
      <c r="H78" s="61"/>
      <c r="I78" s="6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34"/>
      <c r="B79" s="34"/>
      <c r="C79" s="34"/>
      <c r="D79" s="34"/>
      <c r="E79" s="34"/>
      <c r="F79" s="34"/>
      <c r="G79" s="34"/>
      <c r="H79" s="61"/>
      <c r="I79" s="6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34"/>
      <c r="B80" s="34"/>
      <c r="C80" s="34"/>
      <c r="D80" s="34"/>
      <c r="E80" s="34"/>
      <c r="F80" s="34"/>
      <c r="G80" s="34"/>
      <c r="H80" s="61"/>
      <c r="I80" s="6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34"/>
      <c r="B81" s="34"/>
      <c r="C81" s="34"/>
      <c r="D81" s="34"/>
      <c r="E81" s="34"/>
      <c r="F81" s="34"/>
      <c r="G81" s="34"/>
      <c r="H81" s="61"/>
      <c r="I81" s="6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34"/>
      <c r="B82" s="95" t="s">
        <v>61</v>
      </c>
      <c r="C82" s="34"/>
      <c r="D82" s="34"/>
      <c r="E82" s="34"/>
      <c r="F82" s="34"/>
      <c r="G82" s="34"/>
      <c r="H82" s="61"/>
      <c r="I82" s="6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34"/>
      <c r="B83" s="34"/>
      <c r="C83" s="34"/>
      <c r="D83" s="34"/>
      <c r="E83" s="34"/>
      <c r="F83" s="34"/>
      <c r="G83" s="34"/>
      <c r="H83" s="61"/>
      <c r="I83" s="6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s="99" customFormat="1" ht="14.5" x14ac:dyDescent="0.35">
      <c r="A84" s="96"/>
      <c r="B84" s="42" t="s">
        <v>24</v>
      </c>
      <c r="C84" s="42" t="s">
        <v>25</v>
      </c>
      <c r="D84" s="42" t="s">
        <v>34</v>
      </c>
      <c r="E84" s="96"/>
      <c r="F84" s="96"/>
      <c r="G84" s="96"/>
      <c r="H84" s="97"/>
      <c r="I84" s="98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spans="1:26" ht="12" customHeight="1" x14ac:dyDescent="0.35">
      <c r="A85" s="34"/>
      <c r="B85" s="73">
        <v>0</v>
      </c>
      <c r="C85" s="73">
        <v>0</v>
      </c>
      <c r="D85" s="73">
        <v>0</v>
      </c>
      <c r="E85" s="34"/>
      <c r="F85" s="34"/>
      <c r="G85" s="34"/>
      <c r="H85" s="61"/>
      <c r="I85" s="6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7" customHeight="1" x14ac:dyDescent="0.35">
      <c r="A86" s="34"/>
      <c r="B86" s="2"/>
      <c r="C86" s="2"/>
      <c r="D86" s="2"/>
      <c r="E86" s="34"/>
      <c r="F86" s="34"/>
      <c r="G86" s="34"/>
      <c r="H86" s="61"/>
      <c r="I86" s="6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34"/>
      <c r="B87" s="2"/>
      <c r="C87" s="2"/>
      <c r="D87" s="74">
        <f>SUM(D85)</f>
        <v>0</v>
      </c>
      <c r="E87" s="75" t="s">
        <v>30</v>
      </c>
      <c r="F87" s="34"/>
      <c r="G87" s="34"/>
      <c r="H87" s="61"/>
      <c r="I87" s="6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34"/>
      <c r="B88" s="2"/>
      <c r="C88" s="2"/>
      <c r="D88" s="2"/>
      <c r="E88" s="34"/>
      <c r="F88" s="34"/>
      <c r="G88" s="34"/>
      <c r="H88" s="61"/>
      <c r="I88" s="6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34"/>
      <c r="B89" s="2"/>
      <c r="C89" s="76" t="s">
        <v>35</v>
      </c>
      <c r="D89" s="35">
        <f>+H63</f>
        <v>0</v>
      </c>
      <c r="E89" s="34"/>
      <c r="F89" s="34"/>
      <c r="G89" s="34"/>
      <c r="H89" s="61"/>
      <c r="I89" s="6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34"/>
      <c r="B90" s="2"/>
      <c r="C90" s="104" t="s">
        <v>36</v>
      </c>
      <c r="D90" s="105">
        <f>+D87-D89</f>
        <v>0</v>
      </c>
      <c r="E90" s="34"/>
      <c r="F90" s="34"/>
      <c r="G90" s="34"/>
      <c r="H90" s="61"/>
      <c r="I90" s="6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34"/>
      <c r="B91" s="34"/>
      <c r="C91" s="34"/>
      <c r="D91" s="34"/>
      <c r="E91" s="34"/>
      <c r="F91" s="34"/>
      <c r="G91" s="34"/>
      <c r="H91" s="61"/>
      <c r="I91" s="6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34"/>
      <c r="B92" s="34"/>
      <c r="C92" s="34"/>
      <c r="D92" s="34"/>
      <c r="E92" s="34"/>
      <c r="F92" s="34"/>
      <c r="G92" s="34"/>
      <c r="H92" s="61"/>
      <c r="I92" s="6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34"/>
      <c r="B93" s="34"/>
      <c r="C93" s="34"/>
      <c r="D93" s="34"/>
      <c r="E93" s="34"/>
      <c r="F93" s="34"/>
      <c r="G93" s="34"/>
      <c r="H93" s="61"/>
      <c r="I93" s="6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34"/>
      <c r="B94" s="77"/>
      <c r="C94" s="77"/>
      <c r="D94" s="77"/>
      <c r="E94" s="34"/>
      <c r="F94" s="34"/>
      <c r="G94" s="34"/>
      <c r="H94" s="3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34"/>
      <c r="B95" s="8" t="s">
        <v>37</v>
      </c>
      <c r="C95" s="78"/>
      <c r="D95" s="78"/>
      <c r="E95" s="34"/>
      <c r="F95" s="34"/>
      <c r="G95" s="34"/>
      <c r="H95" s="3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34"/>
      <c r="B96" s="7"/>
      <c r="C96" s="7"/>
      <c r="D96" s="7"/>
      <c r="E96" s="37"/>
      <c r="F96" s="37"/>
      <c r="G96" s="37"/>
      <c r="H96" s="39"/>
      <c r="I96" s="37"/>
      <c r="J96" s="37"/>
      <c r="K96" s="37"/>
      <c r="L96" s="37"/>
      <c r="M96" s="37"/>
      <c r="N96" s="3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s="99" customFormat="1" ht="14.5" x14ac:dyDescent="0.35">
      <c r="A97" s="96"/>
      <c r="B97" s="42" t="s">
        <v>24</v>
      </c>
      <c r="C97" s="42" t="s">
        <v>25</v>
      </c>
      <c r="D97" s="42" t="s">
        <v>34</v>
      </c>
      <c r="E97" s="101"/>
      <c r="F97" s="101"/>
      <c r="G97" s="101"/>
      <c r="H97" s="102"/>
      <c r="I97" s="101"/>
      <c r="J97" s="101"/>
      <c r="K97" s="101"/>
      <c r="L97" s="101"/>
      <c r="M97" s="101"/>
      <c r="N97" s="101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spans="1:26" ht="12" customHeight="1" x14ac:dyDescent="0.35">
      <c r="A98" s="34"/>
      <c r="B98" s="73">
        <v>0</v>
      </c>
      <c r="C98" s="73">
        <v>0</v>
      </c>
      <c r="D98" s="73">
        <v>0</v>
      </c>
      <c r="E98" s="37"/>
      <c r="F98" s="37"/>
      <c r="G98" s="37"/>
      <c r="H98" s="39"/>
      <c r="I98" s="37"/>
      <c r="J98" s="37"/>
      <c r="K98" s="37"/>
      <c r="L98" s="37"/>
      <c r="M98" s="37"/>
      <c r="N98" s="3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7" customHeight="1" x14ac:dyDescent="0.35">
      <c r="A99" s="34"/>
      <c r="B99" s="2"/>
      <c r="C99" s="2"/>
      <c r="D99" s="2"/>
      <c r="E99" s="37"/>
      <c r="F99" s="37"/>
      <c r="G99" s="37"/>
      <c r="H99" s="39"/>
      <c r="I99" s="37"/>
      <c r="J99" s="37"/>
      <c r="K99" s="37"/>
      <c r="L99" s="37"/>
      <c r="M99" s="37"/>
      <c r="N99" s="3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34"/>
      <c r="B100" s="2"/>
      <c r="C100" s="2"/>
      <c r="D100" s="74">
        <f>SUM(D98)</f>
        <v>0</v>
      </c>
      <c r="E100" s="75" t="s">
        <v>38</v>
      </c>
      <c r="F100" s="37"/>
      <c r="G100" s="37"/>
      <c r="H100" s="39"/>
      <c r="I100" s="37"/>
      <c r="J100" s="37"/>
      <c r="K100" s="37"/>
      <c r="L100" s="37"/>
      <c r="M100" s="37"/>
      <c r="N100" s="3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34"/>
      <c r="B101" s="2"/>
      <c r="C101" s="2"/>
      <c r="D101" s="2"/>
      <c r="E101" s="37"/>
      <c r="F101" s="37"/>
      <c r="G101" s="37"/>
      <c r="H101" s="39"/>
      <c r="I101" s="37"/>
      <c r="J101" s="37"/>
      <c r="K101" s="37"/>
      <c r="L101" s="37"/>
      <c r="M101" s="37"/>
      <c r="N101" s="3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34"/>
      <c r="B102" s="2"/>
      <c r="C102" s="76" t="s">
        <v>35</v>
      </c>
      <c r="D102" s="35">
        <f>+E63</f>
        <v>0</v>
      </c>
      <c r="E102" s="107" t="s">
        <v>71</v>
      </c>
      <c r="F102" s="37"/>
      <c r="G102" s="39"/>
      <c r="H102" s="39"/>
      <c r="I102" s="39"/>
      <c r="J102" s="39"/>
      <c r="K102" s="37"/>
      <c r="L102" s="37"/>
      <c r="M102" s="37"/>
      <c r="N102" s="3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34"/>
      <c r="B103" s="2"/>
      <c r="C103" s="104" t="s">
        <v>36</v>
      </c>
      <c r="D103" s="70">
        <f>+D100-D102</f>
        <v>0</v>
      </c>
      <c r="E103" s="37"/>
      <c r="F103" s="37"/>
      <c r="G103" s="39"/>
      <c r="H103" s="2"/>
      <c r="I103" s="39"/>
      <c r="J103" s="39"/>
      <c r="K103" s="37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34"/>
      <c r="B104" s="1"/>
      <c r="C104" s="34"/>
      <c r="D104" s="37"/>
      <c r="E104" s="37"/>
      <c r="F104" s="37"/>
      <c r="G104" s="39"/>
      <c r="H104" s="13"/>
      <c r="I104" s="39"/>
      <c r="J104" s="39"/>
      <c r="K104" s="37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3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2"/>
      <c r="B106" s="19" t="s">
        <v>39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3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7" customHeight="1" x14ac:dyDescent="0.35">
      <c r="A107" s="2"/>
      <c r="B107" s="1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3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79"/>
      <c r="B108" s="2" t="s">
        <v>40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3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80"/>
      <c r="B109" s="2" t="s">
        <v>41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3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81"/>
      <c r="B110" s="2" t="s">
        <v>42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3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82"/>
      <c r="B111" s="2" t="s">
        <v>43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3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08"/>
      <c r="B112" s="110" t="s">
        <v>72</v>
      </c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"/>
      <c r="N112" s="3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3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83"/>
      <c r="B114" s="103" t="s">
        <v>62</v>
      </c>
      <c r="C114" s="34"/>
      <c r="D114" s="37"/>
      <c r="E114" s="37"/>
      <c r="F114" s="37"/>
      <c r="G114" s="37"/>
      <c r="H114" s="39"/>
      <c r="I114" s="37"/>
      <c r="J114" s="37"/>
      <c r="K114" s="37"/>
      <c r="L114" s="37"/>
      <c r="M114" s="37"/>
      <c r="N114" s="3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7" customHeight="1" x14ac:dyDescent="0.35">
      <c r="A115" s="83"/>
      <c r="B115" s="84"/>
      <c r="C115" s="34"/>
      <c r="D115" s="37"/>
      <c r="E115" s="37"/>
      <c r="F115" s="37"/>
      <c r="G115" s="37"/>
      <c r="H115" s="39"/>
      <c r="I115" s="37"/>
      <c r="J115" s="37"/>
      <c r="K115" s="37"/>
      <c r="L115" s="37"/>
      <c r="M115" s="3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85" t="s">
        <v>44</v>
      </c>
      <c r="B116" s="84"/>
      <c r="C116" s="20"/>
      <c r="D116" s="20"/>
      <c r="E116" s="86"/>
      <c r="F116" s="86"/>
      <c r="G116" s="86"/>
      <c r="H116" s="87"/>
      <c r="I116" s="86"/>
      <c r="J116" s="86"/>
      <c r="K116" s="86"/>
      <c r="L116" s="86"/>
      <c r="M116" s="8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85" t="s">
        <v>45</v>
      </c>
      <c r="B117" s="84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85" t="s">
        <v>46</v>
      </c>
      <c r="B118" s="84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85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88" t="s">
        <v>47</v>
      </c>
      <c r="B120" s="84" t="s">
        <v>48</v>
      </c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7" customHeight="1" x14ac:dyDescent="0.35">
      <c r="A121" s="88"/>
      <c r="B121" s="84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85" t="s">
        <v>49</v>
      </c>
      <c r="B122" s="84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85" t="s">
        <v>50</v>
      </c>
      <c r="B123" s="84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85" t="s">
        <v>51</v>
      </c>
      <c r="B124" s="84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85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84" t="s">
        <v>52</v>
      </c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7" customHeight="1" x14ac:dyDescent="0.35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3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85" t="s">
        <v>53</v>
      </c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3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85" t="s">
        <v>54</v>
      </c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85" t="s">
        <v>55</v>
      </c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84" t="s">
        <v>56</v>
      </c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7" customHeight="1" x14ac:dyDescent="0.35">
      <c r="A133" s="1"/>
      <c r="B133" s="84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91" t="s">
        <v>58</v>
      </c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34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34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34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34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34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34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34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34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34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34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34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34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80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2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80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90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63:C63"/>
    <mergeCell ref="B68:D68"/>
  </mergeCells>
  <pageMargins left="0.7" right="0.7" top="0.75" bottom="0.75" header="0" footer="0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9ABD-482B-42C9-B365-6F5912327C74}">
  <dimension ref="B2"/>
  <sheetViews>
    <sheetView showGridLines="0" zoomScale="80" zoomScaleNormal="80" workbookViewId="0">
      <selection activeCell="E13" sqref="E13"/>
    </sheetView>
  </sheetViews>
  <sheetFormatPr baseColWidth="10" defaultRowHeight="14.5" x14ac:dyDescent="0.35"/>
  <cols>
    <col min="1" max="1" width="5" customWidth="1"/>
  </cols>
  <sheetData>
    <row r="2" spans="2:2" x14ac:dyDescent="0.35">
      <c r="B2" s="8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1.03</vt:lpstr>
      <vt:lpstr>Base de mayores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2023-01-22T04:53:18Z</dcterms:created>
  <dcterms:modified xsi:type="dcterms:W3CDTF">2026-04-17T00:35:51Z</dcterms:modified>
</cp:coreProperties>
</file>