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5. Propiedad planta y equipo\"/>
    </mc:Choice>
  </mc:AlternateContent>
  <xr:revisionPtr revIDLastSave="0" documentId="13_ncr:1_{4C5272DF-ABBC-4273-B167-F8EAC8E72D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08.01" sheetId="4" r:id="rId1"/>
    <sheet name="1.08.02" sheetId="1" r:id="rId2"/>
    <sheet name="Asiento contable de la venta" sheetId="2" state="hidden" r:id="rId3"/>
  </sheets>
  <externalReferences>
    <externalReference r:id="rId4"/>
  </externalReferences>
  <definedNames>
    <definedName name="A_impresión_IM" localSheetId="0">#REF!</definedName>
    <definedName name="A_impresión_IM">#REF!</definedName>
    <definedName name="AS2DocOpenMode">"AS2DocumentEdit"</definedName>
    <definedName name="BA">[1]BALANCE!$B$3:$D$154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mbVjMfMX+ON6lHJOMisSzuvoqSIWR+4PbSC4ho3Z3po="/>
    </ext>
  </extLst>
</workbook>
</file>

<file path=xl/calcChain.xml><?xml version="1.0" encoding="utf-8"?>
<calcChain xmlns="http://schemas.openxmlformats.org/spreadsheetml/2006/main">
  <c r="D64" i="1" l="1"/>
  <c r="D63" i="1" l="1"/>
  <c r="D61" i="1"/>
  <c r="AF39" i="1"/>
  <c r="Y49" i="1"/>
  <c r="P49" i="1"/>
  <c r="F49" i="1"/>
  <c r="P39" i="1"/>
  <c r="P47" i="1"/>
  <c r="P46" i="1"/>
  <c r="P45" i="1"/>
  <c r="P44" i="1"/>
  <c r="P43" i="1"/>
  <c r="P42" i="1"/>
  <c r="P41" i="1"/>
  <c r="P40" i="1"/>
  <c r="O47" i="1"/>
  <c r="O46" i="1"/>
  <c r="O45" i="1"/>
  <c r="O44" i="1"/>
  <c r="O43" i="1"/>
  <c r="O42" i="1"/>
  <c r="O41" i="1"/>
  <c r="O40" i="1"/>
  <c r="O39" i="1"/>
  <c r="Z47" i="1" l="1"/>
  <c r="U47" i="1"/>
  <c r="Z46" i="1"/>
  <c r="U46" i="1"/>
  <c r="Z45" i="1"/>
  <c r="U45" i="1"/>
  <c r="Z44" i="1"/>
  <c r="U44" i="1"/>
  <c r="Z43" i="1"/>
  <c r="U43" i="1"/>
  <c r="Z42" i="1"/>
  <c r="U42" i="1"/>
  <c r="Z41" i="1"/>
  <c r="U41" i="1"/>
  <c r="Z40" i="1"/>
  <c r="U40" i="1"/>
  <c r="Z39" i="1"/>
  <c r="U39" i="1"/>
  <c r="C11" i="2" l="1"/>
  <c r="C10" i="2"/>
  <c r="B9" i="2"/>
  <c r="B8" i="2"/>
  <c r="AE49" i="1"/>
  <c r="AD49" i="1"/>
  <c r="AC49" i="1"/>
  <c r="AF47" i="1"/>
  <c r="N47" i="1"/>
  <c r="W47" i="1" s="1"/>
  <c r="Y47" i="1" s="1"/>
  <c r="AF46" i="1"/>
  <c r="N46" i="1"/>
  <c r="W46" i="1" s="1"/>
  <c r="AF45" i="1"/>
  <c r="N45" i="1"/>
  <c r="W45" i="1" s="1"/>
  <c r="AF44" i="1"/>
  <c r="N44" i="1"/>
  <c r="W44" i="1" s="1"/>
  <c r="AF43" i="1"/>
  <c r="N43" i="1"/>
  <c r="W43" i="1" s="1"/>
  <c r="AF42" i="1"/>
  <c r="N42" i="1"/>
  <c r="W42" i="1" s="1"/>
  <c r="AF41" i="1"/>
  <c r="N41" i="1"/>
  <c r="W41" i="1" s="1"/>
  <c r="AF40" i="1"/>
  <c r="N40" i="1"/>
  <c r="W40" i="1" s="1"/>
  <c r="N39" i="1"/>
  <c r="W39" i="1" l="1"/>
  <c r="Y42" i="1"/>
  <c r="Y46" i="1"/>
  <c r="Y41" i="1"/>
  <c r="Y45" i="1"/>
  <c r="Y40" i="1"/>
  <c r="Y44" i="1"/>
  <c r="Y43" i="1"/>
  <c r="AF49" i="1"/>
  <c r="Y39" i="1" l="1"/>
</calcChain>
</file>

<file path=xl/sharedStrings.xml><?xml version="1.0" encoding="utf-8"?>
<sst xmlns="http://schemas.openxmlformats.org/spreadsheetml/2006/main" count="164" uniqueCount="110">
  <si>
    <t>Preparado por:</t>
  </si>
  <si>
    <t>Revisado por:</t>
  </si>
  <si>
    <t>Ref.</t>
  </si>
  <si>
    <t>XX</t>
  </si>
  <si>
    <t>COMPAÑÍA MODELO S.A.</t>
  </si>
  <si>
    <t>VENTAS DE PROPIEDAD, PLANTA Y EQUIPO</t>
  </si>
  <si>
    <t>AL 31 DE DICIEMBRE DE 20XX</t>
  </si>
  <si>
    <t>FECHA DE CORTE: _/_/20XX</t>
  </si>
  <si>
    <t>Objetivo:</t>
  </si>
  <si>
    <t>Base de decisión: Materialidad</t>
  </si>
  <si>
    <t>Preliminar</t>
  </si>
  <si>
    <t>Final</t>
  </si>
  <si>
    <t>General</t>
  </si>
  <si>
    <t>XXX.XXX</t>
  </si>
  <si>
    <t>Desempeño</t>
  </si>
  <si>
    <t>Errores Triviales</t>
  </si>
  <si>
    <t>Procedimientos:</t>
  </si>
  <si>
    <t>1.-</t>
  </si>
  <si>
    <t>2.-</t>
  </si>
  <si>
    <t>3.-</t>
  </si>
  <si>
    <t>4.-</t>
  </si>
  <si>
    <t>Documentar el papel de trabajo y concluir en base al objetivo.</t>
  </si>
  <si>
    <t xml:space="preserve">Desarrollo: </t>
  </si>
  <si>
    <t>Análisis de la utilidad o pérdida de la venta</t>
  </si>
  <si>
    <t>Mayor contable</t>
  </si>
  <si>
    <t>Existencia</t>
  </si>
  <si>
    <t>Exactitud</t>
  </si>
  <si>
    <t xml:space="preserve">Ventas de Activos fijos </t>
  </si>
  <si>
    <t xml:space="preserve">Factura </t>
  </si>
  <si>
    <t xml:space="preserve">Diferencia </t>
  </si>
  <si>
    <t>Descripción</t>
  </si>
  <si>
    <t>Costo</t>
  </si>
  <si>
    <t xml:space="preserve">Depreciación </t>
  </si>
  <si>
    <t>Valor factura</t>
  </si>
  <si>
    <t>Utilidad / Pérdida según auditoría</t>
  </si>
  <si>
    <t xml:space="preserve">Código cuenta contable </t>
  </si>
  <si>
    <t xml:space="preserve">Nombre cuenta contable </t>
  </si>
  <si>
    <t>Fecha</t>
  </si>
  <si>
    <t>RUC</t>
  </si>
  <si>
    <t>Nombre del cliente</t>
  </si>
  <si>
    <t>Subtotal 0%</t>
  </si>
  <si>
    <t>Subtotal 12%</t>
  </si>
  <si>
    <t xml:space="preserve">Total </t>
  </si>
  <si>
    <t>Cruce con estados financieros</t>
  </si>
  <si>
    <t>1) Cruce de la utilidad o pérdida con el estado de resultados</t>
  </si>
  <si>
    <t>Código cuenta contable</t>
  </si>
  <si>
    <t>Nombre cuenta contable</t>
  </si>
  <si>
    <t>Saldo según EEFF al _/_/20xx</t>
  </si>
  <si>
    <t>Saldo según recálculo</t>
  </si>
  <si>
    <t>Diferencia</t>
  </si>
  <si>
    <t xml:space="preserve">Marcas de Auditoría </t>
  </si>
  <si>
    <t xml:space="preserve">Datos y valores tomados de libros contables </t>
  </si>
  <si>
    <t>Datos y valores tomados de la documentación soporte proporcionada por la entidad.</t>
  </si>
  <si>
    <t>Datos y valores calculados por auditoría.</t>
  </si>
  <si>
    <t>Sumatoria</t>
  </si>
  <si>
    <t>A</t>
  </si>
  <si>
    <t>B</t>
  </si>
  <si>
    <t>C</t>
  </si>
  <si>
    <t xml:space="preserve"> 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</si>
  <si>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</si>
  <si>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</si>
  <si>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</si>
  <si>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</si>
  <si>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</si>
  <si>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</si>
  <si>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</si>
  <si>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</si>
  <si>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</si>
  <si>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Activo Fijo Costo</t>
  </si>
  <si>
    <t>Depreciación Acumulada</t>
  </si>
  <si>
    <t>Precio de Venta</t>
  </si>
  <si>
    <t xml:space="preserve"> - X -</t>
  </si>
  <si>
    <t>1. Dar de baja el activo</t>
  </si>
  <si>
    <t>Depreciación acumulada</t>
  </si>
  <si>
    <t xml:space="preserve">Efectivo </t>
  </si>
  <si>
    <t>Costo del activo fijo</t>
  </si>
  <si>
    <t>Utilidad venta de activo fijo</t>
  </si>
  <si>
    <t>Solicitar a la Compañía el detalle de propiedad, planta y equipo al _/ _/ 20XX.</t>
  </si>
  <si>
    <t>Documentar el juicio profesional aplicado para la selección de muestra.</t>
  </si>
  <si>
    <t xml:space="preserve">Determinar las partidas seleccionadas. </t>
  </si>
  <si>
    <t>Desarrollo:</t>
  </si>
  <si>
    <t>*** El auditor dejará documentado cómo seleccionó la muestra .</t>
  </si>
  <si>
    <t>Marcas de auditoría:</t>
  </si>
  <si>
    <t>***(Concluir en función al objetivo)</t>
  </si>
  <si>
    <t>MUESTRA PARA VENTAS DE PROPIEDAD, PLANTA Y EQUIPO</t>
  </si>
  <si>
    <t>Determinar una muestra para la verificación de ventas de propiedad, planta y equipo al _/ _/ 20XX.</t>
  </si>
  <si>
    <t>1.08.01</t>
  </si>
  <si>
    <t>Verificar la documentación de respaldo proporcionada por la Compañía.</t>
  </si>
  <si>
    <t>Verificar la existencia de las ventas de propiedad, planta y equipo al _/_/20XX.</t>
  </si>
  <si>
    <t>Nro. Asiento</t>
  </si>
  <si>
    <t>Cumplimiento tributario</t>
  </si>
  <si>
    <t xml:space="preserve">Cálculo de retención </t>
  </si>
  <si>
    <t xml:space="preserve">Según comprobante </t>
  </si>
  <si>
    <t>% Renta</t>
  </si>
  <si>
    <t>Valor renta</t>
  </si>
  <si>
    <t>% IVA</t>
  </si>
  <si>
    <t>Valor IVA</t>
  </si>
  <si>
    <t>Días de retraso</t>
  </si>
  <si>
    <t>*** (Concluir en función al objetivo)</t>
  </si>
  <si>
    <t>Cotejar la exactitud de los documentos con los registros contables.</t>
  </si>
  <si>
    <t>Verificaciones:</t>
  </si>
  <si>
    <t>5.-</t>
  </si>
  <si>
    <t>Identificar las ventas de propiedad, planta y equipo al _/_/20XX</t>
  </si>
  <si>
    <r>
      <rPr>
        <sz val="10"/>
        <rFont val="Tahoma"/>
        <family val="2"/>
      </rPr>
      <t>S</t>
    </r>
    <r>
      <rPr>
        <sz val="10"/>
        <color theme="1"/>
        <rFont val="Tahoma"/>
        <family val="2"/>
      </rPr>
      <t>olicitar la documentación respaldo de las ventas de propiedad, planta y equipo seleccionadas en p/t 1.08.01</t>
    </r>
  </si>
  <si>
    <t xml:space="preserve">Nro. documento </t>
  </si>
  <si>
    <t>IVA</t>
  </si>
  <si>
    <t>Saldo</t>
  </si>
  <si>
    <t xml:space="preserve">Nro. de comprobante </t>
  </si>
  <si>
    <t xml:space="preserve">***Referenciar a las cuentas de ingreso o gasto según corresponda </t>
  </si>
  <si>
    <t>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</si>
</sst>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(* #,##0.0_);_(* \(#,##0.0\);_(* &quot;-&quot;??_);_(@_)"/>
    <numFmt numFmtId="167" formatCode="_(* #,##0_);_(* \(#,##0\);_(* &quot;-&quot;_);_(@_)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rgb="FF44546A"/>
      <name val="Tahoma"/>
      <family val="2"/>
    </font>
    <font>
      <b/>
      <sz val="10"/>
      <color rgb="FF002060"/>
      <name val="Tahoma"/>
      <family val="2"/>
    </font>
    <font>
      <b/>
      <sz val="10"/>
      <color rgb="FFFF0000"/>
      <name val="Tahoma"/>
      <family val="2"/>
    </font>
    <font>
      <b/>
      <sz val="10"/>
      <color rgb="FF1E4E79"/>
      <name val="Tahoma"/>
      <family val="2"/>
    </font>
    <font>
      <b/>
      <sz val="10"/>
      <color theme="1"/>
      <name val="Tahoma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sz val="10"/>
      <color rgb="FF333F4F"/>
      <name val="Tahoma"/>
      <family val="2"/>
    </font>
    <font>
      <b/>
      <sz val="10"/>
      <color theme="0"/>
      <name val="Tahoma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FF0000"/>
      <name val="Tahoma"/>
      <family val="2"/>
    </font>
    <font>
      <b/>
      <u/>
      <sz val="10"/>
      <color rgb="FF0000FF"/>
      <name val="Tahoma"/>
      <family val="2"/>
    </font>
    <font>
      <b/>
      <u/>
      <sz val="10"/>
      <color rgb="FF0000FF"/>
      <name val="Tahoma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u/>
      <sz val="10"/>
      <color theme="1"/>
      <name val="Tahoma"/>
      <family val="2"/>
    </font>
    <font>
      <sz val="10"/>
      <name val="Tahoma"/>
      <family val="2"/>
    </font>
    <font>
      <sz val="10"/>
      <name val="Arial"/>
      <family val="2"/>
    </font>
    <font>
      <b/>
      <sz val="10"/>
      <color rgb="FF0000FF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rgb="FF9CC2E5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1F38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9" fontId="19" fillId="0" borderId="0" applyFont="0" applyFill="0" applyBorder="0" applyAlignment="0" applyProtection="0"/>
    <xf numFmtId="0" fontId="1" fillId="0" borderId="1"/>
    <xf numFmtId="0" fontId="22" fillId="0" borderId="1"/>
    <xf numFmtId="43" fontId="1" fillId="0" borderId="1" applyFont="0" applyFill="0" applyBorder="0" applyAlignment="0" applyProtection="0"/>
    <xf numFmtId="0" fontId="22" fillId="0" borderId="1"/>
  </cellStyleXfs>
  <cellXfs count="168">
    <xf numFmtId="0" fontId="0" fillId="0" borderId="0" xfId="0" applyFont="1" applyAlignment="1"/>
    <xf numFmtId="0" fontId="2" fillId="2" borderId="1" xfId="0" applyFont="1" applyFill="1" applyBorder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top"/>
    </xf>
    <xf numFmtId="0" fontId="2" fillId="0" borderId="4" xfId="0" applyFont="1" applyBorder="1"/>
    <xf numFmtId="0" fontId="7" fillId="2" borderId="1" xfId="0" applyFont="1" applyFill="1" applyBorder="1" applyAlignment="1">
      <alignment horizontal="left" vertical="center"/>
    </xf>
    <xf numFmtId="0" fontId="8" fillId="0" borderId="0" xfId="0" applyFont="1"/>
    <xf numFmtId="0" fontId="2" fillId="2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7" fillId="2" borderId="1" xfId="0" applyFont="1" applyFill="1" applyBorder="1"/>
    <xf numFmtId="0" fontId="7" fillId="0" borderId="0" xfId="0" applyFont="1"/>
    <xf numFmtId="0" fontId="13" fillId="0" borderId="0" xfId="0" applyFont="1"/>
    <xf numFmtId="15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43" fontId="4" fillId="3" borderId="3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Border="1"/>
    <xf numFmtId="49" fontId="2" fillId="0" borderId="3" xfId="0" applyNumberFormat="1" applyFont="1" applyBorder="1"/>
    <xf numFmtId="14" fontId="2" fillId="0" borderId="3" xfId="0" applyNumberFormat="1" applyFont="1" applyBorder="1"/>
    <xf numFmtId="165" fontId="14" fillId="0" borderId="3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43" fontId="2" fillId="0" borderId="3" xfId="0" applyNumberFormat="1" applyFont="1" applyBorder="1"/>
    <xf numFmtId="0" fontId="5" fillId="0" borderId="0" xfId="0" applyFont="1"/>
    <xf numFmtId="0" fontId="14" fillId="0" borderId="3" xfId="0" applyFont="1" applyBorder="1"/>
    <xf numFmtId="1" fontId="2" fillId="0" borderId="0" xfId="0" applyNumberFormat="1" applyFont="1"/>
    <xf numFmtId="49" fontId="2" fillId="0" borderId="0" xfId="0" applyNumberFormat="1" applyFont="1"/>
    <xf numFmtId="14" fontId="2" fillId="0" borderId="0" xfId="0" applyNumberFormat="1" applyFont="1"/>
    <xf numFmtId="165" fontId="2" fillId="0" borderId="0" xfId="0" applyNumberFormat="1" applyFont="1"/>
    <xf numFmtId="165" fontId="14" fillId="0" borderId="0" xfId="0" applyNumberFormat="1" applyFont="1"/>
    <xf numFmtId="0" fontId="2" fillId="0" borderId="11" xfId="0" applyFont="1" applyBorder="1"/>
    <xf numFmtId="165" fontId="2" fillId="0" borderId="12" xfId="0" applyNumberFormat="1" applyFont="1" applyBorder="1"/>
    <xf numFmtId="43" fontId="2" fillId="0" borderId="12" xfId="0" applyNumberFormat="1" applyFont="1" applyBorder="1"/>
    <xf numFmtId="165" fontId="5" fillId="0" borderId="0" xfId="0" applyNumberFormat="1" applyFont="1"/>
    <xf numFmtId="0" fontId="1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6" fontId="2" fillId="0" borderId="0" xfId="0" applyNumberFormat="1" applyFont="1"/>
    <xf numFmtId="166" fontId="2" fillId="2" borderId="3" xfId="0" applyNumberFormat="1" applyFont="1" applyFill="1" applyBorder="1"/>
    <xf numFmtId="166" fontId="2" fillId="2" borderId="13" xfId="0" applyNumberFormat="1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horizontal="right"/>
    </xf>
    <xf numFmtId="164" fontId="2" fillId="2" borderId="1" xfId="0" applyNumberFormat="1" applyFont="1" applyFill="1" applyBorder="1"/>
    <xf numFmtId="0" fontId="16" fillId="0" borderId="0" xfId="0" applyFont="1" applyAlignment="1">
      <alignment horizontal="left"/>
    </xf>
    <xf numFmtId="0" fontId="17" fillId="2" borderId="1" xfId="0" applyFont="1" applyFill="1" applyBorder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" fillId="2" borderId="1" xfId="2" applyFont="1" applyFill="1"/>
    <xf numFmtId="0" fontId="2" fillId="0" borderId="1" xfId="2" applyFont="1"/>
    <xf numFmtId="0" fontId="1" fillId="0" borderId="1" xfId="2"/>
    <xf numFmtId="0" fontId="2" fillId="2" borderId="1" xfId="2" applyFont="1" applyFill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3" fillId="2" borderId="1" xfId="2" applyFont="1" applyFill="1" applyAlignment="1">
      <alignment vertical="center"/>
    </xf>
    <xf numFmtId="0" fontId="2" fillId="0" borderId="3" xfId="2" applyFont="1" applyBorder="1" applyAlignment="1">
      <alignment horizontal="center" vertical="center" wrapText="1"/>
    </xf>
    <xf numFmtId="0" fontId="2" fillId="4" borderId="3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3" fillId="2" borderId="1" xfId="2" applyFont="1" applyFill="1" applyAlignment="1">
      <alignment horizontal="right" vertical="center" wrapText="1"/>
    </xf>
    <xf numFmtId="0" fontId="2" fillId="2" borderId="1" xfId="2" applyFont="1" applyFill="1" applyAlignment="1">
      <alignment horizontal="center"/>
    </xf>
    <xf numFmtId="0" fontId="4" fillId="2" borderId="1" xfId="2" applyFont="1" applyFill="1" applyAlignment="1">
      <alignment horizontal="left" vertical="center"/>
    </xf>
    <xf numFmtId="0" fontId="6" fillId="2" borderId="1" xfId="2" applyFont="1" applyFill="1" applyAlignment="1">
      <alignment horizontal="left" vertical="center"/>
    </xf>
    <xf numFmtId="0" fontId="4" fillId="0" borderId="1" xfId="2" applyFont="1" applyAlignment="1">
      <alignment horizontal="left" vertical="top"/>
    </xf>
    <xf numFmtId="0" fontId="4" fillId="0" borderId="1" xfId="2" applyFont="1" applyAlignment="1">
      <alignment horizontal="left" vertical="center"/>
    </xf>
    <xf numFmtId="0" fontId="2" fillId="0" borderId="4" xfId="2" applyFont="1" applyBorder="1"/>
    <xf numFmtId="0" fontId="7" fillId="2" borderId="1" xfId="2" applyFont="1" applyFill="1" applyAlignment="1">
      <alignment horizontal="left" vertical="center"/>
    </xf>
    <xf numFmtId="0" fontId="8" fillId="0" borderId="1" xfId="2" applyFont="1"/>
    <xf numFmtId="0" fontId="9" fillId="0" borderId="1" xfId="2" applyFont="1"/>
    <xf numFmtId="0" fontId="20" fillId="2" borderId="1" xfId="2" applyFont="1" applyFill="1" applyAlignment="1">
      <alignment horizontal="left"/>
    </xf>
    <xf numFmtId="0" fontId="2" fillId="3" borderId="3" xfId="2" applyFont="1" applyFill="1" applyBorder="1" applyAlignment="1">
      <alignment horizontal="center"/>
    </xf>
    <xf numFmtId="0" fontId="2" fillId="3" borderId="3" xfId="2" applyFont="1" applyFill="1" applyBorder="1"/>
    <xf numFmtId="0" fontId="2" fillId="0" borderId="3" xfId="2" applyFont="1" applyBorder="1" applyAlignment="1">
      <alignment horizontal="center"/>
    </xf>
    <xf numFmtId="0" fontId="2" fillId="0" borderId="1" xfId="2" applyFont="1" applyAlignment="1">
      <alignment horizontal="right"/>
    </xf>
    <xf numFmtId="0" fontId="21" fillId="0" borderId="1" xfId="2" applyFont="1"/>
    <xf numFmtId="0" fontId="21" fillId="0" borderId="1" xfId="3" applyFont="1"/>
    <xf numFmtId="0" fontId="15" fillId="0" borderId="1" xfId="2" applyFont="1"/>
    <xf numFmtId="167" fontId="9" fillId="2" borderId="1" xfId="2" applyNumberFormat="1" applyFont="1" applyFill="1" applyAlignment="1">
      <alignment horizontal="left"/>
    </xf>
    <xf numFmtId="0" fontId="5" fillId="0" borderId="1" xfId="2" applyFont="1"/>
    <xf numFmtId="0" fontId="8" fillId="2" borderId="1" xfId="2" applyFont="1" applyFill="1"/>
    <xf numFmtId="0" fontId="5" fillId="0" borderId="1" xfId="2" applyFont="1" applyAlignment="1">
      <alignment horizontal="center"/>
    </xf>
    <xf numFmtId="0" fontId="2" fillId="0" borderId="1" xfId="2" applyFont="1" applyAlignment="1">
      <alignment horizontal="center"/>
    </xf>
    <xf numFmtId="0" fontId="15" fillId="2" borderId="1" xfId="2" applyFont="1" applyFill="1"/>
    <xf numFmtId="0" fontId="9" fillId="7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14" fontId="4" fillId="10" borderId="14" xfId="3" applyNumberFormat="1" applyFont="1" applyFill="1" applyBorder="1" applyAlignment="1">
      <alignment horizontal="center" vertical="center" wrapText="1"/>
    </xf>
    <xf numFmtId="10" fontId="4" fillId="10" borderId="14" xfId="1" applyNumberFormat="1" applyFont="1" applyFill="1" applyBorder="1" applyAlignment="1">
      <alignment horizontal="center" vertical="center" wrapText="1"/>
    </xf>
    <xf numFmtId="43" fontId="4" fillId="10" borderId="14" xfId="4" applyFont="1" applyFill="1" applyBorder="1" applyAlignment="1">
      <alignment horizontal="center" vertical="center" wrapText="1"/>
    </xf>
    <xf numFmtId="9" fontId="4" fillId="10" borderId="14" xfId="1" applyFont="1" applyFill="1" applyBorder="1" applyAlignment="1">
      <alignment horizontal="center" vertical="center" wrapText="1"/>
    </xf>
    <xf numFmtId="0" fontId="4" fillId="10" borderId="14" xfId="3" applyFont="1" applyFill="1" applyBorder="1" applyAlignment="1">
      <alignment horizontal="center" vertical="center" wrapText="1"/>
    </xf>
    <xf numFmtId="0" fontId="2" fillId="0" borderId="14" xfId="0" applyFont="1" applyBorder="1"/>
    <xf numFmtId="14" fontId="2" fillId="0" borderId="14" xfId="0" applyNumberFormat="1" applyFont="1" applyBorder="1"/>
    <xf numFmtId="10" fontId="2" fillId="0" borderId="14" xfId="0" applyNumberFormat="1" applyFont="1" applyBorder="1"/>
    <xf numFmtId="165" fontId="2" fillId="0" borderId="14" xfId="4" applyNumberFormat="1" applyFont="1" applyBorder="1"/>
    <xf numFmtId="9" fontId="2" fillId="0" borderId="14" xfId="0" applyNumberFormat="1" applyFont="1" applyBorder="1"/>
    <xf numFmtId="10" fontId="2" fillId="0" borderId="0" xfId="0" applyNumberFormat="1" applyFont="1"/>
    <xf numFmtId="165" fontId="2" fillId="0" borderId="1" xfId="4" applyNumberFormat="1" applyFont="1"/>
    <xf numFmtId="9" fontId="2" fillId="0" borderId="0" xfId="0" applyNumberFormat="1" applyFont="1"/>
    <xf numFmtId="165" fontId="2" fillId="0" borderId="13" xfId="0" applyNumberFormat="1" applyFont="1" applyBorder="1"/>
    <xf numFmtId="0" fontId="0" fillId="0" borderId="0" xfId="0"/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5" fontId="14" fillId="0" borderId="0" xfId="0" applyNumberFormat="1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5" fillId="2" borderId="1" xfId="0" applyFont="1" applyFill="1" applyBorder="1"/>
    <xf numFmtId="0" fontId="0" fillId="0" borderId="0" xfId="0" applyFont="1" applyAlignment="1"/>
    <xf numFmtId="0" fontId="8" fillId="2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2" borderId="1" xfId="0" applyFont="1" applyFill="1" applyBorder="1" applyAlignment="1">
      <alignment horizontal="right"/>
    </xf>
    <xf numFmtId="164" fontId="5" fillId="2" borderId="13" xfId="0" applyNumberFormat="1" applyFont="1" applyFill="1" applyBorder="1"/>
    <xf numFmtId="0" fontId="21" fillId="0" borderId="1" xfId="0" applyFont="1" applyBorder="1"/>
    <xf numFmtId="165" fontId="5" fillId="0" borderId="0" xfId="0" applyNumberFormat="1" applyFont="1" applyAlignment="1">
      <alignment horizontal="center"/>
    </xf>
    <xf numFmtId="14" fontId="4" fillId="3" borderId="3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/>
    <xf numFmtId="0" fontId="23" fillId="7" borderId="1" xfId="5" applyFont="1" applyFill="1" applyAlignment="1">
      <alignment horizontal="left"/>
    </xf>
    <xf numFmtId="0" fontId="23" fillId="7" borderId="1" xfId="5" applyFont="1" applyFill="1" applyAlignment="1">
      <alignment horizontal="center"/>
    </xf>
    <xf numFmtId="0" fontId="11" fillId="5" borderId="5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49" fontId="4" fillId="9" borderId="15" xfId="3" applyNumberFormat="1" applyFont="1" applyFill="1" applyBorder="1" applyAlignment="1">
      <alignment horizontal="center" vertical="center" wrapText="1"/>
    </xf>
    <xf numFmtId="49" fontId="4" fillId="9" borderId="16" xfId="3" applyNumberFormat="1" applyFont="1" applyFill="1" applyBorder="1" applyAlignment="1">
      <alignment horizontal="center" vertical="center" wrapText="1"/>
    </xf>
    <xf numFmtId="49" fontId="4" fillId="9" borderId="17" xfId="3" applyNumberFormat="1" applyFont="1" applyFill="1" applyBorder="1" applyAlignment="1">
      <alignment horizontal="center" vertical="center" wrapText="1"/>
    </xf>
    <xf numFmtId="167" fontId="4" fillId="9" borderId="15" xfId="3" applyNumberFormat="1" applyFont="1" applyFill="1" applyBorder="1" applyAlignment="1">
      <alignment horizontal="center" vertical="center" wrapText="1"/>
    </xf>
    <xf numFmtId="167" fontId="4" fillId="9" borderId="16" xfId="3" applyNumberFormat="1" applyFont="1" applyFill="1" applyBorder="1" applyAlignment="1">
      <alignment horizontal="center" vertical="center" wrapText="1"/>
    </xf>
    <xf numFmtId="167" fontId="4" fillId="9" borderId="17" xfId="3" applyNumberFormat="1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/>
    </xf>
    <xf numFmtId="0" fontId="12" fillId="9" borderId="6" xfId="0" applyFont="1" applyFill="1" applyBorder="1"/>
    <xf numFmtId="0" fontId="12" fillId="9" borderId="8" xfId="0" applyFont="1" applyFill="1" applyBorder="1"/>
    <xf numFmtId="0" fontId="4" fillId="3" borderId="9" xfId="0" applyFont="1" applyFill="1" applyBorder="1" applyAlignment="1">
      <alignment horizontal="center" vertical="center" wrapText="1"/>
    </xf>
    <xf numFmtId="0" fontId="12" fillId="0" borderId="10" xfId="0" applyFont="1" applyBorder="1"/>
    <xf numFmtId="0" fontId="11" fillId="5" borderId="5" xfId="0" applyFont="1" applyFill="1" applyBorder="1" applyAlignment="1">
      <alignment horizontal="center"/>
    </xf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4" fillId="6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Font="1" applyAlignment="1"/>
  </cellXfs>
  <cellStyles count="6">
    <cellStyle name="Millares 3" xfId="4" xr:uid="{DAC65449-CAF1-4AD2-9943-2D00FBF0122B}"/>
    <cellStyle name="Normal" xfId="0" builtinId="0"/>
    <cellStyle name="Normal 2" xfId="2" xr:uid="{C372D295-C97C-4982-905B-D8E1ECD376BD}"/>
    <cellStyle name="Normal 2 2 2 10" xfId="5" xr:uid="{DAB744C0-2CE8-45DA-8C04-33356B1E7AE6}"/>
    <cellStyle name="Normal 2 3 2 5" xfId="3" xr:uid="{682DDE4E-8F01-45DE-BDDE-BE5E588843CD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33</xdr:row>
      <xdr:rowOff>0</xdr:rowOff>
    </xdr:from>
    <xdr:ext cx="514350" cy="39147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A45C939-B28B-45EE-AE98-5ACE73A7EE6C}"/>
            </a:ext>
          </a:extLst>
        </xdr:cNvPr>
        <xdr:cNvSpPr/>
      </xdr:nvSpPr>
      <xdr:spPr>
        <a:xfrm>
          <a:off x="679450" y="4787900"/>
          <a:ext cx="514350" cy="3914775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34</xdr:row>
      <xdr:rowOff>38100</xdr:rowOff>
    </xdr:from>
    <xdr:ext cx="73437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95325" y="4991100"/>
          <a:ext cx="7343775" cy="38100"/>
          <a:chOff x="1674113" y="3770475"/>
          <a:chExt cx="73437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1674113" y="3770475"/>
            <a:ext cx="7343775" cy="1905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190500</xdr:colOff>
      <xdr:row>34</xdr:row>
      <xdr:rowOff>19050</xdr:rowOff>
    </xdr:from>
    <xdr:ext cx="88487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8334375" y="4972050"/>
          <a:ext cx="8848725" cy="38100"/>
          <a:chOff x="921638" y="3770475"/>
          <a:chExt cx="8848725" cy="1905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921638" y="3770475"/>
            <a:ext cx="8848725" cy="1905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27</xdr:col>
      <xdr:colOff>217487</xdr:colOff>
      <xdr:row>34</xdr:row>
      <xdr:rowOff>57150</xdr:rowOff>
    </xdr:from>
    <xdr:ext cx="5400000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25665112" y="5010150"/>
          <a:ext cx="5400000" cy="38100"/>
          <a:chOff x="2836163" y="3780000"/>
          <a:chExt cx="5019675" cy="0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2836163" y="3780000"/>
            <a:ext cx="5019675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57150</xdr:colOff>
      <xdr:row>33</xdr:row>
      <xdr:rowOff>104775</xdr:rowOff>
    </xdr:from>
    <xdr:ext cx="247650" cy="247650"/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296862</xdr:colOff>
      <xdr:row>69</xdr:row>
      <xdr:rowOff>119061</xdr:rowOff>
    </xdr:from>
    <xdr:ext cx="190500" cy="18097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6862" y="10540999"/>
          <a:ext cx="19050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303213</xdr:colOff>
      <xdr:row>68</xdr:row>
      <xdr:rowOff>41272</xdr:rowOff>
    </xdr:from>
    <xdr:ext cx="180000" cy="180975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03213" y="10375897"/>
          <a:ext cx="18000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33</xdr:row>
      <xdr:rowOff>76200</xdr:rowOff>
    </xdr:from>
    <xdr:ext cx="247650" cy="257175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1792288</xdr:colOff>
      <xdr:row>59</xdr:row>
      <xdr:rowOff>82550</xdr:rowOff>
    </xdr:from>
    <xdr:ext cx="190500" cy="190500"/>
    <xdr:pic>
      <xdr:nvPicPr>
        <xdr:cNvPr id="13" name="image6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141788" y="9123363"/>
          <a:ext cx="19050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20638</xdr:colOff>
      <xdr:row>33</xdr:row>
      <xdr:rowOff>87313</xdr:rowOff>
    </xdr:from>
    <xdr:ext cx="228600" cy="228600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5817513" y="4738688"/>
          <a:ext cx="2286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730249</xdr:colOff>
      <xdr:row>47</xdr:row>
      <xdr:rowOff>158748</xdr:rowOff>
    </xdr:from>
    <xdr:ext cx="180000" cy="180000"/>
    <xdr:pic>
      <xdr:nvPicPr>
        <xdr:cNvPr id="15" name="image7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961187" y="7135811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1023938</xdr:colOff>
      <xdr:row>47</xdr:row>
      <xdr:rowOff>158750</xdr:rowOff>
    </xdr:from>
    <xdr:ext cx="152400" cy="152400"/>
    <xdr:pic>
      <xdr:nvPicPr>
        <xdr:cNvPr id="16" name="image7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6820813" y="7135813"/>
          <a:ext cx="152400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285749</xdr:colOff>
      <xdr:row>71</xdr:row>
      <xdr:rowOff>0</xdr:rowOff>
    </xdr:from>
    <xdr:ext cx="180000" cy="180000"/>
    <xdr:pic>
      <xdr:nvPicPr>
        <xdr:cNvPr id="17" name="image9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85749" y="10723563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301624</xdr:colOff>
      <xdr:row>72</xdr:row>
      <xdr:rowOff>23813</xdr:rowOff>
    </xdr:from>
    <xdr:ext cx="152400" cy="152400"/>
    <xdr:pic>
      <xdr:nvPicPr>
        <xdr:cNvPr id="18" name="image8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1624" y="10898188"/>
          <a:ext cx="152400" cy="1524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16</xdr:col>
      <xdr:colOff>195413</xdr:colOff>
      <xdr:row>33</xdr:row>
      <xdr:rowOff>107931</xdr:rowOff>
    </xdr:from>
    <xdr:to>
      <xdr:col>17</xdr:col>
      <xdr:colOff>198900</xdr:colOff>
      <xdr:row>35</xdr:row>
      <xdr:rowOff>26027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E86B7A6-7348-4BFF-A9E6-41A0B9C31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38913" y="4910119"/>
          <a:ext cx="217800" cy="219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206375</xdr:colOff>
      <xdr:row>34</xdr:row>
      <xdr:rowOff>71436</xdr:rowOff>
    </xdr:from>
    <xdr:to>
      <xdr:col>22</xdr:col>
      <xdr:colOff>733937</xdr:colOff>
      <xdr:row>34</xdr:row>
      <xdr:rowOff>79374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BFEE7F08-57B1-474A-899D-AC78B93BEE89}"/>
            </a:ext>
          </a:extLst>
        </xdr:cNvPr>
        <xdr:cNvCxnSpPr/>
      </xdr:nvCxnSpPr>
      <xdr:spPr>
        <a:xfrm flipV="1">
          <a:off x="16106775" y="5062536"/>
          <a:ext cx="4528062" cy="79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206375</xdr:colOff>
      <xdr:row>33</xdr:row>
      <xdr:rowOff>119061</xdr:rowOff>
    </xdr:from>
    <xdr:ext cx="180000" cy="180000"/>
    <xdr:pic>
      <xdr:nvPicPr>
        <xdr:cNvPr id="21" name="image7.png">
          <a:extLst>
            <a:ext uri="{FF2B5EF4-FFF2-40B4-BE49-F238E27FC236}">
              <a16:creationId xmlns:a16="http://schemas.microsoft.com/office/drawing/2014/main" id="{3C25AD20-A9E4-476D-8E57-96837FCA1C71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3074313" y="4921249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498655</xdr:colOff>
      <xdr:row>47</xdr:row>
      <xdr:rowOff>79692</xdr:rowOff>
    </xdr:from>
    <xdr:ext cx="202844" cy="167640"/>
    <xdr:pic>
      <xdr:nvPicPr>
        <xdr:cNvPr id="24" name="image7.png">
          <a:extLst>
            <a:ext uri="{FF2B5EF4-FFF2-40B4-BE49-F238E27FC236}">
              <a16:creationId xmlns:a16="http://schemas.microsoft.com/office/drawing/2014/main" id="{4B6336DC-088D-4C86-ABEE-F9D67F6A548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3366593" y="7207567"/>
          <a:ext cx="202844" cy="16764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266854</xdr:colOff>
      <xdr:row>33</xdr:row>
      <xdr:rowOff>84286</xdr:rowOff>
    </xdr:from>
    <xdr:to>
      <xdr:col>15</xdr:col>
      <xdr:colOff>484654</xdr:colOff>
      <xdr:row>35</xdr:row>
      <xdr:rowOff>461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DF9356B-75E0-4555-A9D6-A7A55E527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08667" y="4886474"/>
          <a:ext cx="217800" cy="21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14438</xdr:colOff>
      <xdr:row>33</xdr:row>
      <xdr:rowOff>101581</xdr:rowOff>
    </xdr:from>
    <xdr:to>
      <xdr:col>24</xdr:col>
      <xdr:colOff>232238</xdr:colOff>
      <xdr:row>35</xdr:row>
      <xdr:rowOff>19677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719643F-25FB-4A8B-8890-E1E5A9C70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84063" y="4903769"/>
          <a:ext cx="217800" cy="219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232238</xdr:colOff>
      <xdr:row>34</xdr:row>
      <xdr:rowOff>60630</xdr:rowOff>
    </xdr:from>
    <xdr:to>
      <xdr:col>25</xdr:col>
      <xdr:colOff>785812</xdr:colOff>
      <xdr:row>34</xdr:row>
      <xdr:rowOff>63500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473DCD41-9160-4061-B6C9-052CAEBC4EFC}"/>
            </a:ext>
          </a:extLst>
        </xdr:cNvPr>
        <xdr:cNvCxnSpPr>
          <a:stCxn id="26" idx="3"/>
        </xdr:cNvCxnSpPr>
      </xdr:nvCxnSpPr>
      <xdr:spPr>
        <a:xfrm>
          <a:off x="23901863" y="5013630"/>
          <a:ext cx="1355262" cy="287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936625</xdr:colOff>
      <xdr:row>47</xdr:row>
      <xdr:rowOff>71436</xdr:rowOff>
    </xdr:from>
    <xdr:ext cx="180000" cy="180000"/>
    <xdr:pic>
      <xdr:nvPicPr>
        <xdr:cNvPr id="29" name="image7.png">
          <a:extLst>
            <a:ext uri="{FF2B5EF4-FFF2-40B4-BE49-F238E27FC236}">
              <a16:creationId xmlns:a16="http://schemas.microsoft.com/office/drawing/2014/main" id="{F32EDE39-8E3E-420B-84CC-A5587FFE6596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787813" y="7199311"/>
          <a:ext cx="180000" cy="1800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es\Kreston%20As\Champion%20Technologies\PPC\CONCILIACION%20CTAS%202014\ECUADOR%20CONCILIACIONES%20DE%20CUENTAS%20DIC%20%20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111000"/>
      <sheetName val="Citi-Pagos Sueldos 113033"/>
      <sheetName val="Produbanco 113110-11-12"/>
      <sheetName val=" Bco CITI 113120-21-22"/>
      <sheetName val="113121"/>
      <sheetName val="113122"/>
      <sheetName val="12100-121005"/>
      <sheetName val="Detalle 121000"/>
      <sheetName val="121080"/>
      <sheetName val="123000"/>
      <sheetName val="124000"/>
      <sheetName val="131000 "/>
      <sheetName val="134000 "/>
      <sheetName val="134010"/>
      <sheetName val="135010"/>
      <sheetName val="135400"/>
      <sheetName val=" 135510"/>
      <sheetName val=" 135600"/>
      <sheetName val="151280"/>
      <sheetName val="151290"/>
      <sheetName val="151430"/>
      <sheetName val="152070"/>
      <sheetName val="152100-152200"/>
      <sheetName val="BASE 152100-152200-211000"/>
      <sheetName val="MASTER 211000"/>
      <sheetName val="Masterdata"/>
      <sheetName val="160020-170070 "/>
      <sheetName val="196000"/>
      <sheetName val="211000"/>
      <sheetName val="211005 "/>
      <sheetName val="211010-15"/>
      <sheetName val="211050"/>
      <sheetName val="211200"/>
      <sheetName val="Sheet5"/>
      <sheetName val="211210"/>
      <sheetName val="213040"/>
      <sheetName val="213095"/>
      <sheetName val="213340"/>
      <sheetName val="213360"/>
      <sheetName val="213380"/>
      <sheetName val="213665"/>
      <sheetName val="214120"/>
      <sheetName val="214160"/>
      <sheetName val="216011-216040"/>
      <sheetName val="216140"/>
      <sheetName val="217030"/>
      <sheetName val="217200"/>
      <sheetName val="224000"/>
    </sheetNames>
    <sheetDataSet>
      <sheetData sheetId="0" refreshError="1">
        <row r="3">
          <cell r="B3">
            <v>111000</v>
          </cell>
          <cell r="C3" t="str">
            <v>Caja Chica</v>
          </cell>
          <cell r="D3">
            <v>200</v>
          </cell>
        </row>
        <row r="4">
          <cell r="B4">
            <v>113033</v>
          </cell>
          <cell r="C4" t="str">
            <v>Citi-Pagos Sueldos</v>
          </cell>
          <cell r="D4">
            <v>3153.71</v>
          </cell>
        </row>
        <row r="5">
          <cell r="B5">
            <v>113110</v>
          </cell>
          <cell r="C5" t="str">
            <v>B.Produbanco C.Ppal</v>
          </cell>
          <cell r="D5">
            <v>13147.34</v>
          </cell>
        </row>
        <row r="6">
          <cell r="B6">
            <v>113111</v>
          </cell>
          <cell r="C6" t="str">
            <v>B.Produbanco Depos</v>
          </cell>
          <cell r="D6">
            <v>3367221.49</v>
          </cell>
        </row>
        <row r="7">
          <cell r="B7">
            <v>113112</v>
          </cell>
          <cell r="C7" t="str">
            <v>B.Produbanco Cheques</v>
          </cell>
          <cell r="D7">
            <v>-3233938.55</v>
          </cell>
        </row>
        <row r="8">
          <cell r="B8">
            <v>113120</v>
          </cell>
          <cell r="C8" t="str">
            <v>Citibank -  EC Cuent</v>
          </cell>
          <cell r="D8">
            <v>543643.42000000004</v>
          </cell>
        </row>
        <row r="9">
          <cell r="B9">
            <v>113121</v>
          </cell>
          <cell r="C9" t="str">
            <v>Citibank -  EC Depós</v>
          </cell>
          <cell r="D9">
            <v>17716.82</v>
          </cell>
        </row>
        <row r="10">
          <cell r="B10">
            <v>113122</v>
          </cell>
          <cell r="C10" t="str">
            <v>Citibank -  EC Chequ</v>
          </cell>
          <cell r="D10">
            <v>-39935.81</v>
          </cell>
        </row>
        <row r="11">
          <cell r="B11">
            <v>121000</v>
          </cell>
          <cell r="C11" t="str">
            <v>Tr Rcvbls - Domestic</v>
          </cell>
          <cell r="D11">
            <v>1627672.19</v>
          </cell>
        </row>
        <row r="12">
          <cell r="B12">
            <v>121005</v>
          </cell>
          <cell r="C12" t="str">
            <v>I/C Trade Receiv.</v>
          </cell>
          <cell r="D12">
            <v>0</v>
          </cell>
        </row>
        <row r="13">
          <cell r="B13">
            <v>121040</v>
          </cell>
          <cell r="C13" t="str">
            <v>Ctas.X Cobrar</v>
          </cell>
          <cell r="D13">
            <v>0</v>
          </cell>
        </row>
        <row r="14">
          <cell r="B14">
            <v>121100</v>
          </cell>
          <cell r="C14" t="str">
            <v>Ctas.X C Inter</v>
          </cell>
          <cell r="D14">
            <v>0</v>
          </cell>
        </row>
        <row r="15">
          <cell r="B15">
            <v>123000</v>
          </cell>
          <cell r="C15" t="str">
            <v>Ctas.X Cobrar</v>
          </cell>
          <cell r="D15">
            <v>1632947.63</v>
          </cell>
        </row>
        <row r="16">
          <cell r="B16">
            <v>124000</v>
          </cell>
          <cell r="C16" t="str">
            <v>Provisión por</v>
          </cell>
          <cell r="D16">
            <v>-6000</v>
          </cell>
        </row>
        <row r="17">
          <cell r="B17">
            <v>131000</v>
          </cell>
          <cell r="C17" t="str">
            <v>Inv - Materia Prima</v>
          </cell>
          <cell r="D17">
            <v>184473.44</v>
          </cell>
        </row>
        <row r="18">
          <cell r="B18">
            <v>134000</v>
          </cell>
          <cell r="C18" t="str">
            <v>Invt - Finished Gds</v>
          </cell>
          <cell r="D18">
            <v>1911015.83</v>
          </cell>
        </row>
        <row r="19">
          <cell r="B19">
            <v>134010</v>
          </cell>
          <cell r="C19" t="str">
            <v>Inventario En Tr</v>
          </cell>
          <cell r="D19">
            <v>275331.73</v>
          </cell>
        </row>
        <row r="20">
          <cell r="B20">
            <v>135010</v>
          </cell>
          <cell r="C20" t="str">
            <v>Inv - Materiales Var</v>
          </cell>
          <cell r="D20">
            <v>0</v>
          </cell>
        </row>
        <row r="21">
          <cell r="B21">
            <v>135400</v>
          </cell>
          <cell r="C21" t="str">
            <v>Inventory-Reserve</v>
          </cell>
          <cell r="D21">
            <v>-15285.95</v>
          </cell>
        </row>
        <row r="22">
          <cell r="B22">
            <v>135510</v>
          </cell>
          <cell r="C22" t="str">
            <v>Inventario AS400</v>
          </cell>
          <cell r="D22">
            <v>-1083.25</v>
          </cell>
        </row>
        <row r="23">
          <cell r="B23">
            <v>135600</v>
          </cell>
          <cell r="C23" t="str">
            <v>Invent.Ajustes</v>
          </cell>
          <cell r="D23">
            <v>0</v>
          </cell>
        </row>
        <row r="24">
          <cell r="B24">
            <v>151070</v>
          </cell>
          <cell r="C24" t="str">
            <v>Seguros Pre</v>
          </cell>
          <cell r="D24">
            <v>0</v>
          </cell>
        </row>
        <row r="25">
          <cell r="B25">
            <v>151280</v>
          </cell>
          <cell r="C25" t="str">
            <v>Imp. PrepOtros</v>
          </cell>
          <cell r="D25">
            <v>383811.67</v>
          </cell>
        </row>
        <row r="26">
          <cell r="B26">
            <v>151290</v>
          </cell>
          <cell r="C26" t="str">
            <v>IVA Credito Fiscal</v>
          </cell>
          <cell r="D26">
            <v>0</v>
          </cell>
        </row>
        <row r="27">
          <cell r="B27">
            <v>151430</v>
          </cell>
          <cell r="C27" t="str">
            <v>GAN Ret Sufr</v>
          </cell>
          <cell r="D27">
            <v>0</v>
          </cell>
        </row>
        <row r="28">
          <cell r="B28">
            <v>152070</v>
          </cell>
          <cell r="C28" t="str">
            <v>Otros Gastos Pre</v>
          </cell>
          <cell r="D28">
            <v>11151.26</v>
          </cell>
        </row>
        <row r="29">
          <cell r="B29">
            <v>152100</v>
          </cell>
          <cell r="C29" t="str">
            <v>Gastos Viaje Prep.</v>
          </cell>
          <cell r="D29">
            <v>0</v>
          </cell>
        </row>
        <row r="30">
          <cell r="B30">
            <v>152200</v>
          </cell>
          <cell r="C30" t="str">
            <v>Vendor Prepayments</v>
          </cell>
          <cell r="D30">
            <v>47047.62</v>
          </cell>
        </row>
        <row r="31">
          <cell r="B31">
            <v>160020</v>
          </cell>
          <cell r="C31" t="str">
            <v>Equipos y Maquinaria</v>
          </cell>
          <cell r="D31">
            <v>268842.40000000002</v>
          </cell>
        </row>
        <row r="32">
          <cell r="B32">
            <v>160026</v>
          </cell>
          <cell r="C32" t="str">
            <v>Equipo de Laboratori</v>
          </cell>
          <cell r="D32">
            <v>94257.36</v>
          </cell>
        </row>
        <row r="33">
          <cell r="B33">
            <v>160030</v>
          </cell>
          <cell r="C33" t="str">
            <v>Mejor.prop.rentada</v>
          </cell>
          <cell r="D33">
            <v>30560</v>
          </cell>
        </row>
        <row r="34">
          <cell r="B34">
            <v>160040</v>
          </cell>
          <cell r="C34" t="str">
            <v>Rodados - Automovile</v>
          </cell>
          <cell r="D34">
            <v>287444.34000000003</v>
          </cell>
        </row>
        <row r="35">
          <cell r="B35">
            <v>160060</v>
          </cell>
          <cell r="C35" t="str">
            <v>Muebles y Utiles</v>
          </cell>
          <cell r="D35">
            <v>13294.86</v>
          </cell>
        </row>
        <row r="36">
          <cell r="B36">
            <v>160070</v>
          </cell>
          <cell r="C36" t="str">
            <v>Equipos de Computaci</v>
          </cell>
          <cell r="D36">
            <v>75578.25</v>
          </cell>
        </row>
        <row r="37">
          <cell r="B37">
            <v>170020</v>
          </cell>
          <cell r="C37" t="str">
            <v>De.Acum.Maqui.</v>
          </cell>
          <cell r="D37">
            <v>-103287.26</v>
          </cell>
        </row>
        <row r="38">
          <cell r="B38">
            <v>170026</v>
          </cell>
          <cell r="C38" t="str">
            <v>De.Acum.Equi/Lab</v>
          </cell>
          <cell r="D38">
            <v>-28659.75</v>
          </cell>
        </row>
        <row r="39">
          <cell r="B39">
            <v>170030</v>
          </cell>
          <cell r="C39" t="str">
            <v>De.Acum.Mejoras</v>
          </cell>
          <cell r="D39">
            <v>-21511.8</v>
          </cell>
        </row>
        <row r="40">
          <cell r="B40">
            <v>170040</v>
          </cell>
          <cell r="C40" t="str">
            <v>De.Acum.Vehicu</v>
          </cell>
          <cell r="D40">
            <v>-187701.82</v>
          </cell>
        </row>
        <row r="41">
          <cell r="B41">
            <v>170060</v>
          </cell>
          <cell r="C41" t="str">
            <v>De.Acum.Muebles</v>
          </cell>
          <cell r="D41">
            <v>-3452.36</v>
          </cell>
        </row>
        <row r="42">
          <cell r="B42">
            <v>170070</v>
          </cell>
          <cell r="C42" t="str">
            <v>Accum Dpr - Hardware</v>
          </cell>
          <cell r="D42">
            <v>-65188.92</v>
          </cell>
        </row>
        <row r="43">
          <cell r="B43">
            <v>196000</v>
          </cell>
          <cell r="C43" t="str">
            <v>Depositos</v>
          </cell>
          <cell r="D43">
            <v>26120</v>
          </cell>
        </row>
        <row r="44">
          <cell r="B44">
            <v>211000</v>
          </cell>
          <cell r="C44" t="str">
            <v>Cuentas por Pagar -</v>
          </cell>
          <cell r="D44">
            <v>-800165.51</v>
          </cell>
        </row>
        <row r="45">
          <cell r="B45">
            <v>211005</v>
          </cell>
          <cell r="C45" t="str">
            <v>Cuentas por Pagar IC</v>
          </cell>
          <cell r="D45">
            <v>-456987.35</v>
          </cell>
        </row>
        <row r="46">
          <cell r="B46">
            <v>211010</v>
          </cell>
          <cell r="C46" t="str">
            <v>Intercompany A/P-Man</v>
          </cell>
          <cell r="D46">
            <v>-400294.36</v>
          </cell>
        </row>
        <row r="47">
          <cell r="B47">
            <v>211015</v>
          </cell>
          <cell r="C47" t="str">
            <v>Intercompany A/P-Roy</v>
          </cell>
          <cell r="D47">
            <v>-185847</v>
          </cell>
        </row>
        <row r="48">
          <cell r="B48">
            <v>211030</v>
          </cell>
          <cell r="C48" t="str">
            <v>Ctas.X P. Inter</v>
          </cell>
          <cell r="D48">
            <v>-110002.91</v>
          </cell>
        </row>
        <row r="49">
          <cell r="B49">
            <v>211100</v>
          </cell>
          <cell r="C49" t="str">
            <v>Bien.reci/fact.reci.</v>
          </cell>
          <cell r="D49">
            <v>0</v>
          </cell>
        </row>
        <row r="50">
          <cell r="B50">
            <v>211200</v>
          </cell>
          <cell r="C50" t="str">
            <v>Prov/Frac recibir</v>
          </cell>
          <cell r="D50">
            <v>-376952.09</v>
          </cell>
        </row>
        <row r="51">
          <cell r="B51">
            <v>211210</v>
          </cell>
          <cell r="C51" t="str">
            <v>Otras Prov/Cost.Inv</v>
          </cell>
          <cell r="D51">
            <v>1028.51</v>
          </cell>
        </row>
        <row r="52">
          <cell r="B52">
            <v>211220</v>
          </cell>
          <cell r="C52" t="str">
            <v>Prov/Frac recibir</v>
          </cell>
          <cell r="D52">
            <v>0</v>
          </cell>
        </row>
        <row r="53">
          <cell r="B53">
            <v>213040</v>
          </cell>
          <cell r="C53" t="str">
            <v>Prov.Bonos.Empleados</v>
          </cell>
          <cell r="D53">
            <v>-30417.99</v>
          </cell>
        </row>
        <row r="54">
          <cell r="B54">
            <v>213095</v>
          </cell>
          <cell r="C54" t="str">
            <v>Prov Benefi.Labor.</v>
          </cell>
          <cell r="D54">
            <v>-201233</v>
          </cell>
        </row>
        <row r="55">
          <cell r="B55">
            <v>213340</v>
          </cell>
          <cell r="C55" t="str">
            <v>Otras Provisiones</v>
          </cell>
          <cell r="D55">
            <v>-58529.36</v>
          </cell>
        </row>
        <row r="56">
          <cell r="B56">
            <v>213360</v>
          </cell>
          <cell r="C56" t="str">
            <v>Prov de Nomina</v>
          </cell>
          <cell r="D56">
            <v>-19058.05</v>
          </cell>
        </row>
        <row r="57">
          <cell r="B57">
            <v>213380</v>
          </cell>
          <cell r="C57" t="str">
            <v>Prov Imp.de Nomina</v>
          </cell>
          <cell r="D57">
            <v>-48393.23</v>
          </cell>
        </row>
        <row r="58">
          <cell r="B58">
            <v>213665</v>
          </cell>
          <cell r="C58" t="str">
            <v>15% Profit Partic. E</v>
          </cell>
          <cell r="D58">
            <v>-216519.03</v>
          </cell>
        </row>
        <row r="59">
          <cell r="B59">
            <v>214120</v>
          </cell>
          <cell r="C59" t="str">
            <v>Accrd Severance-S/T</v>
          </cell>
          <cell r="D59">
            <v>-49086</v>
          </cell>
        </row>
        <row r="60">
          <cell r="B60">
            <v>214160</v>
          </cell>
          <cell r="C60" t="str">
            <v>Prov.Vacaciones</v>
          </cell>
          <cell r="D60">
            <v>-125444.36</v>
          </cell>
        </row>
        <row r="61">
          <cell r="B61">
            <v>216011</v>
          </cell>
          <cell r="C61" t="str">
            <v>WH-tax code 01- 03</v>
          </cell>
          <cell r="D61">
            <v>0</v>
          </cell>
        </row>
        <row r="62">
          <cell r="B62">
            <v>216012</v>
          </cell>
          <cell r="C62" t="str">
            <v>WH-tax code 01- 04</v>
          </cell>
          <cell r="D62">
            <v>0</v>
          </cell>
        </row>
        <row r="63">
          <cell r="B63">
            <v>216013</v>
          </cell>
          <cell r="C63" t="str">
            <v>WH-tax code 01- 05</v>
          </cell>
          <cell r="D63">
            <v>0</v>
          </cell>
        </row>
        <row r="64">
          <cell r="B64">
            <v>216014</v>
          </cell>
          <cell r="C64" t="str">
            <v>WH-tax code 01- 06</v>
          </cell>
          <cell r="D64">
            <v>0</v>
          </cell>
        </row>
        <row r="65">
          <cell r="B65">
            <v>216015</v>
          </cell>
          <cell r="C65" t="str">
            <v>Ret.Imp cod 01/0A-01</v>
          </cell>
          <cell r="D65">
            <v>0</v>
          </cell>
        </row>
        <row r="66">
          <cell r="B66">
            <v>216024</v>
          </cell>
          <cell r="C66" t="str">
            <v>Ret.Imp cod 0/A-02</v>
          </cell>
          <cell r="D66">
            <v>0</v>
          </cell>
        </row>
        <row r="67">
          <cell r="B67">
            <v>216030</v>
          </cell>
          <cell r="C67" t="str">
            <v>Ret.De Impuestos</v>
          </cell>
          <cell r="D67">
            <v>0</v>
          </cell>
        </row>
        <row r="68">
          <cell r="B68">
            <v>216040</v>
          </cell>
          <cell r="C68" t="str">
            <v>WH-tax code 01- 02</v>
          </cell>
          <cell r="D68">
            <v>0</v>
          </cell>
        </row>
        <row r="69">
          <cell r="B69">
            <v>216140</v>
          </cell>
          <cell r="C69" t="str">
            <v>IVA Debito Fiscal</v>
          </cell>
          <cell r="D69">
            <v>0</v>
          </cell>
        </row>
        <row r="70">
          <cell r="B70">
            <v>217030</v>
          </cell>
          <cell r="C70" t="str">
            <v>Impuesto/Renta</v>
          </cell>
          <cell r="D70">
            <v>0</v>
          </cell>
        </row>
        <row r="71">
          <cell r="B71">
            <v>224000</v>
          </cell>
          <cell r="C71" t="str">
            <v>Imp.a Gananc.Diferi</v>
          </cell>
          <cell r="D71">
            <v>18334</v>
          </cell>
        </row>
        <row r="72">
          <cell r="B72">
            <v>269000</v>
          </cell>
          <cell r="C72" t="str">
            <v>Area Funcional</v>
          </cell>
          <cell r="D72">
            <v>0</v>
          </cell>
        </row>
        <row r="73">
          <cell r="B73">
            <v>310000</v>
          </cell>
          <cell r="C73" t="str">
            <v>A.Comunes Valor</v>
          </cell>
          <cell r="D73">
            <v>-312440</v>
          </cell>
        </row>
        <row r="74">
          <cell r="B74">
            <v>320000</v>
          </cell>
          <cell r="C74" t="str">
            <v>APIC</v>
          </cell>
          <cell r="D74">
            <v>-18334</v>
          </cell>
        </row>
        <row r="75">
          <cell r="B75">
            <v>330000</v>
          </cell>
          <cell r="C75" t="str">
            <v>Utilidades Ret</v>
          </cell>
          <cell r="D75">
            <v>-2186387.92</v>
          </cell>
        </row>
        <row r="76">
          <cell r="B76">
            <v>330004</v>
          </cell>
          <cell r="C76" t="str">
            <v>Adjust R/E</v>
          </cell>
          <cell r="D76">
            <v>-88396</v>
          </cell>
        </row>
        <row r="77">
          <cell r="B77">
            <v>399990</v>
          </cell>
          <cell r="C77" t="str">
            <v>Contra-Partida</v>
          </cell>
          <cell r="D77">
            <v>0</v>
          </cell>
        </row>
        <row r="78">
          <cell r="B78">
            <v>410000</v>
          </cell>
          <cell r="C78" t="str">
            <v>Ingr.Ventas Dom.</v>
          </cell>
          <cell r="D78">
            <v>-16601228.939999999</v>
          </cell>
        </row>
        <row r="79">
          <cell r="B79">
            <v>410040</v>
          </cell>
          <cell r="C79" t="str">
            <v>Ingr Contenedores</v>
          </cell>
          <cell r="D79">
            <v>0</v>
          </cell>
        </row>
        <row r="80">
          <cell r="B80">
            <v>500000</v>
          </cell>
          <cell r="C80" t="str">
            <v>Costo de Ventas</v>
          </cell>
          <cell r="D80">
            <v>8091767.0599999996</v>
          </cell>
        </row>
        <row r="81">
          <cell r="B81">
            <v>500005</v>
          </cell>
          <cell r="C81" t="str">
            <v>Costo/Ventas Aj</v>
          </cell>
          <cell r="D81">
            <v>250706.77</v>
          </cell>
        </row>
        <row r="82">
          <cell r="B82">
            <v>500810</v>
          </cell>
          <cell r="C82" t="str">
            <v>Fletes - Saliendo</v>
          </cell>
          <cell r="D82">
            <v>0</v>
          </cell>
        </row>
        <row r="83">
          <cell r="B83">
            <v>500811</v>
          </cell>
          <cell r="C83" t="str">
            <v>Fletes/salid interna</v>
          </cell>
          <cell r="D83">
            <v>1200</v>
          </cell>
        </row>
        <row r="84">
          <cell r="B84">
            <v>510000</v>
          </cell>
          <cell r="C84" t="str">
            <v>Cons.Mat.primas</v>
          </cell>
          <cell r="D84">
            <v>2470510.42</v>
          </cell>
        </row>
        <row r="85">
          <cell r="B85">
            <v>510020</v>
          </cell>
          <cell r="C85" t="str">
            <v>Cons.Prod.Termin</v>
          </cell>
          <cell r="D85">
            <v>12996326.199999999</v>
          </cell>
        </row>
        <row r="86">
          <cell r="B86">
            <v>510060</v>
          </cell>
          <cell r="C86" t="str">
            <v>Cons.Otros cost.Inv</v>
          </cell>
          <cell r="D86">
            <v>8695.59</v>
          </cell>
        </row>
        <row r="87">
          <cell r="B87">
            <v>520000</v>
          </cell>
          <cell r="C87" t="str">
            <v>G/P Valuaci.De mat.</v>
          </cell>
          <cell r="D87">
            <v>-37.270000000000003</v>
          </cell>
        </row>
        <row r="88">
          <cell r="B88">
            <v>520010</v>
          </cell>
          <cell r="C88" t="str">
            <v>Ganancia/Per Inv.</v>
          </cell>
          <cell r="D88">
            <v>-2043.63</v>
          </cell>
        </row>
        <row r="89">
          <cell r="B89">
            <v>520100</v>
          </cell>
          <cell r="C89" t="str">
            <v>Ord.Prod.Comp.Stand</v>
          </cell>
          <cell r="D89">
            <v>-14893951.82</v>
          </cell>
        </row>
        <row r="90">
          <cell r="B90">
            <v>520110</v>
          </cell>
          <cell r="C90" t="str">
            <v>Ord.Prod.Comp.Variac</v>
          </cell>
          <cell r="D90">
            <v>-584354.76</v>
          </cell>
        </row>
        <row r="91">
          <cell r="B91">
            <v>530000</v>
          </cell>
          <cell r="C91" t="str">
            <v>G/P Var.en Precio</v>
          </cell>
          <cell r="D91">
            <v>-2302.56</v>
          </cell>
        </row>
        <row r="92">
          <cell r="B92">
            <v>530020</v>
          </cell>
          <cell r="C92" t="str">
            <v>IC Mark up on Purch</v>
          </cell>
          <cell r="D92">
            <v>760344.15</v>
          </cell>
        </row>
        <row r="93">
          <cell r="B93">
            <v>530050</v>
          </cell>
          <cell r="C93" t="str">
            <v>T/P Var.en producc</v>
          </cell>
          <cell r="D93">
            <v>98083.59</v>
          </cell>
        </row>
        <row r="94">
          <cell r="B94">
            <v>600060</v>
          </cell>
          <cell r="C94" t="str">
            <v>Public.Pag.Amarill.</v>
          </cell>
          <cell r="D94">
            <v>371.54</v>
          </cell>
        </row>
        <row r="95">
          <cell r="B95">
            <v>600200</v>
          </cell>
          <cell r="C95" t="str">
            <v>Honor/Auditoria</v>
          </cell>
          <cell r="D95">
            <v>0</v>
          </cell>
        </row>
        <row r="96">
          <cell r="B96">
            <v>600220</v>
          </cell>
          <cell r="C96" t="str">
            <v>Auto Combustible</v>
          </cell>
          <cell r="D96">
            <v>2455.62</v>
          </cell>
        </row>
        <row r="97">
          <cell r="B97">
            <v>600230</v>
          </cell>
          <cell r="C97" t="str">
            <v>Auto Reparaciones</v>
          </cell>
          <cell r="D97">
            <v>8902.7099999999991</v>
          </cell>
        </row>
        <row r="98">
          <cell r="B98">
            <v>600250</v>
          </cell>
          <cell r="C98" t="str">
            <v>Auto Licencias/Tit</v>
          </cell>
          <cell r="D98">
            <v>7235.09</v>
          </cell>
        </row>
        <row r="99">
          <cell r="B99">
            <v>600290</v>
          </cell>
          <cell r="C99" t="str">
            <v>Manten Edificio</v>
          </cell>
          <cell r="D99">
            <v>28497.49</v>
          </cell>
        </row>
        <row r="100">
          <cell r="B100">
            <v>600310</v>
          </cell>
          <cell r="C100" t="str">
            <v>Telefono Celular</v>
          </cell>
          <cell r="D100">
            <v>20922.95</v>
          </cell>
        </row>
        <row r="101">
          <cell r="B101">
            <v>600370</v>
          </cell>
          <cell r="C101" t="str">
            <v>Regalos compañia</v>
          </cell>
          <cell r="D101">
            <v>7805</v>
          </cell>
        </row>
        <row r="102">
          <cell r="B102">
            <v>600390</v>
          </cell>
          <cell r="C102" t="str">
            <v>Accesorios Compu.</v>
          </cell>
          <cell r="D102">
            <v>518</v>
          </cell>
        </row>
        <row r="103">
          <cell r="B103">
            <v>600410</v>
          </cell>
          <cell r="C103" t="str">
            <v>Trabajos Contr</v>
          </cell>
          <cell r="D103">
            <v>45576.14</v>
          </cell>
        </row>
        <row r="104">
          <cell r="B104">
            <v>600420</v>
          </cell>
          <cell r="C104" t="str">
            <v>Contrib/Donac</v>
          </cell>
          <cell r="D104">
            <v>12492.09</v>
          </cell>
        </row>
        <row r="105">
          <cell r="B105">
            <v>600470</v>
          </cell>
          <cell r="C105" t="str">
            <v>Correo/Entregas</v>
          </cell>
          <cell r="D105">
            <v>2730.88</v>
          </cell>
        </row>
        <row r="106">
          <cell r="B106">
            <v>600630</v>
          </cell>
          <cell r="C106" t="str">
            <v>Gtos.Exam.pre.empleo</v>
          </cell>
          <cell r="D106">
            <v>7096.69</v>
          </cell>
        </row>
        <row r="107">
          <cell r="B107">
            <v>600650</v>
          </cell>
          <cell r="C107" t="str">
            <v>Subscripciones</v>
          </cell>
          <cell r="D107">
            <v>1675.71</v>
          </cell>
        </row>
        <row r="108">
          <cell r="B108">
            <v>600665</v>
          </cell>
          <cell r="C108" t="str">
            <v>Gtos.Premios y Recon</v>
          </cell>
          <cell r="D108">
            <v>2793.33</v>
          </cell>
        </row>
        <row r="109">
          <cell r="B109">
            <v>600700</v>
          </cell>
          <cell r="C109" t="str">
            <v>Entretenimiento</v>
          </cell>
          <cell r="D109">
            <v>5117</v>
          </cell>
        </row>
        <row r="110">
          <cell r="B110">
            <v>600720</v>
          </cell>
          <cell r="C110" t="str">
            <v>Equip Leasing-Equip</v>
          </cell>
          <cell r="D110">
            <v>0</v>
          </cell>
        </row>
        <row r="111">
          <cell r="B111">
            <v>600810</v>
          </cell>
          <cell r="C111" t="str">
            <v>Freight-out</v>
          </cell>
          <cell r="D111">
            <v>505600.03</v>
          </cell>
        </row>
        <row r="112">
          <cell r="B112">
            <v>600820</v>
          </cell>
          <cell r="C112" t="str">
            <v>General/Administr.</v>
          </cell>
          <cell r="D112">
            <v>0</v>
          </cell>
        </row>
        <row r="113">
          <cell r="B113">
            <v>600870</v>
          </cell>
          <cell r="C113" t="str">
            <v>Seguro General</v>
          </cell>
          <cell r="D113">
            <v>79586.13</v>
          </cell>
        </row>
        <row r="114">
          <cell r="B114">
            <v>600880</v>
          </cell>
          <cell r="C114" t="str">
            <v>Seguro Salud</v>
          </cell>
          <cell r="D114">
            <v>85245.43</v>
          </cell>
        </row>
        <row r="115">
          <cell r="B115">
            <v>600900</v>
          </cell>
          <cell r="C115" t="str">
            <v>Seguro Vida</v>
          </cell>
          <cell r="D115">
            <v>12629.19</v>
          </cell>
        </row>
        <row r="116">
          <cell r="B116">
            <v>600990</v>
          </cell>
          <cell r="C116" t="str">
            <v>Analisis Laboratorio</v>
          </cell>
          <cell r="D116">
            <v>1280</v>
          </cell>
        </row>
        <row r="117">
          <cell r="B117">
            <v>601000</v>
          </cell>
          <cell r="C117" t="str">
            <v>Acces/lab.planta</v>
          </cell>
          <cell r="D117">
            <v>107037.49</v>
          </cell>
        </row>
        <row r="118">
          <cell r="B118">
            <v>601010</v>
          </cell>
          <cell r="C118" t="str">
            <v>Honorarios Legales</v>
          </cell>
          <cell r="D118">
            <v>14653.21</v>
          </cell>
        </row>
        <row r="119">
          <cell r="B119">
            <v>601030</v>
          </cell>
          <cell r="C119" t="str">
            <v>Meeting Expenses</v>
          </cell>
          <cell r="D119">
            <v>2647.81</v>
          </cell>
        </row>
        <row r="120">
          <cell r="B120">
            <v>601060</v>
          </cell>
          <cell r="C120" t="str">
            <v>Gastos Traslado</v>
          </cell>
          <cell r="D120">
            <v>20712.07</v>
          </cell>
        </row>
        <row r="121">
          <cell r="B121">
            <v>601080</v>
          </cell>
          <cell r="C121" t="str">
            <v>Other Acctg Services</v>
          </cell>
          <cell r="D121">
            <v>36680</v>
          </cell>
        </row>
        <row r="122">
          <cell r="B122">
            <v>601200</v>
          </cell>
          <cell r="C122" t="str">
            <v>Gastos impresion</v>
          </cell>
          <cell r="D122">
            <v>8554.25</v>
          </cell>
        </row>
        <row r="123">
          <cell r="B123">
            <v>601260</v>
          </cell>
          <cell r="C123" t="str">
            <v>Reclutamiento</v>
          </cell>
          <cell r="D123">
            <v>2100</v>
          </cell>
        </row>
        <row r="124">
          <cell r="B124">
            <v>601270</v>
          </cell>
          <cell r="C124" t="str">
            <v>Gastos de Relocacion</v>
          </cell>
          <cell r="D124">
            <v>0</v>
          </cell>
        </row>
        <row r="125">
          <cell r="B125">
            <v>601280</v>
          </cell>
          <cell r="C125" t="str">
            <v>Gasto Alquiler</v>
          </cell>
          <cell r="D125">
            <v>55944.52</v>
          </cell>
        </row>
        <row r="126">
          <cell r="B126">
            <v>601290</v>
          </cell>
          <cell r="C126" t="str">
            <v>Gastos/Repar</v>
          </cell>
          <cell r="D126">
            <v>1204.45</v>
          </cell>
        </row>
        <row r="127">
          <cell r="B127">
            <v>601310</v>
          </cell>
          <cell r="C127" t="str">
            <v>Equip.Plant rep/mant</v>
          </cell>
          <cell r="D127">
            <v>17666.080000000002</v>
          </cell>
        </row>
        <row r="128">
          <cell r="B128">
            <v>601330</v>
          </cell>
          <cell r="C128" t="str">
            <v>Gastos Seguridad</v>
          </cell>
          <cell r="D128">
            <v>88152.93</v>
          </cell>
        </row>
        <row r="129">
          <cell r="B129">
            <v>601350</v>
          </cell>
          <cell r="C129" t="str">
            <v>Gastos Vigilancia</v>
          </cell>
          <cell r="D129">
            <v>33426.480000000003</v>
          </cell>
        </row>
        <row r="130">
          <cell r="B130">
            <v>601360</v>
          </cell>
          <cell r="C130" t="str">
            <v>Contr.Serv.Y Mant.</v>
          </cell>
          <cell r="D130">
            <v>20031.12</v>
          </cell>
        </row>
        <row r="131">
          <cell r="B131">
            <v>601455</v>
          </cell>
          <cell r="C131" t="str">
            <v>Impuestos/propiedad</v>
          </cell>
          <cell r="D131">
            <v>122511.88</v>
          </cell>
        </row>
        <row r="132">
          <cell r="B132">
            <v>601480</v>
          </cell>
          <cell r="C132" t="str">
            <v>Gastos/telef/Int</v>
          </cell>
          <cell r="D132">
            <v>5072.66</v>
          </cell>
        </row>
        <row r="133">
          <cell r="B133">
            <v>601490</v>
          </cell>
          <cell r="C133" t="str">
            <v>Gastos/telef local</v>
          </cell>
          <cell r="D133">
            <v>2590.21</v>
          </cell>
        </row>
        <row r="134">
          <cell r="B134">
            <v>601520</v>
          </cell>
          <cell r="C134" t="str">
            <v>Trade Show Expense</v>
          </cell>
          <cell r="D134">
            <v>0</v>
          </cell>
        </row>
        <row r="135">
          <cell r="B135">
            <v>601540</v>
          </cell>
          <cell r="C135" t="str">
            <v>Gastos entren</v>
          </cell>
          <cell r="D135">
            <v>39014.17</v>
          </cell>
        </row>
        <row r="136">
          <cell r="B136">
            <v>601610</v>
          </cell>
          <cell r="C136" t="str">
            <v>Combus camiones</v>
          </cell>
          <cell r="D136">
            <v>24156.46</v>
          </cell>
        </row>
        <row r="137">
          <cell r="B137">
            <v>601620</v>
          </cell>
          <cell r="C137" t="str">
            <v>Alquiler Vehiculo</v>
          </cell>
          <cell r="D137">
            <v>419079.97</v>
          </cell>
        </row>
        <row r="138">
          <cell r="B138">
            <v>601630</v>
          </cell>
          <cell r="C138" t="str">
            <v>Repar Mant.</v>
          </cell>
          <cell r="D138">
            <v>48963.63</v>
          </cell>
        </row>
        <row r="139">
          <cell r="B139">
            <v>601665</v>
          </cell>
          <cell r="C139" t="str">
            <v>Uniforms</v>
          </cell>
          <cell r="D139">
            <v>2276.04</v>
          </cell>
        </row>
        <row r="140">
          <cell r="B140">
            <v>601670</v>
          </cell>
          <cell r="C140" t="str">
            <v>Gastos/electricidad</v>
          </cell>
          <cell r="D140">
            <v>4178.8599999999997</v>
          </cell>
        </row>
        <row r="141">
          <cell r="B141">
            <v>601690</v>
          </cell>
          <cell r="C141" t="str">
            <v>Utilities - Water</v>
          </cell>
          <cell r="D141">
            <v>4370.22</v>
          </cell>
        </row>
        <row r="142">
          <cell r="B142">
            <v>601700</v>
          </cell>
          <cell r="C142" t="str">
            <v>Gas/desper.(toxico)</v>
          </cell>
          <cell r="D142">
            <v>5006.63</v>
          </cell>
        </row>
        <row r="143">
          <cell r="B143">
            <v>610030</v>
          </cell>
          <cell r="C143" t="str">
            <v>Gastos/viaje Hotel</v>
          </cell>
          <cell r="D143">
            <v>301417.05</v>
          </cell>
        </row>
        <row r="144">
          <cell r="B144">
            <v>610070</v>
          </cell>
          <cell r="C144" t="str">
            <v>TE - Air, Rail, Mile</v>
          </cell>
          <cell r="D144">
            <v>192797.76</v>
          </cell>
        </row>
        <row r="145">
          <cell r="B145">
            <v>610520</v>
          </cell>
          <cell r="C145" t="str">
            <v>Gastos/nom Bonos</v>
          </cell>
          <cell r="D145">
            <v>44842</v>
          </cell>
        </row>
        <row r="146">
          <cell r="B146">
            <v>610540</v>
          </cell>
          <cell r="C146" t="str">
            <v>Payroll Exp-Vacation</v>
          </cell>
          <cell r="D146">
            <v>55642.95</v>
          </cell>
        </row>
        <row r="147">
          <cell r="B147">
            <v>610600</v>
          </cell>
          <cell r="C147" t="str">
            <v>Payroll - Pensions</v>
          </cell>
          <cell r="D147">
            <v>55040.47</v>
          </cell>
        </row>
        <row r="148">
          <cell r="B148">
            <v>610610</v>
          </cell>
          <cell r="C148" t="str">
            <v>Payroll - Empl. Ben.</v>
          </cell>
          <cell r="D148">
            <v>217965.3</v>
          </cell>
        </row>
        <row r="149">
          <cell r="B149">
            <v>610615</v>
          </cell>
          <cell r="C149" t="str">
            <v>Payroll - Empl. Ben.</v>
          </cell>
          <cell r="D149">
            <v>20252.57</v>
          </cell>
        </row>
        <row r="150">
          <cell r="B150">
            <v>610620</v>
          </cell>
          <cell r="C150" t="str">
            <v>Gastos/nom Comp.</v>
          </cell>
          <cell r="D150">
            <v>43127.53</v>
          </cell>
        </row>
        <row r="151">
          <cell r="B151">
            <v>611000</v>
          </cell>
          <cell r="C151" t="str">
            <v>Gastos/nom Salario</v>
          </cell>
          <cell r="D151">
            <v>1151862.3500000001</v>
          </cell>
        </row>
        <row r="152">
          <cell r="B152">
            <v>611010</v>
          </cell>
          <cell r="C152" t="str">
            <v>Payroll Exp-OT Wages</v>
          </cell>
          <cell r="D152">
            <v>194572.5</v>
          </cell>
        </row>
        <row r="153">
          <cell r="B153">
            <v>612000</v>
          </cell>
          <cell r="C153" t="str">
            <v>Gastos/nom Imp.</v>
          </cell>
          <cell r="D153">
            <v>170352.26</v>
          </cell>
        </row>
        <row r="154">
          <cell r="B154">
            <v>640010</v>
          </cell>
          <cell r="C154" t="str">
            <v>Dep. Edific Gasto</v>
          </cell>
          <cell r="D154">
            <v>6021.72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8E6F-630C-4072-80DC-85FB7163AD36}">
  <dimension ref="A1:T997"/>
  <sheetViews>
    <sheetView showGridLines="0" tabSelected="1" zoomScale="80" zoomScaleNormal="80" workbookViewId="0">
      <selection activeCell="B7" sqref="B7"/>
    </sheetView>
  </sheetViews>
  <sheetFormatPr baseColWidth="10" defaultColWidth="14.453125" defaultRowHeight="15" customHeight="1" x14ac:dyDescent="0.35"/>
  <cols>
    <col min="1" max="1" width="5.6328125" style="71" customWidth="1"/>
    <col min="2" max="2" width="15.26953125" style="71" customWidth="1"/>
    <col min="3" max="4" width="13.90625" style="71" customWidth="1"/>
    <col min="5" max="12" width="10.90625" style="71" customWidth="1"/>
    <col min="13" max="15" width="17.54296875" style="71" customWidth="1"/>
    <col min="16" max="20" width="10.6328125" style="71" customWidth="1"/>
    <col min="21" max="16384" width="14.453125" style="71"/>
  </cols>
  <sheetData>
    <row r="1" spans="1:20" ht="12" customHeight="1" x14ac:dyDescent="0.35">
      <c r="A1" s="69"/>
      <c r="B1" s="69"/>
      <c r="C1" s="69"/>
      <c r="D1" s="69"/>
      <c r="E1" s="69"/>
      <c r="F1" s="69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0" ht="12" customHeight="1" x14ac:dyDescent="0.35">
      <c r="A2" s="69"/>
      <c r="B2" s="72"/>
      <c r="C2" s="69"/>
      <c r="D2" s="69"/>
      <c r="E2" s="69"/>
      <c r="F2" s="70"/>
      <c r="G2" s="70"/>
      <c r="H2" s="70"/>
      <c r="I2" s="70"/>
      <c r="J2" s="70"/>
      <c r="K2" s="70"/>
      <c r="L2" s="70"/>
      <c r="M2" s="73" t="s">
        <v>0</v>
      </c>
      <c r="N2" s="73" t="s">
        <v>1</v>
      </c>
      <c r="O2" s="73" t="s">
        <v>2</v>
      </c>
      <c r="P2" s="70"/>
      <c r="Q2" s="70"/>
      <c r="R2" s="70"/>
      <c r="S2" s="70"/>
      <c r="T2" s="70"/>
    </row>
    <row r="3" spans="1:20" ht="12" customHeight="1" x14ac:dyDescent="0.35">
      <c r="A3" s="69"/>
      <c r="B3" s="74"/>
      <c r="C3" s="69"/>
      <c r="D3" s="69"/>
      <c r="E3" s="69"/>
      <c r="F3" s="70"/>
      <c r="G3" s="70"/>
      <c r="H3" s="70"/>
      <c r="I3" s="70"/>
      <c r="J3" s="70"/>
      <c r="K3" s="70"/>
      <c r="L3" s="70"/>
      <c r="M3" s="75" t="s">
        <v>3</v>
      </c>
      <c r="N3" s="76" t="s">
        <v>3</v>
      </c>
      <c r="O3" s="77" t="s">
        <v>86</v>
      </c>
      <c r="P3" s="70"/>
      <c r="Q3" s="70"/>
      <c r="R3" s="70"/>
      <c r="S3" s="70"/>
      <c r="T3" s="70"/>
    </row>
    <row r="4" spans="1:20" ht="12" customHeight="1" x14ac:dyDescent="0.35">
      <c r="A4" s="69"/>
      <c r="B4" s="69"/>
      <c r="C4" s="69"/>
      <c r="D4" s="69"/>
      <c r="E4" s="78"/>
      <c r="F4" s="79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</row>
    <row r="5" spans="1:20" ht="12" customHeight="1" x14ac:dyDescent="0.35">
      <c r="A5" s="69"/>
      <c r="B5" s="69"/>
      <c r="C5" s="69"/>
      <c r="D5" s="69"/>
      <c r="E5" s="78"/>
      <c r="F5" s="7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</row>
    <row r="6" spans="1:20" ht="12" customHeight="1" x14ac:dyDescent="0.35">
      <c r="A6" s="69"/>
      <c r="B6" s="80" t="s">
        <v>4</v>
      </c>
      <c r="C6" s="81"/>
      <c r="D6" s="81"/>
      <c r="E6" s="81"/>
      <c r="F6" s="81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</row>
    <row r="7" spans="1:20" ht="12" customHeight="1" x14ac:dyDescent="0.35">
      <c r="A7" s="69"/>
      <c r="B7" s="82" t="s">
        <v>84</v>
      </c>
      <c r="C7" s="81"/>
      <c r="D7" s="81"/>
      <c r="E7" s="81"/>
      <c r="F7" s="81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</row>
    <row r="8" spans="1:20" ht="12" customHeight="1" x14ac:dyDescent="0.35">
      <c r="A8" s="69"/>
      <c r="B8" s="83" t="s">
        <v>6</v>
      </c>
      <c r="C8" s="81"/>
      <c r="D8" s="81"/>
      <c r="E8" s="81"/>
      <c r="F8" s="81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</row>
    <row r="9" spans="1:20" ht="12" customHeight="1" x14ac:dyDescent="0.35">
      <c r="A9" s="69"/>
      <c r="B9" s="82" t="s">
        <v>7</v>
      </c>
      <c r="C9" s="81"/>
      <c r="D9" s="81"/>
      <c r="E9" s="81"/>
      <c r="F9" s="81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</row>
    <row r="10" spans="1:20" ht="7" customHeight="1" thickBot="1" x14ac:dyDescent="0.4">
      <c r="A10" s="69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70"/>
      <c r="Q10" s="70"/>
      <c r="R10" s="70"/>
      <c r="S10" s="70"/>
      <c r="T10" s="70"/>
    </row>
    <row r="11" spans="1:20" ht="12" customHeight="1" thickTop="1" x14ac:dyDescent="0.35">
      <c r="A11" s="70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70"/>
      <c r="Q11" s="70"/>
      <c r="R11" s="70"/>
      <c r="S11" s="70"/>
      <c r="T11" s="70"/>
    </row>
    <row r="12" spans="1:20" ht="12" customHeight="1" x14ac:dyDescent="0.35">
      <c r="A12" s="70"/>
      <c r="B12" s="86" t="s">
        <v>8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</row>
    <row r="13" spans="1:20" ht="6.75" customHeight="1" x14ac:dyDescent="0.35">
      <c r="A13" s="70"/>
      <c r="B13" s="86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</row>
    <row r="14" spans="1:20" ht="12" customHeight="1" x14ac:dyDescent="0.35">
      <c r="A14" s="70"/>
      <c r="B14" s="87" t="s">
        <v>85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</row>
    <row r="15" spans="1:20" ht="12" customHeight="1" x14ac:dyDescent="0.3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</row>
    <row r="16" spans="1:20" ht="12" customHeight="1" x14ac:dyDescent="0.35">
      <c r="A16" s="70"/>
      <c r="B16" s="86" t="s">
        <v>9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</row>
    <row r="17" spans="1:20" ht="6.75" customHeight="1" x14ac:dyDescent="0.35">
      <c r="A17" s="70"/>
      <c r="B17" s="86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</row>
    <row r="18" spans="1:20" ht="14.5" x14ac:dyDescent="0.35">
      <c r="A18" s="70"/>
      <c r="B18" s="86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</row>
    <row r="19" spans="1:20" ht="12" customHeight="1" x14ac:dyDescent="0.35">
      <c r="A19" s="70"/>
      <c r="B19" s="88"/>
      <c r="C19" s="89" t="s">
        <v>10</v>
      </c>
      <c r="D19" s="89" t="s">
        <v>11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</row>
    <row r="20" spans="1:20" ht="12" customHeight="1" x14ac:dyDescent="0.35">
      <c r="A20" s="70"/>
      <c r="B20" s="90" t="s">
        <v>12</v>
      </c>
      <c r="C20" s="91" t="s">
        <v>13</v>
      </c>
      <c r="D20" s="91" t="s">
        <v>13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</row>
    <row r="21" spans="1:20" ht="12" customHeight="1" x14ac:dyDescent="0.35">
      <c r="A21" s="70"/>
      <c r="B21" s="90" t="s">
        <v>14</v>
      </c>
      <c r="C21" s="91" t="s">
        <v>13</v>
      </c>
      <c r="D21" s="91" t="s">
        <v>13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</row>
    <row r="22" spans="1:20" ht="12" customHeight="1" x14ac:dyDescent="0.35">
      <c r="A22" s="70"/>
      <c r="B22" s="90" t="s">
        <v>15</v>
      </c>
      <c r="C22" s="91" t="s">
        <v>13</v>
      </c>
      <c r="D22" s="91" t="s">
        <v>13</v>
      </c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</row>
    <row r="23" spans="1:20" ht="12" customHeight="1" x14ac:dyDescent="0.35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</row>
    <row r="24" spans="1:20" ht="12" customHeight="1" x14ac:dyDescent="0.35">
      <c r="A24" s="70"/>
      <c r="B24" s="86" t="s">
        <v>16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</row>
    <row r="25" spans="1:20" ht="6.75" customHeight="1" x14ac:dyDescent="0.35">
      <c r="A25" s="70"/>
      <c r="B25" s="86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</row>
    <row r="26" spans="1:20" ht="14.5" x14ac:dyDescent="0.35">
      <c r="A26" s="92" t="s">
        <v>17</v>
      </c>
      <c r="B26" s="93" t="s">
        <v>77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</row>
    <row r="27" spans="1:20" ht="14.5" x14ac:dyDescent="0.35">
      <c r="A27" s="92" t="s">
        <v>18</v>
      </c>
      <c r="B27" s="136" t="s">
        <v>102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</row>
    <row r="28" spans="1:20" ht="12" customHeight="1" x14ac:dyDescent="0.35">
      <c r="A28" s="92" t="s">
        <v>19</v>
      </c>
      <c r="B28" s="70" t="s">
        <v>78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</row>
    <row r="29" spans="1:20" ht="12" customHeight="1" x14ac:dyDescent="0.35">
      <c r="A29" s="92" t="s">
        <v>20</v>
      </c>
      <c r="B29" s="70" t="s">
        <v>79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</row>
    <row r="30" spans="1:20" ht="12" customHeight="1" x14ac:dyDescent="0.35">
      <c r="A30" s="92" t="s">
        <v>101</v>
      </c>
      <c r="B30" s="94" t="s">
        <v>21</v>
      </c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</row>
    <row r="31" spans="1:20" ht="12" customHeight="1" x14ac:dyDescent="0.3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</row>
    <row r="32" spans="1:20" ht="12" customHeight="1" x14ac:dyDescent="0.35">
      <c r="A32" s="70"/>
      <c r="B32" s="86" t="s">
        <v>80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</row>
    <row r="33" spans="1:20" ht="12" customHeight="1" x14ac:dyDescent="0.35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</row>
    <row r="34" spans="1:20" ht="12" customHeight="1" x14ac:dyDescent="0.35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</row>
    <row r="35" spans="1:20" ht="12" customHeight="1" x14ac:dyDescent="0.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</row>
    <row r="36" spans="1:20" ht="12" customHeight="1" x14ac:dyDescent="0.35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</row>
    <row r="37" spans="1:20" ht="12" customHeight="1" x14ac:dyDescent="0.35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</row>
    <row r="38" spans="1:20" ht="12" customHeight="1" x14ac:dyDescent="0.35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</row>
    <row r="39" spans="1:20" ht="12" customHeight="1" x14ac:dyDescent="0.35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</row>
    <row r="40" spans="1:20" ht="12" customHeight="1" x14ac:dyDescent="0.35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</row>
    <row r="41" spans="1:20" ht="12" customHeight="1" x14ac:dyDescent="0.35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</row>
    <row r="42" spans="1:20" ht="12" customHeight="1" x14ac:dyDescent="0.35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</row>
    <row r="43" spans="1:20" ht="12" customHeight="1" x14ac:dyDescent="0.35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</row>
    <row r="44" spans="1:20" ht="12" customHeight="1" x14ac:dyDescent="0.35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</row>
    <row r="45" spans="1:20" ht="12" customHeight="1" x14ac:dyDescent="0.3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</row>
    <row r="46" spans="1:20" ht="12" customHeight="1" x14ac:dyDescent="0.35">
      <c r="A46" s="70"/>
      <c r="B46" s="70"/>
      <c r="C46" s="70"/>
      <c r="D46" s="95" t="s">
        <v>81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</row>
    <row r="47" spans="1:20" ht="12" customHeight="1" x14ac:dyDescent="0.35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</row>
    <row r="48" spans="1:20" ht="12" customHeight="1" x14ac:dyDescent="0.35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</row>
    <row r="49" spans="1:20" ht="12" customHeight="1" x14ac:dyDescent="0.35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</row>
    <row r="50" spans="1:20" ht="12" customHeight="1" x14ac:dyDescent="0.35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</row>
    <row r="51" spans="1:20" ht="12" customHeight="1" x14ac:dyDescent="0.35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</row>
    <row r="52" spans="1:20" ht="12" customHeight="1" x14ac:dyDescent="0.35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</row>
    <row r="53" spans="1:20" ht="12" customHeight="1" x14ac:dyDescent="0.35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</row>
    <row r="54" spans="1:20" ht="12" customHeight="1" x14ac:dyDescent="0.35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</row>
    <row r="55" spans="1:20" ht="12" customHeight="1" x14ac:dyDescent="0.3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</row>
    <row r="56" spans="1:20" ht="12" customHeight="1" x14ac:dyDescent="0.35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</row>
    <row r="57" spans="1:20" ht="12" customHeight="1" x14ac:dyDescent="0.35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</row>
    <row r="58" spans="1:20" ht="12" customHeight="1" x14ac:dyDescent="0.35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</row>
    <row r="59" spans="1:20" ht="12" customHeight="1" x14ac:dyDescent="0.35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</row>
    <row r="60" spans="1:20" ht="12" customHeight="1" x14ac:dyDescent="0.35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</row>
    <row r="61" spans="1:20" ht="12" customHeight="1" x14ac:dyDescent="0.35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</row>
    <row r="62" spans="1:20" ht="12" customHeight="1" x14ac:dyDescent="0.35">
      <c r="A62" s="69"/>
      <c r="B62" s="86" t="s">
        <v>82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</row>
    <row r="63" spans="1:20" ht="7" customHeight="1" x14ac:dyDescent="0.35">
      <c r="A63" s="69"/>
      <c r="B63" s="86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</row>
    <row r="64" spans="1:20" ht="12" customHeight="1" x14ac:dyDescent="0.35">
      <c r="A64" s="69"/>
      <c r="B64" s="96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</row>
    <row r="65" spans="1:20" ht="12" customHeight="1" x14ac:dyDescent="0.35">
      <c r="A65" s="69"/>
      <c r="B65" s="69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</row>
    <row r="66" spans="1:20" ht="12" customHeight="1" x14ac:dyDescent="0.35">
      <c r="A66" s="69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</row>
    <row r="67" spans="1:20" ht="12" customHeight="1" x14ac:dyDescent="0.35">
      <c r="A67" s="97"/>
      <c r="B67" s="98" t="s">
        <v>100</v>
      </c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</row>
    <row r="68" spans="1:20" ht="7" customHeight="1" x14ac:dyDescent="0.35">
      <c r="A68" s="97"/>
      <c r="B68" s="98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</row>
    <row r="69" spans="1:20" ht="12" customHeight="1" x14ac:dyDescent="0.35">
      <c r="A69" s="99" t="s">
        <v>55</v>
      </c>
      <c r="B69" s="98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</row>
    <row r="70" spans="1:20" ht="12" customHeight="1" x14ac:dyDescent="0.35">
      <c r="A70" s="99" t="s">
        <v>56</v>
      </c>
      <c r="B70" s="98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</row>
    <row r="71" spans="1:20" ht="12" customHeight="1" x14ac:dyDescent="0.35">
      <c r="A71" s="99" t="s">
        <v>57</v>
      </c>
      <c r="B71" s="98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</row>
    <row r="72" spans="1:20" ht="12" customHeight="1" x14ac:dyDescent="0.35">
      <c r="A72" s="99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</row>
    <row r="73" spans="1:20" ht="12" customHeight="1" x14ac:dyDescent="0.35">
      <c r="A73" s="100" t="s">
        <v>58</v>
      </c>
      <c r="B73" s="98" t="s">
        <v>59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</row>
    <row r="74" spans="1:20" ht="7" customHeight="1" x14ac:dyDescent="0.35">
      <c r="A74" s="100"/>
      <c r="B74" s="98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</row>
    <row r="75" spans="1:20" ht="12" customHeight="1" x14ac:dyDescent="0.35">
      <c r="A75" s="99" t="s">
        <v>60</v>
      </c>
      <c r="B75" s="98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</row>
    <row r="76" spans="1:20" ht="12" customHeight="1" x14ac:dyDescent="0.35">
      <c r="A76" s="99" t="s">
        <v>61</v>
      </c>
      <c r="B76" s="98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</row>
    <row r="77" spans="1:20" ht="12" customHeight="1" x14ac:dyDescent="0.35">
      <c r="A77" s="99" t="s">
        <v>62</v>
      </c>
      <c r="B77" s="98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</row>
    <row r="78" spans="1:20" ht="12" customHeight="1" x14ac:dyDescent="0.35">
      <c r="A78" s="99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</row>
    <row r="79" spans="1:20" ht="12" customHeight="1" x14ac:dyDescent="0.35">
      <c r="A79" s="70"/>
      <c r="B79" s="98" t="s">
        <v>63</v>
      </c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</row>
    <row r="80" spans="1:20" ht="7" customHeight="1" x14ac:dyDescent="0.35">
      <c r="A80" s="70"/>
      <c r="B80" s="98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</row>
    <row r="81" spans="1:20" ht="12" customHeight="1" x14ac:dyDescent="0.35">
      <c r="A81" s="99" t="s">
        <v>64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</row>
    <row r="82" spans="1:20" ht="12" customHeight="1" x14ac:dyDescent="0.35">
      <c r="A82" s="99" t="s">
        <v>65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</row>
    <row r="83" spans="1:20" ht="12" customHeight="1" x14ac:dyDescent="0.35">
      <c r="A83" s="99" t="s">
        <v>66</v>
      </c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</row>
    <row r="84" spans="1:20" ht="12" customHeight="1" x14ac:dyDescent="0.35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</row>
    <row r="85" spans="1:20" ht="12" customHeight="1" x14ac:dyDescent="0.35">
      <c r="A85" s="70"/>
      <c r="B85" s="98" t="s">
        <v>67</v>
      </c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</row>
    <row r="86" spans="1:20" ht="7" customHeight="1" x14ac:dyDescent="0.35">
      <c r="A86" s="70"/>
      <c r="B86" s="98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</row>
    <row r="87" spans="1:20" ht="12" customHeight="1" x14ac:dyDescent="0.35">
      <c r="A87" s="70"/>
      <c r="B87" s="101" t="s">
        <v>83</v>
      </c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</row>
    <row r="88" spans="1:20" ht="12" customHeight="1" x14ac:dyDescent="0.35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</row>
    <row r="89" spans="1:20" ht="12" customHeight="1" x14ac:dyDescent="0.35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</row>
    <row r="90" spans="1:20" ht="12" customHeight="1" x14ac:dyDescent="0.35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</row>
    <row r="91" spans="1:20" ht="12" customHeight="1" x14ac:dyDescent="0.35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</row>
    <row r="92" spans="1:20" ht="12" customHeight="1" x14ac:dyDescent="0.35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</row>
    <row r="93" spans="1:20" ht="12" customHeight="1" x14ac:dyDescent="0.35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</row>
    <row r="94" spans="1:20" ht="12" customHeight="1" x14ac:dyDescent="0.35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</row>
    <row r="95" spans="1:20" ht="12" customHeight="1" x14ac:dyDescent="0.3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</row>
    <row r="96" spans="1:20" ht="12" customHeight="1" x14ac:dyDescent="0.35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</row>
    <row r="97" spans="1:20" ht="12" customHeight="1" x14ac:dyDescent="0.35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</row>
    <row r="98" spans="1:20" ht="12" customHeight="1" x14ac:dyDescent="0.35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</row>
    <row r="99" spans="1:20" ht="12" customHeight="1" x14ac:dyDescent="0.35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</row>
    <row r="100" spans="1:20" ht="12" customHeight="1" x14ac:dyDescent="0.35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</row>
    <row r="101" spans="1:20" ht="12" customHeight="1" x14ac:dyDescent="0.35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</row>
    <row r="102" spans="1:20" ht="12" customHeight="1" x14ac:dyDescent="0.35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</row>
    <row r="103" spans="1:20" ht="12" customHeight="1" x14ac:dyDescent="0.35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</row>
    <row r="104" spans="1:20" ht="12" customHeight="1" x14ac:dyDescent="0.35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</row>
    <row r="105" spans="1:20" ht="12" customHeight="1" x14ac:dyDescent="0.3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</row>
    <row r="106" spans="1:20" ht="12" customHeight="1" x14ac:dyDescent="0.35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</row>
    <row r="107" spans="1:20" ht="12" customHeight="1" x14ac:dyDescent="0.35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</row>
    <row r="108" spans="1:20" ht="12" customHeight="1" x14ac:dyDescent="0.3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</row>
    <row r="109" spans="1:20" ht="12" customHeight="1" x14ac:dyDescent="0.35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</row>
    <row r="110" spans="1:20" ht="12" customHeight="1" x14ac:dyDescent="0.35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</row>
    <row r="111" spans="1:20" ht="12" customHeight="1" x14ac:dyDescent="0.35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</row>
    <row r="112" spans="1:20" ht="12" customHeight="1" x14ac:dyDescent="0.35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</row>
    <row r="113" spans="1:20" ht="12" customHeight="1" x14ac:dyDescent="0.35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</row>
    <row r="114" spans="1:20" ht="12" customHeight="1" x14ac:dyDescent="0.35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</row>
    <row r="115" spans="1:20" ht="12" customHeight="1" x14ac:dyDescent="0.3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</row>
    <row r="116" spans="1:20" ht="12" customHeight="1" x14ac:dyDescent="0.35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</row>
    <row r="117" spans="1:20" ht="12" customHeight="1" x14ac:dyDescent="0.35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</row>
    <row r="118" spans="1:20" ht="12" customHeight="1" x14ac:dyDescent="0.35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</row>
    <row r="119" spans="1:20" ht="12" customHeight="1" x14ac:dyDescent="0.35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</row>
    <row r="120" spans="1:20" ht="12" customHeight="1" x14ac:dyDescent="0.35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</row>
    <row r="121" spans="1:20" ht="12" customHeight="1" x14ac:dyDescent="0.35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</row>
    <row r="122" spans="1:20" ht="12" customHeight="1" x14ac:dyDescent="0.35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</row>
    <row r="123" spans="1:20" ht="12" customHeight="1" x14ac:dyDescent="0.35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</row>
    <row r="124" spans="1:20" ht="12" customHeight="1" x14ac:dyDescent="0.35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</row>
    <row r="125" spans="1:20" ht="12" customHeight="1" x14ac:dyDescent="0.3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</row>
    <row r="126" spans="1:20" ht="12" customHeight="1" x14ac:dyDescent="0.35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</row>
    <row r="127" spans="1:20" ht="12" customHeight="1" x14ac:dyDescent="0.35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</row>
    <row r="128" spans="1:20" ht="12" customHeight="1" x14ac:dyDescent="0.35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</row>
    <row r="129" spans="1:20" ht="12" customHeight="1" x14ac:dyDescent="0.35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</row>
    <row r="130" spans="1:20" ht="12" customHeight="1" x14ac:dyDescent="0.35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</row>
    <row r="131" spans="1:20" ht="12" customHeight="1" x14ac:dyDescent="0.35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</row>
    <row r="132" spans="1:20" ht="12" customHeight="1" x14ac:dyDescent="0.35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</row>
    <row r="133" spans="1:20" ht="12" customHeight="1" x14ac:dyDescent="0.35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</row>
    <row r="134" spans="1:20" ht="12" customHeight="1" x14ac:dyDescent="0.35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</row>
    <row r="135" spans="1:20" ht="12" customHeight="1" x14ac:dyDescent="0.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</row>
    <row r="136" spans="1:20" ht="12" customHeight="1" x14ac:dyDescent="0.35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</row>
    <row r="137" spans="1:20" ht="12" customHeight="1" x14ac:dyDescent="0.35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</row>
    <row r="138" spans="1:20" ht="12" customHeight="1" x14ac:dyDescent="0.35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</row>
    <row r="139" spans="1:20" ht="12" customHeight="1" x14ac:dyDescent="0.35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</row>
    <row r="140" spans="1:20" ht="12" customHeight="1" x14ac:dyDescent="0.35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</row>
    <row r="141" spans="1:20" ht="12" customHeight="1" x14ac:dyDescent="0.35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</row>
    <row r="142" spans="1:20" ht="12" customHeight="1" x14ac:dyDescent="0.35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</row>
    <row r="143" spans="1:20" ht="12" customHeight="1" x14ac:dyDescent="0.35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</row>
    <row r="144" spans="1:20" ht="12" customHeight="1" x14ac:dyDescent="0.35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</row>
    <row r="145" spans="1:20" ht="12" customHeight="1" x14ac:dyDescent="0.3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</row>
    <row r="146" spans="1:20" ht="12" customHeight="1" x14ac:dyDescent="0.35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</row>
    <row r="147" spans="1:20" ht="12" customHeight="1" x14ac:dyDescent="0.35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</row>
    <row r="148" spans="1:20" ht="12" customHeight="1" x14ac:dyDescent="0.35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</row>
    <row r="149" spans="1:20" ht="12" customHeight="1" x14ac:dyDescent="0.35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</row>
    <row r="150" spans="1:20" ht="12" customHeight="1" x14ac:dyDescent="0.35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</row>
    <row r="151" spans="1:20" ht="12" customHeight="1" x14ac:dyDescent="0.35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</row>
    <row r="152" spans="1:20" ht="12" customHeight="1" x14ac:dyDescent="0.35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</row>
    <row r="153" spans="1:20" ht="12" customHeight="1" x14ac:dyDescent="0.35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</row>
    <row r="154" spans="1:20" ht="12" customHeight="1" x14ac:dyDescent="0.35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</row>
    <row r="155" spans="1:20" ht="12" customHeight="1" x14ac:dyDescent="0.3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</row>
    <row r="156" spans="1:20" ht="12" customHeight="1" x14ac:dyDescent="0.35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</row>
    <row r="157" spans="1:20" ht="12" customHeight="1" x14ac:dyDescent="0.35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</row>
    <row r="158" spans="1:20" ht="12" customHeight="1" x14ac:dyDescent="0.35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</row>
    <row r="159" spans="1:20" ht="12" customHeight="1" x14ac:dyDescent="0.35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</row>
    <row r="160" spans="1:20" ht="12" customHeight="1" x14ac:dyDescent="0.35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</row>
    <row r="161" spans="1:20" ht="12" customHeight="1" x14ac:dyDescent="0.35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</row>
    <row r="162" spans="1:20" ht="12" customHeight="1" x14ac:dyDescent="0.35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</row>
    <row r="163" spans="1:20" ht="12" customHeight="1" x14ac:dyDescent="0.35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</row>
    <row r="164" spans="1:20" ht="12" customHeight="1" x14ac:dyDescent="0.35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</row>
    <row r="165" spans="1:20" ht="12" customHeight="1" x14ac:dyDescent="0.3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</row>
    <row r="166" spans="1:20" ht="12" customHeight="1" x14ac:dyDescent="0.35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</row>
    <row r="167" spans="1:20" ht="12" customHeight="1" x14ac:dyDescent="0.35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</row>
    <row r="168" spans="1:20" ht="12" customHeight="1" x14ac:dyDescent="0.35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</row>
    <row r="169" spans="1:20" ht="12" customHeight="1" x14ac:dyDescent="0.35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</row>
    <row r="170" spans="1:20" ht="12" customHeight="1" x14ac:dyDescent="0.35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</row>
    <row r="171" spans="1:20" ht="12" customHeight="1" x14ac:dyDescent="0.35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</row>
    <row r="172" spans="1:20" ht="12" customHeight="1" x14ac:dyDescent="0.35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</row>
    <row r="173" spans="1:20" ht="12" customHeight="1" x14ac:dyDescent="0.35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</row>
    <row r="174" spans="1:20" ht="12" customHeight="1" x14ac:dyDescent="0.35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</row>
    <row r="175" spans="1:20" ht="12" customHeight="1" x14ac:dyDescent="0.3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</row>
    <row r="176" spans="1:20" ht="12" customHeight="1" x14ac:dyDescent="0.35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</row>
    <row r="177" spans="1:20" ht="12" customHeight="1" x14ac:dyDescent="0.35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</row>
    <row r="178" spans="1:20" ht="12" customHeight="1" x14ac:dyDescent="0.35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</row>
    <row r="179" spans="1:20" ht="12" customHeight="1" x14ac:dyDescent="0.35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</row>
    <row r="180" spans="1:20" ht="12" customHeight="1" x14ac:dyDescent="0.35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</row>
    <row r="181" spans="1:20" ht="12" customHeight="1" x14ac:dyDescent="0.35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</row>
    <row r="182" spans="1:20" ht="12" customHeight="1" x14ac:dyDescent="0.35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</row>
    <row r="183" spans="1:20" ht="12" customHeight="1" x14ac:dyDescent="0.35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</row>
    <row r="184" spans="1:20" ht="12" customHeight="1" x14ac:dyDescent="0.35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</row>
    <row r="185" spans="1:20" ht="12" customHeight="1" x14ac:dyDescent="0.3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</row>
    <row r="186" spans="1:20" ht="12" customHeight="1" x14ac:dyDescent="0.35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</row>
    <row r="187" spans="1:20" ht="12" customHeight="1" x14ac:dyDescent="0.35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</row>
    <row r="188" spans="1:20" ht="12" customHeight="1" x14ac:dyDescent="0.35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</row>
    <row r="189" spans="1:20" ht="12" customHeight="1" x14ac:dyDescent="0.35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</row>
    <row r="190" spans="1:20" ht="12" customHeight="1" x14ac:dyDescent="0.35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</row>
    <row r="191" spans="1:20" ht="12" customHeight="1" x14ac:dyDescent="0.35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</row>
    <row r="192" spans="1:20" ht="12" customHeight="1" x14ac:dyDescent="0.35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</row>
    <row r="193" spans="1:20" ht="12" customHeight="1" x14ac:dyDescent="0.35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</row>
    <row r="194" spans="1:20" ht="12" customHeight="1" x14ac:dyDescent="0.35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</row>
    <row r="195" spans="1:20" ht="12" customHeight="1" x14ac:dyDescent="0.3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</row>
    <row r="196" spans="1:20" ht="12" customHeight="1" x14ac:dyDescent="0.35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</row>
    <row r="197" spans="1:20" ht="12" customHeight="1" x14ac:dyDescent="0.35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</row>
    <row r="198" spans="1:20" ht="12" customHeight="1" x14ac:dyDescent="0.35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</row>
    <row r="199" spans="1:20" ht="12" customHeight="1" x14ac:dyDescent="0.35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</row>
    <row r="200" spans="1:20" ht="12" customHeight="1" x14ac:dyDescent="0.35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</row>
    <row r="201" spans="1:20" ht="12" customHeight="1" x14ac:dyDescent="0.35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</row>
    <row r="202" spans="1:20" ht="12" customHeight="1" x14ac:dyDescent="0.35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</row>
    <row r="203" spans="1:20" ht="12" customHeight="1" x14ac:dyDescent="0.35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</row>
    <row r="204" spans="1:20" ht="12" customHeight="1" x14ac:dyDescent="0.35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</row>
    <row r="205" spans="1:20" ht="12" customHeight="1" x14ac:dyDescent="0.3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</row>
    <row r="206" spans="1:20" ht="12" customHeight="1" x14ac:dyDescent="0.35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</row>
    <row r="207" spans="1:20" ht="12" customHeight="1" x14ac:dyDescent="0.35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</row>
    <row r="208" spans="1:20" ht="12" customHeight="1" x14ac:dyDescent="0.35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</row>
    <row r="209" spans="1:20" ht="12" customHeight="1" x14ac:dyDescent="0.35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</row>
    <row r="210" spans="1:20" ht="12" customHeight="1" x14ac:dyDescent="0.35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</row>
    <row r="211" spans="1:20" ht="12" customHeight="1" x14ac:dyDescent="0.35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</row>
    <row r="212" spans="1:20" ht="12" customHeight="1" x14ac:dyDescent="0.35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</row>
    <row r="213" spans="1:20" ht="12" customHeight="1" x14ac:dyDescent="0.35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</row>
    <row r="214" spans="1:20" ht="12" customHeight="1" x14ac:dyDescent="0.35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</row>
    <row r="215" spans="1:20" ht="12" customHeight="1" x14ac:dyDescent="0.3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</row>
    <row r="216" spans="1:20" ht="12" customHeight="1" x14ac:dyDescent="0.35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</row>
    <row r="217" spans="1:20" ht="12" customHeight="1" x14ac:dyDescent="0.35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</row>
    <row r="218" spans="1:20" ht="12" customHeight="1" x14ac:dyDescent="0.35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</row>
    <row r="219" spans="1:20" ht="12" customHeight="1" x14ac:dyDescent="0.35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</row>
    <row r="220" spans="1:20" ht="12" customHeight="1" x14ac:dyDescent="0.35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</row>
    <row r="221" spans="1:20" ht="12" customHeight="1" x14ac:dyDescent="0.35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</row>
    <row r="222" spans="1:20" ht="12" customHeight="1" x14ac:dyDescent="0.35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</row>
    <row r="223" spans="1:20" ht="12" customHeight="1" x14ac:dyDescent="0.35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</row>
    <row r="224" spans="1:20" ht="12" customHeight="1" x14ac:dyDescent="0.35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</row>
    <row r="225" spans="1:20" ht="12" customHeight="1" x14ac:dyDescent="0.3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</row>
    <row r="226" spans="1:20" ht="12" customHeight="1" x14ac:dyDescent="0.35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</row>
    <row r="227" spans="1:20" ht="12" customHeight="1" x14ac:dyDescent="0.35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</row>
    <row r="228" spans="1:20" ht="12" customHeight="1" x14ac:dyDescent="0.35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</row>
    <row r="229" spans="1:20" ht="12" customHeight="1" x14ac:dyDescent="0.35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</row>
    <row r="230" spans="1:20" ht="12" customHeight="1" x14ac:dyDescent="0.35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</row>
    <row r="231" spans="1:20" ht="12" customHeight="1" x14ac:dyDescent="0.35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</row>
    <row r="232" spans="1:20" ht="12" customHeight="1" x14ac:dyDescent="0.35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</row>
    <row r="233" spans="1:20" ht="12" customHeight="1" x14ac:dyDescent="0.35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</row>
    <row r="234" spans="1:20" ht="12" customHeight="1" x14ac:dyDescent="0.35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</row>
    <row r="235" spans="1:20" ht="12" customHeight="1" x14ac:dyDescent="0.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</row>
    <row r="236" spans="1:20" ht="12" customHeight="1" x14ac:dyDescent="0.35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</row>
    <row r="237" spans="1:20" ht="12" customHeight="1" x14ac:dyDescent="0.35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</row>
    <row r="238" spans="1:20" ht="12" customHeight="1" x14ac:dyDescent="0.35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</row>
    <row r="239" spans="1:20" ht="12" customHeight="1" x14ac:dyDescent="0.35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</row>
    <row r="240" spans="1:20" ht="12" customHeight="1" x14ac:dyDescent="0.35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</row>
    <row r="241" spans="1:20" ht="12" customHeight="1" x14ac:dyDescent="0.35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</row>
    <row r="242" spans="1:20" ht="12" customHeight="1" x14ac:dyDescent="0.35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</row>
    <row r="243" spans="1:20" ht="12" customHeight="1" x14ac:dyDescent="0.35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</row>
    <row r="244" spans="1:20" ht="12" customHeight="1" x14ac:dyDescent="0.35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</row>
    <row r="245" spans="1:20" ht="12" customHeight="1" x14ac:dyDescent="0.3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</row>
    <row r="246" spans="1:20" ht="12" customHeight="1" x14ac:dyDescent="0.35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</row>
    <row r="247" spans="1:20" ht="12" customHeight="1" x14ac:dyDescent="0.35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</row>
    <row r="248" spans="1:20" ht="12" customHeight="1" x14ac:dyDescent="0.35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</row>
    <row r="249" spans="1:20" ht="12" customHeight="1" x14ac:dyDescent="0.35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</row>
    <row r="250" spans="1:20" ht="12" customHeight="1" x14ac:dyDescent="0.35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</row>
    <row r="251" spans="1:20" ht="12" customHeight="1" x14ac:dyDescent="0.35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</row>
    <row r="252" spans="1:20" ht="12" customHeight="1" x14ac:dyDescent="0.35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</row>
    <row r="253" spans="1:20" ht="12" customHeight="1" x14ac:dyDescent="0.35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</row>
    <row r="254" spans="1:20" ht="12" customHeight="1" x14ac:dyDescent="0.35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</row>
    <row r="255" spans="1:20" ht="12" customHeight="1" x14ac:dyDescent="0.3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</row>
    <row r="256" spans="1:20" ht="12" customHeight="1" x14ac:dyDescent="0.35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</row>
    <row r="257" spans="1:20" ht="12" customHeight="1" x14ac:dyDescent="0.35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</row>
    <row r="258" spans="1:20" ht="12" customHeight="1" x14ac:dyDescent="0.35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</row>
    <row r="259" spans="1:20" ht="12" customHeight="1" x14ac:dyDescent="0.35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</row>
    <row r="260" spans="1:20" ht="12" customHeight="1" x14ac:dyDescent="0.35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</row>
    <row r="261" spans="1:20" ht="12" customHeight="1" x14ac:dyDescent="0.3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</row>
    <row r="262" spans="1:20" ht="12" customHeight="1" x14ac:dyDescent="0.35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</row>
    <row r="263" spans="1:20" ht="12" customHeight="1" x14ac:dyDescent="0.35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</row>
    <row r="264" spans="1:20" ht="12" customHeight="1" x14ac:dyDescent="0.35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</row>
    <row r="265" spans="1:20" ht="12" customHeight="1" x14ac:dyDescent="0.3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</row>
    <row r="266" spans="1:20" ht="12" customHeight="1" x14ac:dyDescent="0.35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</row>
    <row r="267" spans="1:20" ht="12" customHeight="1" x14ac:dyDescent="0.35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</row>
    <row r="268" spans="1:20" ht="12" customHeight="1" x14ac:dyDescent="0.35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</row>
    <row r="269" spans="1:20" ht="12" customHeight="1" x14ac:dyDescent="0.35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</row>
    <row r="270" spans="1:20" ht="12" customHeight="1" x14ac:dyDescent="0.35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</row>
    <row r="271" spans="1:20" ht="12" customHeight="1" x14ac:dyDescent="0.35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</row>
    <row r="272" spans="1:20" ht="12" customHeight="1" x14ac:dyDescent="0.35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</row>
    <row r="273" spans="1:20" ht="12" customHeight="1" x14ac:dyDescent="0.35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</row>
    <row r="274" spans="1:20" ht="12" customHeight="1" x14ac:dyDescent="0.35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</row>
    <row r="275" spans="1:20" ht="12" customHeight="1" x14ac:dyDescent="0.3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</row>
    <row r="276" spans="1:20" ht="12" customHeight="1" x14ac:dyDescent="0.35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</row>
    <row r="277" spans="1:20" ht="12" customHeight="1" x14ac:dyDescent="0.3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</row>
    <row r="278" spans="1:20" ht="12" customHeight="1" x14ac:dyDescent="0.3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</row>
    <row r="279" spans="1:20" ht="12" customHeight="1" x14ac:dyDescent="0.3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</row>
    <row r="280" spans="1:20" ht="12" customHeight="1" x14ac:dyDescent="0.3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</row>
    <row r="281" spans="1:20" ht="12" customHeight="1" x14ac:dyDescent="0.3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</row>
    <row r="282" spans="1:20" ht="12" customHeight="1" x14ac:dyDescent="0.3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</row>
    <row r="283" spans="1:20" ht="12" customHeight="1" x14ac:dyDescent="0.3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</row>
    <row r="284" spans="1:20" ht="12" customHeight="1" x14ac:dyDescent="0.3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</row>
    <row r="285" spans="1:20" ht="12" customHeight="1" x14ac:dyDescent="0.3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</row>
    <row r="286" spans="1:20" ht="12" customHeight="1" x14ac:dyDescent="0.3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</row>
    <row r="287" spans="1:20" ht="12" customHeight="1" x14ac:dyDescent="0.3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</row>
    <row r="288" spans="1:20" ht="12" customHeight="1" x14ac:dyDescent="0.3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</row>
    <row r="289" spans="1:20" ht="12" customHeight="1" x14ac:dyDescent="0.3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</row>
    <row r="290" spans="1:20" ht="12" customHeight="1" x14ac:dyDescent="0.3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</row>
    <row r="291" spans="1:20" ht="12" customHeight="1" x14ac:dyDescent="0.3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</row>
    <row r="292" spans="1:20" ht="12" customHeight="1" x14ac:dyDescent="0.3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</row>
    <row r="293" spans="1:20" ht="12" customHeight="1" x14ac:dyDescent="0.3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</row>
    <row r="294" spans="1:20" ht="12" customHeight="1" x14ac:dyDescent="0.3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</row>
    <row r="295" spans="1:20" ht="12" customHeight="1" x14ac:dyDescent="0.3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</row>
    <row r="296" spans="1:20" ht="12" customHeight="1" x14ac:dyDescent="0.3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</row>
    <row r="297" spans="1:20" ht="12" customHeight="1" x14ac:dyDescent="0.3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</row>
    <row r="298" spans="1:20" ht="12" customHeight="1" x14ac:dyDescent="0.3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</row>
    <row r="299" spans="1:20" ht="12" customHeight="1" x14ac:dyDescent="0.3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</row>
    <row r="300" spans="1:20" ht="12" customHeight="1" x14ac:dyDescent="0.3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</row>
    <row r="301" spans="1:20" ht="12" customHeight="1" x14ac:dyDescent="0.3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</row>
    <row r="302" spans="1:20" ht="12" customHeight="1" x14ac:dyDescent="0.3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</row>
    <row r="303" spans="1:20" ht="12" customHeight="1" x14ac:dyDescent="0.3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</row>
    <row r="304" spans="1:20" ht="12" customHeight="1" x14ac:dyDescent="0.3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</row>
    <row r="305" spans="1:20" ht="12" customHeight="1" x14ac:dyDescent="0.3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</row>
    <row r="306" spans="1:20" ht="12" customHeight="1" x14ac:dyDescent="0.3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</row>
    <row r="307" spans="1:20" ht="12" customHeight="1" x14ac:dyDescent="0.3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</row>
    <row r="308" spans="1:20" ht="12" customHeight="1" x14ac:dyDescent="0.3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</row>
    <row r="309" spans="1:20" ht="12" customHeight="1" x14ac:dyDescent="0.3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</row>
    <row r="310" spans="1:20" ht="12" customHeight="1" x14ac:dyDescent="0.3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</row>
    <row r="311" spans="1:20" ht="12" customHeight="1" x14ac:dyDescent="0.3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</row>
    <row r="312" spans="1:20" ht="12" customHeight="1" x14ac:dyDescent="0.3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</row>
    <row r="313" spans="1:20" ht="12" customHeight="1" x14ac:dyDescent="0.3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</row>
    <row r="314" spans="1:20" ht="12" customHeight="1" x14ac:dyDescent="0.3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</row>
    <row r="315" spans="1:20" ht="12" customHeight="1" x14ac:dyDescent="0.3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</row>
    <row r="316" spans="1:20" ht="12" customHeight="1" x14ac:dyDescent="0.3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</row>
    <row r="317" spans="1:20" ht="12" customHeight="1" x14ac:dyDescent="0.3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</row>
    <row r="318" spans="1:20" ht="12" customHeight="1" x14ac:dyDescent="0.3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</row>
    <row r="319" spans="1:20" ht="12" customHeight="1" x14ac:dyDescent="0.3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</row>
    <row r="320" spans="1:20" ht="12" customHeight="1" x14ac:dyDescent="0.3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</row>
    <row r="321" spans="1:20" ht="12" customHeight="1" x14ac:dyDescent="0.3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</row>
    <row r="322" spans="1:20" ht="12" customHeight="1" x14ac:dyDescent="0.3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</row>
    <row r="323" spans="1:20" ht="12" customHeight="1" x14ac:dyDescent="0.3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</row>
    <row r="324" spans="1:20" ht="12" customHeight="1" x14ac:dyDescent="0.3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</row>
    <row r="325" spans="1:20" ht="12" customHeight="1" x14ac:dyDescent="0.3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</row>
    <row r="326" spans="1:20" ht="12" customHeight="1" x14ac:dyDescent="0.3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</row>
    <row r="327" spans="1:20" ht="12" customHeight="1" x14ac:dyDescent="0.3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</row>
    <row r="328" spans="1:20" ht="12" customHeight="1" x14ac:dyDescent="0.3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</row>
    <row r="329" spans="1:20" ht="12" customHeight="1" x14ac:dyDescent="0.3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</row>
    <row r="330" spans="1:20" ht="12" customHeight="1" x14ac:dyDescent="0.3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</row>
    <row r="331" spans="1:20" ht="12" customHeight="1" x14ac:dyDescent="0.3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</row>
    <row r="332" spans="1:20" ht="12" customHeight="1" x14ac:dyDescent="0.3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</row>
    <row r="333" spans="1:20" ht="12" customHeight="1" x14ac:dyDescent="0.3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</row>
    <row r="334" spans="1:20" ht="12" customHeight="1" x14ac:dyDescent="0.3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</row>
    <row r="335" spans="1:20" ht="12" customHeight="1" x14ac:dyDescent="0.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</row>
    <row r="336" spans="1:20" ht="12" customHeight="1" x14ac:dyDescent="0.3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</row>
    <row r="337" spans="1:20" ht="12" customHeight="1" x14ac:dyDescent="0.3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</row>
    <row r="338" spans="1:20" ht="12" customHeight="1" x14ac:dyDescent="0.3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</row>
    <row r="339" spans="1:20" ht="12" customHeight="1" x14ac:dyDescent="0.3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</row>
    <row r="340" spans="1:20" ht="12" customHeight="1" x14ac:dyDescent="0.3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</row>
    <row r="341" spans="1:20" ht="12" customHeight="1" x14ac:dyDescent="0.3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</row>
    <row r="342" spans="1:20" ht="12" customHeight="1" x14ac:dyDescent="0.3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</row>
    <row r="343" spans="1:20" ht="12" customHeight="1" x14ac:dyDescent="0.3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</row>
    <row r="344" spans="1:20" ht="12" customHeight="1" x14ac:dyDescent="0.3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</row>
    <row r="345" spans="1:20" ht="12" customHeight="1" x14ac:dyDescent="0.3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</row>
    <row r="346" spans="1:20" ht="12" customHeight="1" x14ac:dyDescent="0.3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</row>
    <row r="347" spans="1:20" ht="12" customHeight="1" x14ac:dyDescent="0.3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</row>
    <row r="348" spans="1:20" ht="12" customHeight="1" x14ac:dyDescent="0.3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</row>
    <row r="349" spans="1:20" ht="12" customHeight="1" x14ac:dyDescent="0.3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</row>
    <row r="350" spans="1:20" ht="12" customHeight="1" x14ac:dyDescent="0.3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</row>
    <row r="351" spans="1:20" ht="12" customHeight="1" x14ac:dyDescent="0.3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</row>
    <row r="352" spans="1:20" ht="12" customHeight="1" x14ac:dyDescent="0.3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</row>
    <row r="353" spans="1:20" ht="12" customHeight="1" x14ac:dyDescent="0.3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</row>
    <row r="354" spans="1:20" ht="12" customHeight="1" x14ac:dyDescent="0.3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</row>
    <row r="355" spans="1:20" ht="12" customHeight="1" x14ac:dyDescent="0.3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</row>
    <row r="356" spans="1:20" ht="12" customHeight="1" x14ac:dyDescent="0.3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</row>
    <row r="357" spans="1:20" ht="12" customHeight="1" x14ac:dyDescent="0.3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</row>
    <row r="358" spans="1:20" ht="12" customHeight="1" x14ac:dyDescent="0.3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</row>
    <row r="359" spans="1:20" ht="12" customHeight="1" x14ac:dyDescent="0.3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</row>
    <row r="360" spans="1:20" ht="12" customHeight="1" x14ac:dyDescent="0.3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</row>
    <row r="361" spans="1:20" ht="12" customHeight="1" x14ac:dyDescent="0.3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</row>
    <row r="362" spans="1:20" ht="12" customHeight="1" x14ac:dyDescent="0.3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</row>
    <row r="363" spans="1:20" ht="12" customHeight="1" x14ac:dyDescent="0.3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</row>
    <row r="364" spans="1:20" ht="12" customHeight="1" x14ac:dyDescent="0.3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</row>
    <row r="365" spans="1:20" ht="12" customHeight="1" x14ac:dyDescent="0.3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</row>
    <row r="366" spans="1:20" ht="12" customHeight="1" x14ac:dyDescent="0.3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</row>
    <row r="367" spans="1:20" ht="12" customHeight="1" x14ac:dyDescent="0.3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</row>
    <row r="368" spans="1:20" ht="12" customHeight="1" x14ac:dyDescent="0.3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</row>
    <row r="369" spans="1:20" ht="12" customHeight="1" x14ac:dyDescent="0.3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</row>
    <row r="370" spans="1:20" ht="12" customHeight="1" x14ac:dyDescent="0.3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</row>
    <row r="371" spans="1:20" ht="12" customHeight="1" x14ac:dyDescent="0.3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</row>
    <row r="372" spans="1:20" ht="12" customHeight="1" x14ac:dyDescent="0.3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</row>
    <row r="373" spans="1:20" ht="12" customHeight="1" x14ac:dyDescent="0.3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</row>
    <row r="374" spans="1:20" ht="12" customHeight="1" x14ac:dyDescent="0.3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</row>
    <row r="375" spans="1:20" ht="12" customHeight="1" x14ac:dyDescent="0.3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</row>
    <row r="376" spans="1:20" ht="12" customHeight="1" x14ac:dyDescent="0.3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</row>
    <row r="377" spans="1:20" ht="12" customHeight="1" x14ac:dyDescent="0.3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</row>
    <row r="378" spans="1:20" ht="12" customHeight="1" x14ac:dyDescent="0.3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</row>
    <row r="379" spans="1:20" ht="12" customHeight="1" x14ac:dyDescent="0.3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</row>
    <row r="380" spans="1:20" ht="12" customHeight="1" x14ac:dyDescent="0.3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</row>
    <row r="381" spans="1:20" ht="12" customHeight="1" x14ac:dyDescent="0.3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</row>
    <row r="382" spans="1:20" ht="12" customHeight="1" x14ac:dyDescent="0.3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</row>
    <row r="383" spans="1:20" ht="12" customHeight="1" x14ac:dyDescent="0.3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</row>
    <row r="384" spans="1:20" ht="12" customHeight="1" x14ac:dyDescent="0.3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</row>
    <row r="385" spans="1:20" ht="12" customHeight="1" x14ac:dyDescent="0.3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</row>
    <row r="386" spans="1:20" ht="12" customHeight="1" x14ac:dyDescent="0.3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</row>
    <row r="387" spans="1:20" ht="12" customHeight="1" x14ac:dyDescent="0.3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</row>
    <row r="388" spans="1:20" ht="12" customHeight="1" x14ac:dyDescent="0.3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</row>
    <row r="389" spans="1:20" ht="12" customHeight="1" x14ac:dyDescent="0.3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</row>
    <row r="390" spans="1:20" ht="12" customHeight="1" x14ac:dyDescent="0.3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</row>
    <row r="391" spans="1:20" ht="12" customHeight="1" x14ac:dyDescent="0.3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</row>
    <row r="392" spans="1:20" ht="12" customHeight="1" x14ac:dyDescent="0.3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</row>
    <row r="393" spans="1:20" ht="12" customHeight="1" x14ac:dyDescent="0.3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</row>
    <row r="394" spans="1:20" ht="12" customHeight="1" x14ac:dyDescent="0.3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</row>
    <row r="395" spans="1:20" ht="12" customHeight="1" x14ac:dyDescent="0.3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</row>
    <row r="396" spans="1:20" ht="12" customHeight="1" x14ac:dyDescent="0.3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</row>
    <row r="397" spans="1:20" ht="12" customHeight="1" x14ac:dyDescent="0.3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</row>
    <row r="398" spans="1:20" ht="12" customHeight="1" x14ac:dyDescent="0.3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</row>
    <row r="399" spans="1:20" ht="12" customHeight="1" x14ac:dyDescent="0.3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</row>
    <row r="400" spans="1:20" ht="12" customHeight="1" x14ac:dyDescent="0.3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</row>
    <row r="401" spans="1:20" ht="12" customHeight="1" x14ac:dyDescent="0.3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</row>
    <row r="402" spans="1:20" ht="12" customHeight="1" x14ac:dyDescent="0.3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</row>
    <row r="403" spans="1:20" ht="12" customHeight="1" x14ac:dyDescent="0.3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</row>
    <row r="404" spans="1:20" ht="12" customHeight="1" x14ac:dyDescent="0.3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</row>
    <row r="405" spans="1:20" ht="12" customHeight="1" x14ac:dyDescent="0.3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</row>
    <row r="406" spans="1:20" ht="12" customHeight="1" x14ac:dyDescent="0.3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</row>
    <row r="407" spans="1:20" ht="12" customHeight="1" x14ac:dyDescent="0.3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</row>
    <row r="408" spans="1:20" ht="12" customHeight="1" x14ac:dyDescent="0.3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</row>
    <row r="409" spans="1:20" ht="12" customHeight="1" x14ac:dyDescent="0.3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</row>
    <row r="410" spans="1:20" ht="12" customHeight="1" x14ac:dyDescent="0.3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</row>
    <row r="411" spans="1:20" ht="12" customHeight="1" x14ac:dyDescent="0.3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</row>
    <row r="412" spans="1:20" ht="12" customHeight="1" x14ac:dyDescent="0.3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</row>
    <row r="413" spans="1:20" ht="12" customHeight="1" x14ac:dyDescent="0.3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</row>
    <row r="414" spans="1:20" ht="12" customHeight="1" x14ac:dyDescent="0.3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</row>
    <row r="415" spans="1:20" ht="12" customHeight="1" x14ac:dyDescent="0.3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</row>
    <row r="416" spans="1:20" ht="12" customHeight="1" x14ac:dyDescent="0.3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</row>
    <row r="417" spans="1:20" ht="12" customHeight="1" x14ac:dyDescent="0.3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</row>
    <row r="418" spans="1:20" ht="12" customHeight="1" x14ac:dyDescent="0.3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</row>
    <row r="419" spans="1:20" ht="12" customHeight="1" x14ac:dyDescent="0.3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</row>
    <row r="420" spans="1:20" ht="12" customHeight="1" x14ac:dyDescent="0.3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</row>
    <row r="421" spans="1:20" ht="12" customHeight="1" x14ac:dyDescent="0.3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</row>
    <row r="422" spans="1:20" ht="12" customHeight="1" x14ac:dyDescent="0.3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</row>
    <row r="423" spans="1:20" ht="12" customHeight="1" x14ac:dyDescent="0.3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</row>
    <row r="424" spans="1:20" ht="12" customHeight="1" x14ac:dyDescent="0.3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</row>
    <row r="425" spans="1:20" ht="12" customHeight="1" x14ac:dyDescent="0.3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</row>
    <row r="426" spans="1:20" ht="12" customHeight="1" x14ac:dyDescent="0.3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</row>
    <row r="427" spans="1:20" ht="12" customHeight="1" x14ac:dyDescent="0.3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</row>
    <row r="428" spans="1:20" ht="12" customHeight="1" x14ac:dyDescent="0.3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</row>
    <row r="429" spans="1:20" ht="12" customHeight="1" x14ac:dyDescent="0.3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</row>
    <row r="430" spans="1:20" ht="12" customHeight="1" x14ac:dyDescent="0.3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</row>
    <row r="431" spans="1:20" ht="12" customHeight="1" x14ac:dyDescent="0.3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</row>
    <row r="432" spans="1:20" ht="12" customHeight="1" x14ac:dyDescent="0.3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</row>
    <row r="433" spans="1:20" ht="12" customHeight="1" x14ac:dyDescent="0.3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</row>
    <row r="434" spans="1:20" ht="12" customHeight="1" x14ac:dyDescent="0.3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</row>
    <row r="435" spans="1:20" ht="12" customHeight="1" x14ac:dyDescent="0.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</row>
    <row r="436" spans="1:20" ht="12" customHeight="1" x14ac:dyDescent="0.3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</row>
    <row r="437" spans="1:20" ht="12" customHeight="1" x14ac:dyDescent="0.3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</row>
    <row r="438" spans="1:20" ht="12" customHeight="1" x14ac:dyDescent="0.3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</row>
    <row r="439" spans="1:20" ht="12" customHeight="1" x14ac:dyDescent="0.3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</row>
    <row r="440" spans="1:20" ht="12" customHeight="1" x14ac:dyDescent="0.3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</row>
    <row r="441" spans="1:20" ht="12" customHeight="1" x14ac:dyDescent="0.3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</row>
    <row r="442" spans="1:20" ht="12" customHeight="1" x14ac:dyDescent="0.3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</row>
    <row r="443" spans="1:20" ht="12" customHeight="1" x14ac:dyDescent="0.3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</row>
    <row r="444" spans="1:20" ht="12" customHeight="1" x14ac:dyDescent="0.3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</row>
    <row r="445" spans="1:20" ht="12" customHeight="1" x14ac:dyDescent="0.3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</row>
    <row r="446" spans="1:20" ht="12" customHeight="1" x14ac:dyDescent="0.3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</row>
    <row r="447" spans="1:20" ht="12" customHeight="1" x14ac:dyDescent="0.3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</row>
    <row r="448" spans="1:20" ht="12" customHeight="1" x14ac:dyDescent="0.3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</row>
    <row r="449" spans="1:20" ht="12" customHeight="1" x14ac:dyDescent="0.3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</row>
    <row r="450" spans="1:20" ht="12" customHeight="1" x14ac:dyDescent="0.3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</row>
    <row r="451" spans="1:20" ht="12" customHeight="1" x14ac:dyDescent="0.3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</row>
    <row r="452" spans="1:20" ht="12" customHeight="1" x14ac:dyDescent="0.3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</row>
    <row r="453" spans="1:20" ht="12" customHeight="1" x14ac:dyDescent="0.3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</row>
    <row r="454" spans="1:20" ht="12" customHeight="1" x14ac:dyDescent="0.3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</row>
    <row r="455" spans="1:20" ht="12" customHeight="1" x14ac:dyDescent="0.3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</row>
    <row r="456" spans="1:20" ht="12" customHeight="1" x14ac:dyDescent="0.3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</row>
    <row r="457" spans="1:20" ht="12" customHeight="1" x14ac:dyDescent="0.3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</row>
    <row r="458" spans="1:20" ht="12" customHeight="1" x14ac:dyDescent="0.3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</row>
    <row r="459" spans="1:20" ht="12" customHeight="1" x14ac:dyDescent="0.3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</row>
    <row r="460" spans="1:20" ht="12" customHeight="1" x14ac:dyDescent="0.3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</row>
    <row r="461" spans="1:20" ht="12" customHeight="1" x14ac:dyDescent="0.3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</row>
    <row r="462" spans="1:20" ht="12" customHeight="1" x14ac:dyDescent="0.3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</row>
    <row r="463" spans="1:20" ht="12" customHeight="1" x14ac:dyDescent="0.3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</row>
    <row r="464" spans="1:20" ht="12" customHeight="1" x14ac:dyDescent="0.3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</row>
    <row r="465" spans="1:20" ht="12" customHeight="1" x14ac:dyDescent="0.3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</row>
    <row r="466" spans="1:20" ht="12" customHeight="1" x14ac:dyDescent="0.3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</row>
    <row r="467" spans="1:20" ht="12" customHeight="1" x14ac:dyDescent="0.3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</row>
    <row r="468" spans="1:20" ht="12" customHeight="1" x14ac:dyDescent="0.3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</row>
    <row r="469" spans="1:20" ht="12" customHeight="1" x14ac:dyDescent="0.3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</row>
    <row r="470" spans="1:20" ht="12" customHeight="1" x14ac:dyDescent="0.3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</row>
    <row r="471" spans="1:20" ht="12" customHeight="1" x14ac:dyDescent="0.3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</row>
    <row r="472" spans="1:20" ht="12" customHeight="1" x14ac:dyDescent="0.3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</row>
    <row r="473" spans="1:20" ht="12" customHeight="1" x14ac:dyDescent="0.3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</row>
    <row r="474" spans="1:20" ht="12" customHeight="1" x14ac:dyDescent="0.3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</row>
    <row r="475" spans="1:20" ht="12" customHeight="1" x14ac:dyDescent="0.3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</row>
    <row r="476" spans="1:20" ht="12" customHeight="1" x14ac:dyDescent="0.3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</row>
    <row r="477" spans="1:20" ht="12" customHeight="1" x14ac:dyDescent="0.3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</row>
    <row r="478" spans="1:20" ht="12" customHeight="1" x14ac:dyDescent="0.3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</row>
    <row r="479" spans="1:20" ht="12" customHeight="1" x14ac:dyDescent="0.3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</row>
    <row r="480" spans="1:20" ht="12" customHeight="1" x14ac:dyDescent="0.3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</row>
    <row r="481" spans="1:20" ht="12" customHeight="1" x14ac:dyDescent="0.3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</row>
    <row r="482" spans="1:20" ht="12" customHeight="1" x14ac:dyDescent="0.3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</row>
    <row r="483" spans="1:20" ht="12" customHeight="1" x14ac:dyDescent="0.3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</row>
    <row r="484" spans="1:20" ht="12" customHeight="1" x14ac:dyDescent="0.3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</row>
    <row r="485" spans="1:20" ht="12" customHeight="1" x14ac:dyDescent="0.3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</row>
    <row r="486" spans="1:20" ht="12" customHeight="1" x14ac:dyDescent="0.3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</row>
    <row r="487" spans="1:20" ht="12" customHeight="1" x14ac:dyDescent="0.3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</row>
    <row r="488" spans="1:20" ht="12" customHeight="1" x14ac:dyDescent="0.3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</row>
    <row r="489" spans="1:20" ht="12" customHeight="1" x14ac:dyDescent="0.3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</row>
    <row r="490" spans="1:20" ht="12" customHeight="1" x14ac:dyDescent="0.3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</row>
    <row r="491" spans="1:20" ht="12" customHeight="1" x14ac:dyDescent="0.3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</row>
    <row r="492" spans="1:20" ht="12" customHeight="1" x14ac:dyDescent="0.3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</row>
    <row r="493" spans="1:20" ht="12" customHeight="1" x14ac:dyDescent="0.3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</row>
    <row r="494" spans="1:20" ht="12" customHeight="1" x14ac:dyDescent="0.3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</row>
    <row r="495" spans="1:20" ht="12" customHeight="1" x14ac:dyDescent="0.3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</row>
    <row r="496" spans="1:20" ht="12" customHeight="1" x14ac:dyDescent="0.3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</row>
    <row r="497" spans="1:20" ht="12" customHeight="1" x14ac:dyDescent="0.3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</row>
    <row r="498" spans="1:20" ht="12" customHeight="1" x14ac:dyDescent="0.3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</row>
    <row r="499" spans="1:20" ht="12" customHeight="1" x14ac:dyDescent="0.3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</row>
    <row r="500" spans="1:20" ht="12" customHeight="1" x14ac:dyDescent="0.3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</row>
    <row r="501" spans="1:20" ht="12" customHeight="1" x14ac:dyDescent="0.3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</row>
    <row r="502" spans="1:20" ht="12" customHeight="1" x14ac:dyDescent="0.3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</row>
    <row r="503" spans="1:20" ht="12" customHeight="1" x14ac:dyDescent="0.3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</row>
    <row r="504" spans="1:20" ht="12" customHeight="1" x14ac:dyDescent="0.3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</row>
    <row r="505" spans="1:20" ht="12" customHeight="1" x14ac:dyDescent="0.3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</row>
    <row r="506" spans="1:20" ht="12" customHeight="1" x14ac:dyDescent="0.3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</row>
    <row r="507" spans="1:20" ht="12" customHeight="1" x14ac:dyDescent="0.3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</row>
    <row r="508" spans="1:20" ht="12" customHeight="1" x14ac:dyDescent="0.3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</row>
    <row r="509" spans="1:20" ht="12" customHeight="1" x14ac:dyDescent="0.3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</row>
    <row r="510" spans="1:20" ht="12" customHeight="1" x14ac:dyDescent="0.3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</row>
    <row r="511" spans="1:20" ht="12" customHeight="1" x14ac:dyDescent="0.3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</row>
    <row r="512" spans="1:20" ht="12" customHeight="1" x14ac:dyDescent="0.3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</row>
    <row r="513" spans="1:20" ht="12" customHeight="1" x14ac:dyDescent="0.3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</row>
    <row r="514" spans="1:20" ht="12" customHeight="1" x14ac:dyDescent="0.3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</row>
    <row r="515" spans="1:20" ht="12" customHeight="1" x14ac:dyDescent="0.3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</row>
    <row r="516" spans="1:20" ht="12" customHeight="1" x14ac:dyDescent="0.3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</row>
    <row r="517" spans="1:20" ht="12" customHeight="1" x14ac:dyDescent="0.3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</row>
    <row r="518" spans="1:20" ht="12" customHeight="1" x14ac:dyDescent="0.3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</row>
    <row r="519" spans="1:20" ht="12" customHeight="1" x14ac:dyDescent="0.3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</row>
    <row r="520" spans="1:20" ht="12" customHeight="1" x14ac:dyDescent="0.3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</row>
    <row r="521" spans="1:20" ht="12" customHeight="1" x14ac:dyDescent="0.3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</row>
    <row r="522" spans="1:20" ht="12" customHeight="1" x14ac:dyDescent="0.3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</row>
    <row r="523" spans="1:20" ht="12" customHeight="1" x14ac:dyDescent="0.3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</row>
    <row r="524" spans="1:20" ht="12" customHeight="1" x14ac:dyDescent="0.3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</row>
    <row r="525" spans="1:20" ht="12" customHeight="1" x14ac:dyDescent="0.3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</row>
    <row r="526" spans="1:20" ht="12" customHeight="1" x14ac:dyDescent="0.3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</row>
    <row r="527" spans="1:20" ht="12" customHeight="1" x14ac:dyDescent="0.3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</row>
    <row r="528" spans="1:20" ht="12" customHeight="1" x14ac:dyDescent="0.3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</row>
    <row r="529" spans="1:20" ht="12" customHeight="1" x14ac:dyDescent="0.3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</row>
    <row r="530" spans="1:20" ht="12" customHeight="1" x14ac:dyDescent="0.3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</row>
    <row r="531" spans="1:20" ht="12" customHeight="1" x14ac:dyDescent="0.3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</row>
    <row r="532" spans="1:20" ht="12" customHeight="1" x14ac:dyDescent="0.3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</row>
    <row r="533" spans="1:20" ht="12" customHeight="1" x14ac:dyDescent="0.3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</row>
    <row r="534" spans="1:20" ht="12" customHeight="1" x14ac:dyDescent="0.3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</row>
    <row r="535" spans="1:20" ht="12" customHeight="1" x14ac:dyDescent="0.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</row>
    <row r="536" spans="1:20" ht="12" customHeight="1" x14ac:dyDescent="0.3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</row>
    <row r="537" spans="1:20" ht="12" customHeight="1" x14ac:dyDescent="0.3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</row>
    <row r="538" spans="1:20" ht="12" customHeight="1" x14ac:dyDescent="0.3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</row>
    <row r="539" spans="1:20" ht="12" customHeight="1" x14ac:dyDescent="0.3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</row>
    <row r="540" spans="1:20" ht="12" customHeight="1" x14ac:dyDescent="0.3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</row>
    <row r="541" spans="1:20" ht="12" customHeight="1" x14ac:dyDescent="0.3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</row>
    <row r="542" spans="1:20" ht="12" customHeight="1" x14ac:dyDescent="0.3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</row>
    <row r="543" spans="1:20" ht="12" customHeight="1" x14ac:dyDescent="0.3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</row>
    <row r="544" spans="1:20" ht="12" customHeight="1" x14ac:dyDescent="0.3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</row>
    <row r="545" spans="1:20" ht="12" customHeight="1" x14ac:dyDescent="0.3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</row>
    <row r="546" spans="1:20" ht="12" customHeight="1" x14ac:dyDescent="0.3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</row>
    <row r="547" spans="1:20" ht="12" customHeight="1" x14ac:dyDescent="0.3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</row>
    <row r="548" spans="1:20" ht="12" customHeight="1" x14ac:dyDescent="0.3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</row>
    <row r="549" spans="1:20" ht="12" customHeight="1" x14ac:dyDescent="0.3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</row>
    <row r="550" spans="1:20" ht="12" customHeight="1" x14ac:dyDescent="0.3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</row>
    <row r="551" spans="1:20" ht="12" customHeight="1" x14ac:dyDescent="0.3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</row>
    <row r="552" spans="1:20" ht="12" customHeight="1" x14ac:dyDescent="0.3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</row>
    <row r="553" spans="1:20" ht="12" customHeight="1" x14ac:dyDescent="0.3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</row>
    <row r="554" spans="1:20" ht="12" customHeight="1" x14ac:dyDescent="0.3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</row>
    <row r="555" spans="1:20" ht="12" customHeight="1" x14ac:dyDescent="0.3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</row>
    <row r="556" spans="1:20" ht="12" customHeight="1" x14ac:dyDescent="0.3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</row>
    <row r="557" spans="1:20" ht="12" customHeight="1" x14ac:dyDescent="0.3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</row>
    <row r="558" spans="1:20" ht="12" customHeight="1" x14ac:dyDescent="0.3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</row>
    <row r="559" spans="1:20" ht="12" customHeight="1" x14ac:dyDescent="0.3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</row>
    <row r="560" spans="1:20" ht="12" customHeight="1" x14ac:dyDescent="0.3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</row>
    <row r="561" spans="1:20" ht="12" customHeight="1" x14ac:dyDescent="0.3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</row>
    <row r="562" spans="1:20" ht="12" customHeight="1" x14ac:dyDescent="0.3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</row>
    <row r="563" spans="1:20" ht="12" customHeight="1" x14ac:dyDescent="0.3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</row>
    <row r="564" spans="1:20" ht="12" customHeight="1" x14ac:dyDescent="0.3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</row>
    <row r="565" spans="1:20" ht="12" customHeight="1" x14ac:dyDescent="0.3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</row>
    <row r="566" spans="1:20" ht="12" customHeight="1" x14ac:dyDescent="0.3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</row>
    <row r="567" spans="1:20" ht="12" customHeight="1" x14ac:dyDescent="0.3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</row>
    <row r="568" spans="1:20" ht="12" customHeight="1" x14ac:dyDescent="0.3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</row>
    <row r="569" spans="1:20" ht="12" customHeight="1" x14ac:dyDescent="0.3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</row>
    <row r="570" spans="1:20" ht="12" customHeight="1" x14ac:dyDescent="0.3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</row>
    <row r="571" spans="1:20" ht="12" customHeight="1" x14ac:dyDescent="0.3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</row>
    <row r="572" spans="1:20" ht="12" customHeight="1" x14ac:dyDescent="0.3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</row>
    <row r="573" spans="1:20" ht="12" customHeight="1" x14ac:dyDescent="0.3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</row>
    <row r="574" spans="1:20" ht="12" customHeight="1" x14ac:dyDescent="0.3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</row>
    <row r="575" spans="1:20" ht="12" customHeight="1" x14ac:dyDescent="0.3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</row>
    <row r="576" spans="1:20" ht="12" customHeight="1" x14ac:dyDescent="0.3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</row>
    <row r="577" spans="1:20" ht="12" customHeight="1" x14ac:dyDescent="0.3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</row>
    <row r="578" spans="1:20" ht="12" customHeight="1" x14ac:dyDescent="0.3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</row>
    <row r="579" spans="1:20" ht="12" customHeight="1" x14ac:dyDescent="0.3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</row>
    <row r="580" spans="1:20" ht="12" customHeight="1" x14ac:dyDescent="0.3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</row>
    <row r="581" spans="1:20" ht="12" customHeight="1" x14ac:dyDescent="0.3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</row>
    <row r="582" spans="1:20" ht="12" customHeight="1" x14ac:dyDescent="0.3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</row>
    <row r="583" spans="1:20" ht="12" customHeight="1" x14ac:dyDescent="0.3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</row>
    <row r="584" spans="1:20" ht="12" customHeight="1" x14ac:dyDescent="0.3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</row>
    <row r="585" spans="1:20" ht="12" customHeight="1" x14ac:dyDescent="0.3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</row>
    <row r="586" spans="1:20" ht="12" customHeight="1" x14ac:dyDescent="0.3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</row>
    <row r="587" spans="1:20" ht="12" customHeight="1" x14ac:dyDescent="0.3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</row>
    <row r="588" spans="1:20" ht="12" customHeight="1" x14ac:dyDescent="0.3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</row>
    <row r="589" spans="1:20" ht="12" customHeight="1" x14ac:dyDescent="0.3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</row>
    <row r="590" spans="1:20" ht="12" customHeight="1" x14ac:dyDescent="0.3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</row>
    <row r="591" spans="1:20" ht="12" customHeight="1" x14ac:dyDescent="0.3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</row>
    <row r="592" spans="1:20" ht="12" customHeight="1" x14ac:dyDescent="0.3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</row>
    <row r="593" spans="1:20" ht="12" customHeight="1" x14ac:dyDescent="0.3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</row>
    <row r="594" spans="1:20" ht="12" customHeight="1" x14ac:dyDescent="0.3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</row>
    <row r="595" spans="1:20" ht="12" customHeight="1" x14ac:dyDescent="0.3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</row>
    <row r="596" spans="1:20" ht="12" customHeight="1" x14ac:dyDescent="0.3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</row>
    <row r="597" spans="1:20" ht="12" customHeight="1" x14ac:dyDescent="0.3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</row>
    <row r="598" spans="1:20" ht="12" customHeight="1" x14ac:dyDescent="0.3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</row>
    <row r="599" spans="1:20" ht="12" customHeight="1" x14ac:dyDescent="0.3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</row>
    <row r="600" spans="1:20" ht="12" customHeight="1" x14ac:dyDescent="0.3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</row>
    <row r="601" spans="1:20" ht="12" customHeight="1" x14ac:dyDescent="0.3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</row>
    <row r="602" spans="1:20" ht="12" customHeight="1" x14ac:dyDescent="0.3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</row>
    <row r="603" spans="1:20" ht="12" customHeight="1" x14ac:dyDescent="0.3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</row>
    <row r="604" spans="1:20" ht="12" customHeight="1" x14ac:dyDescent="0.3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</row>
    <row r="605" spans="1:20" ht="12" customHeight="1" x14ac:dyDescent="0.3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</row>
    <row r="606" spans="1:20" ht="12" customHeight="1" x14ac:dyDescent="0.3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</row>
    <row r="607" spans="1:20" ht="12" customHeight="1" x14ac:dyDescent="0.3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</row>
    <row r="608" spans="1:20" ht="12" customHeight="1" x14ac:dyDescent="0.3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</row>
    <row r="609" spans="1:20" ht="12" customHeight="1" x14ac:dyDescent="0.3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</row>
    <row r="610" spans="1:20" ht="12" customHeight="1" x14ac:dyDescent="0.3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</row>
    <row r="611" spans="1:20" ht="12" customHeight="1" x14ac:dyDescent="0.3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</row>
    <row r="612" spans="1:20" ht="12" customHeight="1" x14ac:dyDescent="0.3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</row>
    <row r="613" spans="1:20" ht="12" customHeight="1" x14ac:dyDescent="0.3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</row>
    <row r="614" spans="1:20" ht="12" customHeight="1" x14ac:dyDescent="0.3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</row>
    <row r="615" spans="1:20" ht="12" customHeight="1" x14ac:dyDescent="0.3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</row>
    <row r="616" spans="1:20" ht="12" customHeight="1" x14ac:dyDescent="0.3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</row>
    <row r="617" spans="1:20" ht="12" customHeight="1" x14ac:dyDescent="0.3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</row>
    <row r="618" spans="1:20" ht="12" customHeight="1" x14ac:dyDescent="0.3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</row>
    <row r="619" spans="1:20" ht="12" customHeight="1" x14ac:dyDescent="0.3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</row>
    <row r="620" spans="1:20" ht="12" customHeight="1" x14ac:dyDescent="0.3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</row>
    <row r="621" spans="1:20" ht="12" customHeight="1" x14ac:dyDescent="0.3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</row>
    <row r="622" spans="1:20" ht="12" customHeight="1" x14ac:dyDescent="0.3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</row>
    <row r="623" spans="1:20" ht="12" customHeight="1" x14ac:dyDescent="0.3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</row>
    <row r="624" spans="1:20" ht="12" customHeight="1" x14ac:dyDescent="0.3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</row>
    <row r="625" spans="1:20" ht="12" customHeight="1" x14ac:dyDescent="0.3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</row>
    <row r="626" spans="1:20" ht="12" customHeight="1" x14ac:dyDescent="0.3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</row>
    <row r="627" spans="1:20" ht="12" customHeight="1" x14ac:dyDescent="0.3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</row>
    <row r="628" spans="1:20" ht="12" customHeight="1" x14ac:dyDescent="0.3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</row>
    <row r="629" spans="1:20" ht="12" customHeight="1" x14ac:dyDescent="0.3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</row>
    <row r="630" spans="1:20" ht="12" customHeight="1" x14ac:dyDescent="0.3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</row>
    <row r="631" spans="1:20" ht="12" customHeight="1" x14ac:dyDescent="0.3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</row>
    <row r="632" spans="1:20" ht="12" customHeight="1" x14ac:dyDescent="0.3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</row>
    <row r="633" spans="1:20" ht="12" customHeight="1" x14ac:dyDescent="0.3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</row>
    <row r="634" spans="1:20" ht="12" customHeight="1" x14ac:dyDescent="0.3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</row>
    <row r="635" spans="1:20" ht="12" customHeight="1" x14ac:dyDescent="0.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</row>
    <row r="636" spans="1:20" ht="12" customHeight="1" x14ac:dyDescent="0.3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</row>
    <row r="637" spans="1:20" ht="12" customHeight="1" x14ac:dyDescent="0.3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</row>
    <row r="638" spans="1:20" ht="12" customHeight="1" x14ac:dyDescent="0.3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</row>
    <row r="639" spans="1:20" ht="12" customHeight="1" x14ac:dyDescent="0.3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</row>
    <row r="640" spans="1:20" ht="12" customHeight="1" x14ac:dyDescent="0.3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</row>
    <row r="641" spans="1:20" ht="12" customHeight="1" x14ac:dyDescent="0.3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</row>
    <row r="642" spans="1:20" ht="12" customHeight="1" x14ac:dyDescent="0.3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</row>
    <row r="643" spans="1:20" ht="12" customHeight="1" x14ac:dyDescent="0.3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</row>
    <row r="644" spans="1:20" ht="12" customHeight="1" x14ac:dyDescent="0.3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</row>
    <row r="645" spans="1:20" ht="12" customHeight="1" x14ac:dyDescent="0.3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</row>
    <row r="646" spans="1:20" ht="12" customHeight="1" x14ac:dyDescent="0.3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</row>
    <row r="647" spans="1:20" ht="12" customHeight="1" x14ac:dyDescent="0.3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</row>
    <row r="648" spans="1:20" ht="12" customHeight="1" x14ac:dyDescent="0.3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</row>
    <row r="649" spans="1:20" ht="12" customHeight="1" x14ac:dyDescent="0.3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</row>
    <row r="650" spans="1:20" ht="12" customHeight="1" x14ac:dyDescent="0.3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</row>
    <row r="651" spans="1:20" ht="12" customHeight="1" x14ac:dyDescent="0.3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</row>
    <row r="652" spans="1:20" ht="12" customHeight="1" x14ac:dyDescent="0.3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</row>
    <row r="653" spans="1:20" ht="12" customHeight="1" x14ac:dyDescent="0.3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</row>
    <row r="654" spans="1:20" ht="12" customHeight="1" x14ac:dyDescent="0.3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</row>
    <row r="655" spans="1:20" ht="12" customHeight="1" x14ac:dyDescent="0.3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</row>
    <row r="656" spans="1:20" ht="12" customHeight="1" x14ac:dyDescent="0.3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</row>
    <row r="657" spans="1:20" ht="12" customHeight="1" x14ac:dyDescent="0.3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</row>
    <row r="658" spans="1:20" ht="12" customHeight="1" x14ac:dyDescent="0.3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</row>
    <row r="659" spans="1:20" ht="12" customHeight="1" x14ac:dyDescent="0.3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</row>
    <row r="660" spans="1:20" ht="12" customHeight="1" x14ac:dyDescent="0.3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</row>
    <row r="661" spans="1:20" ht="12" customHeight="1" x14ac:dyDescent="0.3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</row>
    <row r="662" spans="1:20" ht="12" customHeight="1" x14ac:dyDescent="0.3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</row>
    <row r="663" spans="1:20" ht="12" customHeight="1" x14ac:dyDescent="0.3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</row>
    <row r="664" spans="1:20" ht="12" customHeight="1" x14ac:dyDescent="0.3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</row>
    <row r="665" spans="1:20" ht="12" customHeight="1" x14ac:dyDescent="0.3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</row>
    <row r="666" spans="1:20" ht="12" customHeight="1" x14ac:dyDescent="0.3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</row>
    <row r="667" spans="1:20" ht="12" customHeight="1" x14ac:dyDescent="0.3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</row>
    <row r="668" spans="1:20" ht="12" customHeight="1" x14ac:dyDescent="0.3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</row>
    <row r="669" spans="1:20" ht="12" customHeight="1" x14ac:dyDescent="0.3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</row>
    <row r="670" spans="1:20" ht="12" customHeight="1" x14ac:dyDescent="0.3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</row>
    <row r="671" spans="1:20" ht="12" customHeight="1" x14ac:dyDescent="0.3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</row>
    <row r="672" spans="1:20" ht="12" customHeight="1" x14ac:dyDescent="0.3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</row>
    <row r="673" spans="1:20" ht="12" customHeight="1" x14ac:dyDescent="0.3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</row>
    <row r="674" spans="1:20" ht="12" customHeight="1" x14ac:dyDescent="0.3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</row>
    <row r="675" spans="1:20" ht="12" customHeight="1" x14ac:dyDescent="0.3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</row>
    <row r="676" spans="1:20" ht="12" customHeight="1" x14ac:dyDescent="0.3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</row>
    <row r="677" spans="1:20" ht="12" customHeight="1" x14ac:dyDescent="0.3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</row>
    <row r="678" spans="1:20" ht="12" customHeight="1" x14ac:dyDescent="0.3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</row>
    <row r="679" spans="1:20" ht="12" customHeight="1" x14ac:dyDescent="0.3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</row>
    <row r="680" spans="1:20" ht="12" customHeight="1" x14ac:dyDescent="0.3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</row>
    <row r="681" spans="1:20" ht="12" customHeight="1" x14ac:dyDescent="0.3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</row>
    <row r="682" spans="1:20" ht="12" customHeight="1" x14ac:dyDescent="0.3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</row>
    <row r="683" spans="1:20" ht="12" customHeight="1" x14ac:dyDescent="0.3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</row>
    <row r="684" spans="1:20" ht="12" customHeight="1" x14ac:dyDescent="0.3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</row>
    <row r="685" spans="1:20" ht="12" customHeight="1" x14ac:dyDescent="0.3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</row>
    <row r="686" spans="1:20" ht="12" customHeight="1" x14ac:dyDescent="0.3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</row>
    <row r="687" spans="1:20" ht="12" customHeight="1" x14ac:dyDescent="0.3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</row>
    <row r="688" spans="1:20" ht="12" customHeight="1" x14ac:dyDescent="0.3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</row>
    <row r="689" spans="1:20" ht="12" customHeight="1" x14ac:dyDescent="0.3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</row>
    <row r="690" spans="1:20" ht="12" customHeight="1" x14ac:dyDescent="0.3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</row>
    <row r="691" spans="1:20" ht="12" customHeight="1" x14ac:dyDescent="0.3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</row>
    <row r="692" spans="1:20" ht="12" customHeight="1" x14ac:dyDescent="0.3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</row>
    <row r="693" spans="1:20" ht="12" customHeight="1" x14ac:dyDescent="0.3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</row>
    <row r="694" spans="1:20" ht="12" customHeight="1" x14ac:dyDescent="0.3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</row>
    <row r="695" spans="1:20" ht="12" customHeight="1" x14ac:dyDescent="0.3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</row>
    <row r="696" spans="1:20" ht="12" customHeight="1" x14ac:dyDescent="0.3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</row>
    <row r="697" spans="1:20" ht="12" customHeight="1" x14ac:dyDescent="0.3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</row>
    <row r="698" spans="1:20" ht="12" customHeight="1" x14ac:dyDescent="0.3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</row>
    <row r="699" spans="1:20" ht="12" customHeight="1" x14ac:dyDescent="0.3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</row>
    <row r="700" spans="1:20" ht="12" customHeight="1" x14ac:dyDescent="0.3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</row>
    <row r="701" spans="1:20" ht="12" customHeight="1" x14ac:dyDescent="0.3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</row>
    <row r="702" spans="1:20" ht="12" customHeight="1" x14ac:dyDescent="0.3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</row>
    <row r="703" spans="1:20" ht="12" customHeight="1" x14ac:dyDescent="0.3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</row>
    <row r="704" spans="1:20" ht="12" customHeight="1" x14ac:dyDescent="0.3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</row>
    <row r="705" spans="1:20" ht="12" customHeight="1" x14ac:dyDescent="0.3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</row>
    <row r="706" spans="1:20" ht="12" customHeight="1" x14ac:dyDescent="0.3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</row>
    <row r="707" spans="1:20" ht="12" customHeight="1" x14ac:dyDescent="0.3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</row>
    <row r="708" spans="1:20" ht="12" customHeight="1" x14ac:dyDescent="0.3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</row>
    <row r="709" spans="1:20" ht="12" customHeight="1" x14ac:dyDescent="0.3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</row>
    <row r="710" spans="1:20" ht="12" customHeight="1" x14ac:dyDescent="0.3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</row>
    <row r="711" spans="1:20" ht="12" customHeight="1" x14ac:dyDescent="0.3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</row>
    <row r="712" spans="1:20" ht="12" customHeight="1" x14ac:dyDescent="0.3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</row>
    <row r="713" spans="1:20" ht="12" customHeight="1" x14ac:dyDescent="0.3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</row>
    <row r="714" spans="1:20" ht="12" customHeight="1" x14ac:dyDescent="0.3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</row>
    <row r="715" spans="1:20" ht="12" customHeight="1" x14ac:dyDescent="0.3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</row>
    <row r="716" spans="1:20" ht="12" customHeight="1" x14ac:dyDescent="0.3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</row>
    <row r="717" spans="1:20" ht="12" customHeight="1" x14ac:dyDescent="0.3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</row>
    <row r="718" spans="1:20" ht="12" customHeight="1" x14ac:dyDescent="0.3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</row>
    <row r="719" spans="1:20" ht="12" customHeight="1" x14ac:dyDescent="0.3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</row>
    <row r="720" spans="1:20" ht="12" customHeight="1" x14ac:dyDescent="0.3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</row>
    <row r="721" spans="1:20" ht="12" customHeight="1" x14ac:dyDescent="0.3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</row>
    <row r="722" spans="1:20" ht="12" customHeight="1" x14ac:dyDescent="0.3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</row>
    <row r="723" spans="1:20" ht="12" customHeight="1" x14ac:dyDescent="0.3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</row>
    <row r="724" spans="1:20" ht="12" customHeight="1" x14ac:dyDescent="0.3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</row>
    <row r="725" spans="1:20" ht="12" customHeight="1" x14ac:dyDescent="0.3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</row>
    <row r="726" spans="1:20" ht="12" customHeight="1" x14ac:dyDescent="0.3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</row>
    <row r="727" spans="1:20" ht="12" customHeight="1" x14ac:dyDescent="0.3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</row>
    <row r="728" spans="1:20" ht="12" customHeight="1" x14ac:dyDescent="0.3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</row>
    <row r="729" spans="1:20" ht="12" customHeight="1" x14ac:dyDescent="0.3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</row>
    <row r="730" spans="1:20" ht="12" customHeight="1" x14ac:dyDescent="0.3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</row>
    <row r="731" spans="1:20" ht="12" customHeight="1" x14ac:dyDescent="0.3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</row>
    <row r="732" spans="1:20" ht="12" customHeight="1" x14ac:dyDescent="0.3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</row>
    <row r="733" spans="1:20" ht="12" customHeight="1" x14ac:dyDescent="0.3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</row>
    <row r="734" spans="1:20" ht="12" customHeight="1" x14ac:dyDescent="0.3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</row>
    <row r="735" spans="1:20" ht="12" customHeight="1" x14ac:dyDescent="0.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</row>
    <row r="736" spans="1:20" ht="12" customHeight="1" x14ac:dyDescent="0.3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</row>
    <row r="737" spans="1:20" ht="12" customHeight="1" x14ac:dyDescent="0.3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</row>
    <row r="738" spans="1:20" ht="12" customHeight="1" x14ac:dyDescent="0.3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</row>
    <row r="739" spans="1:20" ht="12" customHeight="1" x14ac:dyDescent="0.3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</row>
    <row r="740" spans="1:20" ht="12" customHeight="1" x14ac:dyDescent="0.3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</row>
    <row r="741" spans="1:20" ht="12" customHeight="1" x14ac:dyDescent="0.3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</row>
    <row r="742" spans="1:20" ht="12" customHeight="1" x14ac:dyDescent="0.3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</row>
    <row r="743" spans="1:20" ht="12" customHeight="1" x14ac:dyDescent="0.3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</row>
    <row r="744" spans="1:20" ht="12" customHeight="1" x14ac:dyDescent="0.3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</row>
    <row r="745" spans="1:20" ht="12" customHeight="1" x14ac:dyDescent="0.3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</row>
    <row r="746" spans="1:20" ht="12" customHeight="1" x14ac:dyDescent="0.3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</row>
    <row r="747" spans="1:20" ht="12" customHeight="1" x14ac:dyDescent="0.3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</row>
    <row r="748" spans="1:20" ht="12" customHeight="1" x14ac:dyDescent="0.3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</row>
    <row r="749" spans="1:20" ht="12" customHeight="1" x14ac:dyDescent="0.3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</row>
    <row r="750" spans="1:20" ht="12" customHeight="1" x14ac:dyDescent="0.3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</row>
    <row r="751" spans="1:20" ht="12" customHeight="1" x14ac:dyDescent="0.3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</row>
    <row r="752" spans="1:20" ht="12" customHeight="1" x14ac:dyDescent="0.3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</row>
    <row r="753" spans="1:20" ht="12" customHeight="1" x14ac:dyDescent="0.3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</row>
    <row r="754" spans="1:20" ht="12" customHeight="1" x14ac:dyDescent="0.3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</row>
    <row r="755" spans="1:20" ht="12" customHeight="1" x14ac:dyDescent="0.3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</row>
    <row r="756" spans="1:20" ht="12" customHeight="1" x14ac:dyDescent="0.3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</row>
    <row r="757" spans="1:20" ht="12" customHeight="1" x14ac:dyDescent="0.3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</row>
    <row r="758" spans="1:20" ht="12" customHeight="1" x14ac:dyDescent="0.3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</row>
    <row r="759" spans="1:20" ht="12" customHeight="1" x14ac:dyDescent="0.3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</row>
    <row r="760" spans="1:20" ht="12" customHeight="1" x14ac:dyDescent="0.3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</row>
    <row r="761" spans="1:20" ht="12" customHeight="1" x14ac:dyDescent="0.3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</row>
    <row r="762" spans="1:20" ht="12" customHeight="1" x14ac:dyDescent="0.3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</row>
    <row r="763" spans="1:20" ht="12" customHeight="1" x14ac:dyDescent="0.3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</row>
    <row r="764" spans="1:20" ht="12" customHeight="1" x14ac:dyDescent="0.3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</row>
    <row r="765" spans="1:20" ht="12" customHeight="1" x14ac:dyDescent="0.3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</row>
    <row r="766" spans="1:20" ht="12" customHeight="1" x14ac:dyDescent="0.3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</row>
    <row r="767" spans="1:20" ht="12" customHeight="1" x14ac:dyDescent="0.3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</row>
    <row r="768" spans="1:20" ht="12" customHeight="1" x14ac:dyDescent="0.3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</row>
    <row r="769" spans="1:20" ht="12" customHeight="1" x14ac:dyDescent="0.3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</row>
    <row r="770" spans="1:20" ht="12" customHeight="1" x14ac:dyDescent="0.3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</row>
    <row r="771" spans="1:20" ht="12" customHeight="1" x14ac:dyDescent="0.3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</row>
    <row r="772" spans="1:20" ht="12" customHeight="1" x14ac:dyDescent="0.3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</row>
    <row r="773" spans="1:20" ht="12" customHeight="1" x14ac:dyDescent="0.3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</row>
    <row r="774" spans="1:20" ht="12" customHeight="1" x14ac:dyDescent="0.3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</row>
    <row r="775" spans="1:20" ht="12" customHeight="1" x14ac:dyDescent="0.3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</row>
    <row r="776" spans="1:20" ht="12" customHeight="1" x14ac:dyDescent="0.3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</row>
    <row r="777" spans="1:20" ht="12" customHeight="1" x14ac:dyDescent="0.3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</row>
    <row r="778" spans="1:20" ht="12" customHeight="1" x14ac:dyDescent="0.3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</row>
    <row r="779" spans="1:20" ht="12" customHeight="1" x14ac:dyDescent="0.3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</row>
    <row r="780" spans="1:20" ht="12" customHeight="1" x14ac:dyDescent="0.3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</row>
    <row r="781" spans="1:20" ht="12" customHeight="1" x14ac:dyDescent="0.3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</row>
    <row r="782" spans="1:20" ht="12" customHeight="1" x14ac:dyDescent="0.3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</row>
    <row r="783" spans="1:20" ht="12" customHeight="1" x14ac:dyDescent="0.3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</row>
    <row r="784" spans="1:20" ht="12" customHeight="1" x14ac:dyDescent="0.3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</row>
    <row r="785" spans="1:20" ht="12" customHeight="1" x14ac:dyDescent="0.3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</row>
    <row r="786" spans="1:20" ht="12" customHeight="1" x14ac:dyDescent="0.3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</row>
    <row r="787" spans="1:20" ht="12" customHeight="1" x14ac:dyDescent="0.3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</row>
    <row r="788" spans="1:20" ht="12" customHeight="1" x14ac:dyDescent="0.3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</row>
    <row r="789" spans="1:20" ht="12" customHeight="1" x14ac:dyDescent="0.3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</row>
    <row r="790" spans="1:20" ht="12" customHeight="1" x14ac:dyDescent="0.3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</row>
    <row r="791" spans="1:20" ht="12" customHeight="1" x14ac:dyDescent="0.3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</row>
    <row r="792" spans="1:20" ht="12" customHeight="1" x14ac:dyDescent="0.3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</row>
    <row r="793" spans="1:20" ht="12" customHeight="1" x14ac:dyDescent="0.3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</row>
    <row r="794" spans="1:20" ht="12" customHeight="1" x14ac:dyDescent="0.3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</row>
    <row r="795" spans="1:20" ht="12" customHeight="1" x14ac:dyDescent="0.3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</row>
    <row r="796" spans="1:20" ht="12" customHeight="1" x14ac:dyDescent="0.3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</row>
    <row r="797" spans="1:20" ht="12" customHeight="1" x14ac:dyDescent="0.3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</row>
    <row r="798" spans="1:20" ht="12" customHeight="1" x14ac:dyDescent="0.3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</row>
    <row r="799" spans="1:20" ht="12" customHeight="1" x14ac:dyDescent="0.3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</row>
    <row r="800" spans="1:20" ht="12" customHeight="1" x14ac:dyDescent="0.3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</row>
    <row r="801" spans="1:20" ht="12" customHeight="1" x14ac:dyDescent="0.3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</row>
    <row r="802" spans="1:20" ht="12" customHeight="1" x14ac:dyDescent="0.3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</row>
    <row r="803" spans="1:20" ht="12" customHeight="1" x14ac:dyDescent="0.3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</row>
    <row r="804" spans="1:20" ht="12" customHeight="1" x14ac:dyDescent="0.3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</row>
    <row r="805" spans="1:20" ht="12" customHeight="1" x14ac:dyDescent="0.3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</row>
    <row r="806" spans="1:20" ht="12" customHeight="1" x14ac:dyDescent="0.3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</row>
    <row r="807" spans="1:20" ht="12" customHeight="1" x14ac:dyDescent="0.3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</row>
    <row r="808" spans="1:20" ht="12" customHeight="1" x14ac:dyDescent="0.3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</row>
    <row r="809" spans="1:20" ht="12" customHeight="1" x14ac:dyDescent="0.3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</row>
    <row r="810" spans="1:20" ht="12" customHeight="1" x14ac:dyDescent="0.3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</row>
    <row r="811" spans="1:20" ht="12" customHeight="1" x14ac:dyDescent="0.3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</row>
    <row r="812" spans="1:20" ht="12" customHeight="1" x14ac:dyDescent="0.3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</row>
    <row r="813" spans="1:20" ht="12" customHeight="1" x14ac:dyDescent="0.3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</row>
    <row r="814" spans="1:20" ht="12" customHeight="1" x14ac:dyDescent="0.3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</row>
    <row r="815" spans="1:20" ht="12" customHeight="1" x14ac:dyDescent="0.3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</row>
    <row r="816" spans="1:20" ht="12" customHeight="1" x14ac:dyDescent="0.3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</row>
    <row r="817" spans="1:20" ht="12" customHeight="1" x14ac:dyDescent="0.3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</row>
    <row r="818" spans="1:20" ht="12" customHeight="1" x14ac:dyDescent="0.3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</row>
    <row r="819" spans="1:20" ht="12" customHeight="1" x14ac:dyDescent="0.3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</row>
    <row r="820" spans="1:20" ht="12" customHeight="1" x14ac:dyDescent="0.3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</row>
    <row r="821" spans="1:20" ht="12" customHeight="1" x14ac:dyDescent="0.3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</row>
    <row r="822" spans="1:20" ht="12" customHeight="1" x14ac:dyDescent="0.3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</row>
    <row r="823" spans="1:20" ht="12" customHeight="1" x14ac:dyDescent="0.3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</row>
    <row r="824" spans="1:20" ht="12" customHeight="1" x14ac:dyDescent="0.3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</row>
    <row r="825" spans="1:20" ht="12" customHeight="1" x14ac:dyDescent="0.3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</row>
    <row r="826" spans="1:20" ht="12" customHeight="1" x14ac:dyDescent="0.3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</row>
    <row r="827" spans="1:20" ht="12" customHeight="1" x14ac:dyDescent="0.3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</row>
    <row r="828" spans="1:20" ht="12" customHeight="1" x14ac:dyDescent="0.3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</row>
    <row r="829" spans="1:20" ht="12" customHeight="1" x14ac:dyDescent="0.3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</row>
    <row r="830" spans="1:20" ht="12" customHeight="1" x14ac:dyDescent="0.3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</row>
    <row r="831" spans="1:20" ht="12" customHeight="1" x14ac:dyDescent="0.3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</row>
    <row r="832" spans="1:20" ht="12" customHeight="1" x14ac:dyDescent="0.3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</row>
    <row r="833" spans="1:20" ht="12" customHeight="1" x14ac:dyDescent="0.3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</row>
    <row r="834" spans="1:20" ht="12" customHeight="1" x14ac:dyDescent="0.3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</row>
    <row r="835" spans="1:20" ht="12" customHeight="1" x14ac:dyDescent="0.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</row>
    <row r="836" spans="1:20" ht="12" customHeight="1" x14ac:dyDescent="0.3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</row>
    <row r="837" spans="1:20" ht="12" customHeight="1" x14ac:dyDescent="0.3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</row>
    <row r="838" spans="1:20" ht="12" customHeight="1" x14ac:dyDescent="0.3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</row>
    <row r="839" spans="1:20" ht="12" customHeight="1" x14ac:dyDescent="0.3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</row>
    <row r="840" spans="1:20" ht="12" customHeight="1" x14ac:dyDescent="0.3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</row>
    <row r="841" spans="1:20" ht="12" customHeight="1" x14ac:dyDescent="0.3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</row>
    <row r="842" spans="1:20" ht="12" customHeight="1" x14ac:dyDescent="0.3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</row>
    <row r="843" spans="1:20" ht="12" customHeight="1" x14ac:dyDescent="0.3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</row>
    <row r="844" spans="1:20" ht="12" customHeight="1" x14ac:dyDescent="0.3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</row>
    <row r="845" spans="1:20" ht="12" customHeight="1" x14ac:dyDescent="0.3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</row>
    <row r="846" spans="1:20" ht="12" customHeight="1" x14ac:dyDescent="0.3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</row>
    <row r="847" spans="1:20" ht="12" customHeight="1" x14ac:dyDescent="0.3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</row>
    <row r="848" spans="1:20" ht="12" customHeight="1" x14ac:dyDescent="0.3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</row>
    <row r="849" spans="1:20" ht="12" customHeight="1" x14ac:dyDescent="0.3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</row>
    <row r="850" spans="1:20" ht="12" customHeight="1" x14ac:dyDescent="0.3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</row>
    <row r="851" spans="1:20" ht="12" customHeight="1" x14ac:dyDescent="0.3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</row>
    <row r="852" spans="1:20" ht="12" customHeight="1" x14ac:dyDescent="0.3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</row>
    <row r="853" spans="1:20" ht="12" customHeight="1" x14ac:dyDescent="0.3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</row>
    <row r="854" spans="1:20" ht="12" customHeight="1" x14ac:dyDescent="0.3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</row>
    <row r="855" spans="1:20" ht="12" customHeight="1" x14ac:dyDescent="0.3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</row>
    <row r="856" spans="1:20" ht="12" customHeight="1" x14ac:dyDescent="0.3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</row>
    <row r="857" spans="1:20" ht="12" customHeight="1" x14ac:dyDescent="0.3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</row>
    <row r="858" spans="1:20" ht="12" customHeight="1" x14ac:dyDescent="0.3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</row>
    <row r="859" spans="1:20" ht="12" customHeight="1" x14ac:dyDescent="0.3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</row>
    <row r="860" spans="1:20" ht="12" customHeight="1" x14ac:dyDescent="0.3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</row>
    <row r="861" spans="1:20" ht="12" customHeight="1" x14ac:dyDescent="0.3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</row>
    <row r="862" spans="1:20" ht="12" customHeight="1" x14ac:dyDescent="0.3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</row>
    <row r="863" spans="1:20" ht="12" customHeight="1" x14ac:dyDescent="0.3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</row>
    <row r="864" spans="1:20" ht="12" customHeight="1" x14ac:dyDescent="0.3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</row>
    <row r="865" spans="1:20" ht="12" customHeight="1" x14ac:dyDescent="0.3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</row>
    <row r="866" spans="1:20" ht="12" customHeight="1" x14ac:dyDescent="0.3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</row>
    <row r="867" spans="1:20" ht="12" customHeight="1" x14ac:dyDescent="0.3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</row>
    <row r="868" spans="1:20" ht="12" customHeight="1" x14ac:dyDescent="0.3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</row>
    <row r="869" spans="1:20" ht="12" customHeight="1" x14ac:dyDescent="0.3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</row>
    <row r="870" spans="1:20" ht="12" customHeight="1" x14ac:dyDescent="0.3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</row>
    <row r="871" spans="1:20" ht="12" customHeight="1" x14ac:dyDescent="0.3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</row>
    <row r="872" spans="1:20" ht="12" customHeight="1" x14ac:dyDescent="0.3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</row>
    <row r="873" spans="1:20" ht="12" customHeight="1" x14ac:dyDescent="0.3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</row>
    <row r="874" spans="1:20" ht="12" customHeight="1" x14ac:dyDescent="0.3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</row>
    <row r="875" spans="1:20" ht="12" customHeight="1" x14ac:dyDescent="0.3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</row>
    <row r="876" spans="1:20" ht="12" customHeight="1" x14ac:dyDescent="0.3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</row>
    <row r="877" spans="1:20" ht="12" customHeight="1" x14ac:dyDescent="0.3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</row>
    <row r="878" spans="1:20" ht="12" customHeight="1" x14ac:dyDescent="0.3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</row>
    <row r="879" spans="1:20" ht="12" customHeight="1" x14ac:dyDescent="0.3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</row>
    <row r="880" spans="1:20" ht="12" customHeight="1" x14ac:dyDescent="0.3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</row>
    <row r="881" spans="1:20" ht="12" customHeight="1" x14ac:dyDescent="0.3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</row>
    <row r="882" spans="1:20" ht="12" customHeight="1" x14ac:dyDescent="0.3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</row>
    <row r="883" spans="1:20" ht="12" customHeight="1" x14ac:dyDescent="0.3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</row>
    <row r="884" spans="1:20" ht="12" customHeight="1" x14ac:dyDescent="0.3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</row>
    <row r="885" spans="1:20" ht="12" customHeight="1" x14ac:dyDescent="0.3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</row>
    <row r="886" spans="1:20" ht="12" customHeight="1" x14ac:dyDescent="0.3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</row>
    <row r="887" spans="1:20" ht="12" customHeight="1" x14ac:dyDescent="0.3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</row>
    <row r="888" spans="1:20" ht="12" customHeight="1" x14ac:dyDescent="0.3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</row>
    <row r="889" spans="1:20" ht="12" customHeight="1" x14ac:dyDescent="0.3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</row>
    <row r="890" spans="1:20" ht="12" customHeight="1" x14ac:dyDescent="0.3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</row>
    <row r="891" spans="1:20" ht="12" customHeight="1" x14ac:dyDescent="0.3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</row>
    <row r="892" spans="1:20" ht="12" customHeight="1" x14ac:dyDescent="0.3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</row>
    <row r="893" spans="1:20" ht="12" customHeight="1" x14ac:dyDescent="0.3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</row>
    <row r="894" spans="1:20" ht="12" customHeight="1" x14ac:dyDescent="0.3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</row>
    <row r="895" spans="1:20" ht="12" customHeight="1" x14ac:dyDescent="0.3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</row>
    <row r="896" spans="1:20" ht="12" customHeight="1" x14ac:dyDescent="0.3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</row>
    <row r="897" spans="1:20" ht="12" customHeight="1" x14ac:dyDescent="0.3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</row>
    <row r="898" spans="1:20" ht="12" customHeight="1" x14ac:dyDescent="0.3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</row>
    <row r="899" spans="1:20" ht="12" customHeight="1" x14ac:dyDescent="0.3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</row>
    <row r="900" spans="1:20" ht="12" customHeight="1" x14ac:dyDescent="0.3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</row>
    <row r="901" spans="1:20" ht="12" customHeight="1" x14ac:dyDescent="0.3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</row>
    <row r="902" spans="1:20" ht="12" customHeight="1" x14ac:dyDescent="0.3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</row>
    <row r="903" spans="1:20" ht="12" customHeight="1" x14ac:dyDescent="0.3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</row>
    <row r="904" spans="1:20" ht="12" customHeight="1" x14ac:dyDescent="0.3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</row>
    <row r="905" spans="1:20" ht="12" customHeight="1" x14ac:dyDescent="0.3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</row>
    <row r="906" spans="1:20" ht="12" customHeight="1" x14ac:dyDescent="0.3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</row>
    <row r="907" spans="1:20" ht="12" customHeight="1" x14ac:dyDescent="0.3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</row>
    <row r="908" spans="1:20" ht="12" customHeight="1" x14ac:dyDescent="0.3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</row>
    <row r="909" spans="1:20" ht="12" customHeight="1" x14ac:dyDescent="0.3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</row>
    <row r="910" spans="1:20" ht="12" customHeight="1" x14ac:dyDescent="0.3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</row>
    <row r="911" spans="1:20" ht="12" customHeight="1" x14ac:dyDescent="0.3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</row>
    <row r="912" spans="1:20" ht="12" customHeight="1" x14ac:dyDescent="0.3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</row>
    <row r="913" spans="1:20" ht="12" customHeight="1" x14ac:dyDescent="0.3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</row>
    <row r="914" spans="1:20" ht="12" customHeight="1" x14ac:dyDescent="0.3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</row>
    <row r="915" spans="1:20" ht="12" customHeight="1" x14ac:dyDescent="0.3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</row>
    <row r="916" spans="1:20" ht="12" customHeight="1" x14ac:dyDescent="0.3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</row>
    <row r="917" spans="1:20" ht="12" customHeight="1" x14ac:dyDescent="0.3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</row>
    <row r="918" spans="1:20" ht="12" customHeight="1" x14ac:dyDescent="0.3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</row>
    <row r="919" spans="1:20" ht="12" customHeight="1" x14ac:dyDescent="0.3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</row>
    <row r="920" spans="1:20" ht="12" customHeight="1" x14ac:dyDescent="0.3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</row>
    <row r="921" spans="1:20" ht="12" customHeight="1" x14ac:dyDescent="0.3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</row>
    <row r="922" spans="1:20" ht="12" customHeight="1" x14ac:dyDescent="0.3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</row>
    <row r="923" spans="1:20" ht="12" customHeight="1" x14ac:dyDescent="0.3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</row>
    <row r="924" spans="1:20" ht="12" customHeight="1" x14ac:dyDescent="0.3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</row>
    <row r="925" spans="1:20" ht="12" customHeight="1" x14ac:dyDescent="0.3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</row>
    <row r="926" spans="1:20" ht="12" customHeight="1" x14ac:dyDescent="0.3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</row>
    <row r="927" spans="1:20" ht="12" customHeight="1" x14ac:dyDescent="0.3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</row>
    <row r="928" spans="1:20" ht="12" customHeight="1" x14ac:dyDescent="0.3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</row>
    <row r="929" spans="1:20" ht="12" customHeight="1" x14ac:dyDescent="0.3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</row>
    <row r="930" spans="1:20" ht="12" customHeight="1" x14ac:dyDescent="0.3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</row>
    <row r="931" spans="1:20" ht="12" customHeight="1" x14ac:dyDescent="0.3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</row>
    <row r="932" spans="1:20" ht="12" customHeight="1" x14ac:dyDescent="0.3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</row>
    <row r="933" spans="1:20" ht="12" customHeight="1" x14ac:dyDescent="0.3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</row>
    <row r="934" spans="1:20" ht="12" customHeight="1" x14ac:dyDescent="0.3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</row>
    <row r="935" spans="1:20" ht="12" customHeight="1" x14ac:dyDescent="0.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</row>
    <row r="936" spans="1:20" ht="12" customHeight="1" x14ac:dyDescent="0.3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</row>
    <row r="937" spans="1:20" ht="12" customHeight="1" x14ac:dyDescent="0.3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</row>
    <row r="938" spans="1:20" ht="12" customHeight="1" x14ac:dyDescent="0.3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</row>
    <row r="939" spans="1:20" ht="12" customHeight="1" x14ac:dyDescent="0.3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</row>
    <row r="940" spans="1:20" ht="12" customHeight="1" x14ac:dyDescent="0.3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</row>
    <row r="941" spans="1:20" ht="12" customHeight="1" x14ac:dyDescent="0.3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</row>
    <row r="942" spans="1:20" ht="12" customHeight="1" x14ac:dyDescent="0.3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</row>
    <row r="943" spans="1:20" ht="12" customHeight="1" x14ac:dyDescent="0.3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</row>
    <row r="944" spans="1:20" ht="12" customHeight="1" x14ac:dyDescent="0.3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</row>
    <row r="945" spans="1:20" ht="12" customHeight="1" x14ac:dyDescent="0.3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</row>
    <row r="946" spans="1:20" ht="12" customHeight="1" x14ac:dyDescent="0.3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</row>
    <row r="947" spans="1:20" ht="12" customHeight="1" x14ac:dyDescent="0.3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</row>
    <row r="948" spans="1:20" ht="12" customHeight="1" x14ac:dyDescent="0.3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</row>
    <row r="949" spans="1:20" ht="12" customHeight="1" x14ac:dyDescent="0.3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</row>
    <row r="950" spans="1:20" ht="12" customHeight="1" x14ac:dyDescent="0.3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</row>
    <row r="951" spans="1:20" ht="12" customHeight="1" x14ac:dyDescent="0.3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</row>
    <row r="952" spans="1:20" ht="12" customHeight="1" x14ac:dyDescent="0.3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</row>
    <row r="953" spans="1:20" ht="12" customHeight="1" x14ac:dyDescent="0.3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</row>
    <row r="954" spans="1:20" ht="12" customHeight="1" x14ac:dyDescent="0.3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</row>
    <row r="955" spans="1:20" ht="12" customHeight="1" x14ac:dyDescent="0.3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</row>
    <row r="956" spans="1:20" ht="12" customHeight="1" x14ac:dyDescent="0.3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</row>
    <row r="957" spans="1:20" ht="12" customHeight="1" x14ac:dyDescent="0.3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</row>
    <row r="958" spans="1:20" ht="12" customHeight="1" x14ac:dyDescent="0.3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</row>
    <row r="959" spans="1:20" ht="12" customHeight="1" x14ac:dyDescent="0.3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</row>
    <row r="960" spans="1:20" ht="12" customHeight="1" x14ac:dyDescent="0.3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</row>
    <row r="961" spans="1:20" ht="12" customHeight="1" x14ac:dyDescent="0.3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</row>
    <row r="962" spans="1:20" ht="12" customHeight="1" x14ac:dyDescent="0.3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</row>
    <row r="963" spans="1:20" ht="12" customHeight="1" x14ac:dyDescent="0.3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</row>
    <row r="964" spans="1:20" ht="12" customHeight="1" x14ac:dyDescent="0.3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</row>
    <row r="965" spans="1:20" ht="12" customHeight="1" x14ac:dyDescent="0.3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</row>
    <row r="966" spans="1:20" ht="12" customHeight="1" x14ac:dyDescent="0.3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</row>
    <row r="967" spans="1:20" ht="12" customHeight="1" x14ac:dyDescent="0.3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</row>
    <row r="968" spans="1:20" ht="12" customHeight="1" x14ac:dyDescent="0.3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</row>
    <row r="969" spans="1:20" ht="12" customHeight="1" x14ac:dyDescent="0.3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</row>
    <row r="970" spans="1:20" ht="12" customHeight="1" x14ac:dyDescent="0.3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</row>
    <row r="971" spans="1:20" ht="12" customHeight="1" x14ac:dyDescent="0.3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</row>
    <row r="972" spans="1:20" ht="12" customHeight="1" x14ac:dyDescent="0.3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</row>
    <row r="973" spans="1:20" ht="12" customHeight="1" x14ac:dyDescent="0.3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</row>
    <row r="974" spans="1:20" ht="12" customHeight="1" x14ac:dyDescent="0.3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</row>
    <row r="975" spans="1:20" ht="12" customHeight="1" x14ac:dyDescent="0.3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</row>
    <row r="976" spans="1:20" ht="12" customHeight="1" x14ac:dyDescent="0.3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</row>
    <row r="977" spans="1:20" ht="12" customHeight="1" x14ac:dyDescent="0.3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</row>
    <row r="978" spans="1:20" ht="12" customHeight="1" x14ac:dyDescent="0.3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</row>
    <row r="979" spans="1:20" ht="12" customHeight="1" x14ac:dyDescent="0.3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</row>
    <row r="980" spans="1:20" ht="12" customHeight="1" x14ac:dyDescent="0.3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</row>
    <row r="981" spans="1:20" ht="12" customHeight="1" x14ac:dyDescent="0.3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</row>
    <row r="982" spans="1:20" ht="12" customHeight="1" x14ac:dyDescent="0.3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</row>
    <row r="983" spans="1:20" ht="12" customHeight="1" x14ac:dyDescent="0.3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</row>
    <row r="984" spans="1:20" ht="12" customHeight="1" x14ac:dyDescent="0.3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</row>
    <row r="985" spans="1:20" ht="12" customHeight="1" x14ac:dyDescent="0.3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</row>
    <row r="986" spans="1:20" ht="12" customHeight="1" x14ac:dyDescent="0.3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</row>
    <row r="987" spans="1:20" ht="12" customHeight="1" x14ac:dyDescent="0.3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</row>
    <row r="988" spans="1:20" ht="12" customHeight="1" x14ac:dyDescent="0.3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</row>
    <row r="989" spans="1:20" ht="12" customHeight="1" x14ac:dyDescent="0.3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</row>
    <row r="990" spans="1:20" ht="12" customHeight="1" x14ac:dyDescent="0.3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</row>
    <row r="991" spans="1:20" ht="12" customHeight="1" x14ac:dyDescent="0.3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</row>
    <row r="992" spans="1:20" ht="12" customHeight="1" x14ac:dyDescent="0.3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</row>
    <row r="993" spans="1:20" ht="12" customHeight="1" x14ac:dyDescent="0.3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</row>
    <row r="994" spans="1:20" ht="12" customHeight="1" x14ac:dyDescent="0.35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</row>
    <row r="995" spans="1:20" ht="12" customHeight="1" x14ac:dyDescent="0.3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</row>
    <row r="996" spans="1:20" ht="12" customHeight="1" x14ac:dyDescent="0.35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</row>
    <row r="997" spans="1:20" ht="12" customHeight="1" x14ac:dyDescent="0.35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9"/>
  <sheetViews>
    <sheetView showGridLines="0" topLeftCell="A27" zoomScale="80" zoomScaleNormal="80" workbookViewId="0">
      <selection activeCell="D68" sqref="D68"/>
    </sheetView>
  </sheetViews>
  <sheetFormatPr baseColWidth="10" defaultColWidth="14.453125" defaultRowHeight="15" customHeight="1" x14ac:dyDescent="0.35"/>
  <cols>
    <col min="1" max="1" width="7.453125" customWidth="1"/>
    <col min="2" max="2" width="26.08984375" customWidth="1"/>
    <col min="3" max="3" width="29.08984375" customWidth="1"/>
    <col min="4" max="4" width="26.453125" customWidth="1"/>
    <col min="5" max="5" width="14.54296875" customWidth="1"/>
    <col min="6" max="6" width="11.453125" customWidth="1"/>
    <col min="7" max="7" width="1.36328125" customWidth="1"/>
    <col min="8" max="8" width="16.6328125" customWidth="1"/>
    <col min="9" max="9" width="17.81640625" customWidth="1"/>
    <col min="10" max="10" width="11.453125" customWidth="1"/>
    <col min="11" max="11" width="17.08984375" customWidth="1"/>
    <col min="12" max="12" width="15.90625" customWidth="1"/>
    <col min="13" max="13" width="15.453125" customWidth="1"/>
    <col min="14" max="14" width="16" customWidth="1"/>
    <col min="15" max="15" width="17" customWidth="1"/>
    <col min="16" max="16" width="11.453125" customWidth="1"/>
    <col min="17" max="17" width="3.08984375" style="104" customWidth="1"/>
    <col min="18" max="26" width="11.453125" style="119" customWidth="1"/>
    <col min="27" max="27" width="2.453125" customWidth="1"/>
    <col min="28" max="28" width="19.6328125" customWidth="1"/>
    <col min="29" max="29" width="11.453125" customWidth="1"/>
    <col min="30" max="31" width="16.453125" customWidth="1"/>
    <col min="32" max="32" width="19.453125" customWidth="1"/>
    <col min="33" max="35" width="11.453125" customWidth="1"/>
  </cols>
  <sheetData>
    <row r="1" spans="1:35" ht="12" customHeight="1" x14ac:dyDescent="0.3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2" customHeight="1" x14ac:dyDescent="0.35">
      <c r="A2" s="1"/>
      <c r="B2" s="3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35">
      <c r="A3" s="1"/>
      <c r="B3" s="4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Q3" s="2"/>
      <c r="R3" s="2"/>
      <c r="S3" s="2"/>
      <c r="T3" s="2"/>
      <c r="U3" s="2"/>
      <c r="V3" s="2"/>
      <c r="W3" s="2"/>
      <c r="AA3" s="2"/>
      <c r="AB3" s="2"/>
      <c r="AC3" s="2"/>
      <c r="AD3" s="5" t="s">
        <v>0</v>
      </c>
      <c r="AE3" s="5" t="s">
        <v>1</v>
      </c>
      <c r="AF3" s="6" t="s">
        <v>2</v>
      </c>
      <c r="AG3" s="2"/>
      <c r="AH3" s="2"/>
      <c r="AI3" s="2"/>
    </row>
    <row r="4" spans="1:35" ht="12" customHeight="1" x14ac:dyDescent="0.35">
      <c r="A4" s="1"/>
      <c r="B4" s="1"/>
      <c r="C4" s="1"/>
      <c r="D4" s="1"/>
      <c r="E4" s="7"/>
      <c r="F4" s="8"/>
      <c r="G4" s="2"/>
      <c r="H4" s="2"/>
      <c r="I4" s="2"/>
      <c r="J4" s="2"/>
      <c r="K4" s="2"/>
      <c r="L4" s="2"/>
      <c r="M4" s="2"/>
      <c r="Q4" s="103"/>
      <c r="R4" s="2"/>
      <c r="S4" s="2"/>
      <c r="T4" s="2"/>
      <c r="U4" s="2"/>
      <c r="V4" s="2"/>
      <c r="W4" s="2"/>
      <c r="AA4" s="2"/>
      <c r="AB4" s="2"/>
      <c r="AC4" s="2"/>
      <c r="AD4" s="9" t="s">
        <v>3</v>
      </c>
      <c r="AE4" s="10" t="s">
        <v>3</v>
      </c>
      <c r="AF4" s="11" t="s">
        <v>86</v>
      </c>
      <c r="AG4" s="2"/>
      <c r="AH4" s="2"/>
      <c r="AI4" s="2"/>
    </row>
    <row r="5" spans="1:35" s="130" customFormat="1" ht="12" customHeight="1" x14ac:dyDescent="0.35">
      <c r="A5" s="1"/>
      <c r="B5" s="1"/>
      <c r="C5" s="1"/>
      <c r="D5" s="1"/>
      <c r="E5" s="7"/>
      <c r="F5" s="8"/>
      <c r="G5" s="2"/>
      <c r="H5" s="2"/>
      <c r="I5" s="2"/>
      <c r="J5" s="2"/>
      <c r="K5" s="2"/>
      <c r="L5" s="2"/>
      <c r="M5" s="2"/>
      <c r="Q5" s="103"/>
      <c r="R5" s="2"/>
      <c r="S5" s="2"/>
      <c r="T5" s="2"/>
      <c r="U5" s="2"/>
      <c r="V5" s="2"/>
      <c r="W5" s="2"/>
      <c r="X5" s="119"/>
      <c r="Y5" s="119"/>
      <c r="Z5" s="119"/>
      <c r="AA5" s="2"/>
      <c r="AB5" s="2"/>
      <c r="AC5" s="2"/>
      <c r="AD5" s="3"/>
      <c r="AE5" s="132"/>
      <c r="AF5" s="103"/>
      <c r="AG5" s="2"/>
      <c r="AH5" s="2"/>
      <c r="AI5" s="2"/>
    </row>
    <row r="6" spans="1:35" ht="12" customHeight="1" x14ac:dyDescent="0.35">
      <c r="A6" s="1"/>
      <c r="B6" s="12" t="s">
        <v>4</v>
      </c>
      <c r="C6" s="13"/>
      <c r="D6" s="13"/>
      <c r="E6" s="13"/>
      <c r="F6" s="1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2" customHeight="1" x14ac:dyDescent="0.35">
      <c r="A7" s="1"/>
      <c r="B7" s="14" t="s">
        <v>5</v>
      </c>
      <c r="C7" s="13"/>
      <c r="D7" s="13"/>
      <c r="E7" s="13"/>
      <c r="F7" s="1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2" customHeight="1" x14ac:dyDescent="0.35">
      <c r="A8" s="1"/>
      <c r="B8" s="15" t="s">
        <v>6</v>
      </c>
      <c r="C8" s="13"/>
      <c r="D8" s="13"/>
      <c r="E8" s="13"/>
      <c r="F8" s="1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2" customHeight="1" x14ac:dyDescent="0.35">
      <c r="A9" s="1"/>
      <c r="B9" s="16" t="s">
        <v>7</v>
      </c>
      <c r="C9" s="13"/>
      <c r="D9" s="13"/>
      <c r="E9" s="13"/>
      <c r="F9" s="1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7.5" customHeight="1" thickBot="1" x14ac:dyDescent="0.4">
      <c r="A10" s="1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2"/>
      <c r="AH10" s="2"/>
      <c r="AI10" s="2"/>
    </row>
    <row r="11" spans="1:35" ht="12" customHeight="1" thickTop="1" x14ac:dyDescent="0.35">
      <c r="A11" s="2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2"/>
      <c r="AH11" s="2"/>
      <c r="AI11" s="2"/>
    </row>
    <row r="12" spans="1:35" ht="12" customHeight="1" x14ac:dyDescent="0.35">
      <c r="A12" s="2"/>
      <c r="B12" s="19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5.25" customHeight="1" x14ac:dyDescent="0.35">
      <c r="A13" s="2"/>
      <c r="B13" s="1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12" customHeight="1" x14ac:dyDescent="0.35">
      <c r="A14" s="2"/>
      <c r="B14" s="102" t="s">
        <v>88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12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12" customHeight="1" x14ac:dyDescent="0.35">
      <c r="A16" s="2"/>
      <c r="B16" s="19" t="s">
        <v>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2" customHeight="1" x14ac:dyDescent="0.35">
      <c r="A17" s="2"/>
      <c r="B17" s="1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12" customHeight="1" x14ac:dyDescent="0.35">
      <c r="A18" s="2"/>
      <c r="B18" s="20"/>
      <c r="C18" s="21" t="s">
        <v>10</v>
      </c>
      <c r="D18" s="21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12" customHeight="1" x14ac:dyDescent="0.35">
      <c r="A19" s="2"/>
      <c r="B19" s="22" t="s">
        <v>12</v>
      </c>
      <c r="C19" s="23" t="s">
        <v>13</v>
      </c>
      <c r="D19" s="23" t="s">
        <v>13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12" customHeight="1" x14ac:dyDescent="0.35">
      <c r="A20" s="2"/>
      <c r="B20" s="22" t="s">
        <v>14</v>
      </c>
      <c r="C20" s="23" t="s">
        <v>13</v>
      </c>
      <c r="D20" s="23" t="s">
        <v>13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2" customHeight="1" x14ac:dyDescent="0.35">
      <c r="A21" s="2"/>
      <c r="B21" s="22" t="s">
        <v>15</v>
      </c>
      <c r="C21" s="23" t="s">
        <v>13</v>
      </c>
      <c r="D21" s="23" t="s">
        <v>13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2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12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2" customHeight="1" x14ac:dyDescent="0.35">
      <c r="A24" s="2"/>
      <c r="B24" s="19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7" customHeight="1" x14ac:dyDescent="0.35">
      <c r="A25" s="2"/>
      <c r="B25" s="1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4.5" x14ac:dyDescent="0.35">
      <c r="A26" s="24" t="s">
        <v>17</v>
      </c>
      <c r="B26" s="1" t="s">
        <v>103</v>
      </c>
      <c r="C26" s="2"/>
      <c r="D26" s="2"/>
      <c r="E26" s="2"/>
      <c r="F26" s="2"/>
      <c r="G26" s="2"/>
      <c r="H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2" customHeight="1" x14ac:dyDescent="0.35">
      <c r="A27" s="24" t="s">
        <v>18</v>
      </c>
      <c r="B27" s="1" t="s">
        <v>87</v>
      </c>
      <c r="C27" s="2"/>
      <c r="D27" s="2"/>
      <c r="E27" s="2"/>
      <c r="F27" s="2"/>
      <c r="G27" s="2"/>
      <c r="H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2" customHeight="1" x14ac:dyDescent="0.35">
      <c r="A28" s="24" t="s">
        <v>19</v>
      </c>
      <c r="B28" s="2" t="s">
        <v>99</v>
      </c>
      <c r="C28" s="2"/>
      <c r="D28" s="2"/>
      <c r="E28" s="2"/>
      <c r="F28" s="2"/>
      <c r="G28" s="2"/>
      <c r="H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2" customHeight="1" x14ac:dyDescent="0.35">
      <c r="A29" s="24" t="s">
        <v>20</v>
      </c>
      <c r="B29" s="94" t="s">
        <v>21</v>
      </c>
      <c r="C29" s="2"/>
      <c r="D29" s="2"/>
      <c r="E29" s="2"/>
      <c r="F29" s="2"/>
      <c r="G29" s="2"/>
      <c r="H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2" customHeight="1" x14ac:dyDescent="0.35">
      <c r="A30" s="25"/>
      <c r="B30" s="2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2" customHeight="1" x14ac:dyDescent="0.35">
      <c r="A31" s="25"/>
      <c r="B31" s="2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2" customHeight="1" x14ac:dyDescent="0.35">
      <c r="A32" s="25"/>
      <c r="B32" s="19" t="s">
        <v>22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2" customHeight="1" x14ac:dyDescent="0.35">
      <c r="A33" s="25"/>
      <c r="B33" s="2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7"/>
      <c r="AD33" s="1"/>
      <c r="AE33" s="1"/>
      <c r="AF33" s="1"/>
      <c r="AG33" s="2"/>
      <c r="AH33" s="2"/>
      <c r="AI33" s="2"/>
    </row>
    <row r="34" spans="1:35" ht="12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2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G35" s="2"/>
      <c r="AH35" s="2"/>
      <c r="AI35" s="2"/>
    </row>
    <row r="36" spans="1:35" ht="15.75" customHeight="1" x14ac:dyDescent="0.35">
      <c r="A36" s="2"/>
      <c r="B36" s="142" t="s">
        <v>24</v>
      </c>
      <c r="C36" s="162"/>
      <c r="D36" s="162"/>
      <c r="E36" s="162"/>
      <c r="F36" s="164"/>
      <c r="G36" s="2"/>
      <c r="H36" s="142" t="s">
        <v>25</v>
      </c>
      <c r="I36" s="162"/>
      <c r="J36" s="162"/>
      <c r="K36" s="162"/>
      <c r="L36" s="142" t="s">
        <v>26</v>
      </c>
      <c r="M36" s="143"/>
      <c r="N36" s="143"/>
      <c r="O36" s="143"/>
      <c r="P36" s="144" t="s">
        <v>29</v>
      </c>
      <c r="R36" s="153" t="s">
        <v>90</v>
      </c>
      <c r="S36" s="154"/>
      <c r="T36" s="154"/>
      <c r="U36" s="154"/>
      <c r="V36" s="154"/>
      <c r="W36" s="154"/>
      <c r="X36" s="154"/>
      <c r="Y36" s="154"/>
      <c r="Z36" s="155"/>
      <c r="AB36" s="161" t="s">
        <v>23</v>
      </c>
      <c r="AC36" s="162"/>
      <c r="AD36" s="162"/>
      <c r="AE36" s="162"/>
      <c r="AF36" s="163"/>
      <c r="AG36" s="2"/>
      <c r="AH36" s="2"/>
      <c r="AI36" s="2"/>
    </row>
    <row r="37" spans="1:35" ht="12" customHeight="1" x14ac:dyDescent="0.35">
      <c r="A37" s="2"/>
      <c r="B37" s="165" t="s">
        <v>27</v>
      </c>
      <c r="C37" s="162"/>
      <c r="D37" s="162"/>
      <c r="E37" s="162"/>
      <c r="F37" s="164"/>
      <c r="G37" s="28"/>
      <c r="H37" s="165" t="s">
        <v>28</v>
      </c>
      <c r="I37" s="162"/>
      <c r="J37" s="162"/>
      <c r="K37" s="162"/>
      <c r="L37" s="162"/>
      <c r="M37" s="162"/>
      <c r="N37" s="162"/>
      <c r="O37" s="164"/>
      <c r="P37" s="145"/>
      <c r="R37" s="147" t="s">
        <v>91</v>
      </c>
      <c r="S37" s="148"/>
      <c r="T37" s="148"/>
      <c r="U37" s="148"/>
      <c r="V37" s="148"/>
      <c r="W37" s="149"/>
      <c r="X37" s="150" t="s">
        <v>92</v>
      </c>
      <c r="Y37" s="151"/>
      <c r="Z37" s="152"/>
      <c r="AA37" s="29"/>
      <c r="AB37" s="159" t="s">
        <v>30</v>
      </c>
      <c r="AC37" s="159" t="s">
        <v>31</v>
      </c>
      <c r="AD37" s="159" t="s">
        <v>32</v>
      </c>
      <c r="AE37" s="159" t="s">
        <v>33</v>
      </c>
      <c r="AF37" s="159" t="s">
        <v>34</v>
      </c>
      <c r="AG37" s="2"/>
      <c r="AH37" s="2"/>
      <c r="AI37" s="2"/>
    </row>
    <row r="38" spans="1:35" ht="25" customHeight="1" x14ac:dyDescent="0.35">
      <c r="A38" s="2"/>
      <c r="B38" s="30" t="s">
        <v>35</v>
      </c>
      <c r="C38" s="31" t="s">
        <v>36</v>
      </c>
      <c r="D38" s="32" t="s">
        <v>37</v>
      </c>
      <c r="E38" s="32" t="s">
        <v>89</v>
      </c>
      <c r="F38" s="33" t="s">
        <v>106</v>
      </c>
      <c r="G38" s="2"/>
      <c r="H38" s="33" t="s">
        <v>38</v>
      </c>
      <c r="I38" s="31" t="s">
        <v>39</v>
      </c>
      <c r="J38" s="34" t="s">
        <v>37</v>
      </c>
      <c r="K38" s="33" t="s">
        <v>104</v>
      </c>
      <c r="L38" s="35" t="s">
        <v>40</v>
      </c>
      <c r="M38" s="35" t="s">
        <v>41</v>
      </c>
      <c r="N38" s="35" t="s">
        <v>105</v>
      </c>
      <c r="O38" s="35" t="s">
        <v>42</v>
      </c>
      <c r="P38" s="146"/>
      <c r="R38" s="138" t="s">
        <v>107</v>
      </c>
      <c r="S38" s="105" t="s">
        <v>37</v>
      </c>
      <c r="T38" s="106" t="s">
        <v>93</v>
      </c>
      <c r="U38" s="107" t="s">
        <v>94</v>
      </c>
      <c r="V38" s="108" t="s">
        <v>95</v>
      </c>
      <c r="W38" s="107" t="s">
        <v>96</v>
      </c>
      <c r="X38" s="107" t="s">
        <v>42</v>
      </c>
      <c r="Y38" s="107" t="s">
        <v>49</v>
      </c>
      <c r="Z38" s="109" t="s">
        <v>97</v>
      </c>
      <c r="AB38" s="160"/>
      <c r="AC38" s="160"/>
      <c r="AD38" s="160"/>
      <c r="AE38" s="160"/>
      <c r="AF38" s="160"/>
      <c r="AG38" s="2"/>
      <c r="AH38" s="2"/>
      <c r="AI38" s="2"/>
    </row>
    <row r="39" spans="1:35" ht="12" customHeight="1" x14ac:dyDescent="0.35">
      <c r="A39" s="2"/>
      <c r="B39" s="36"/>
      <c r="C39" s="37"/>
      <c r="D39" s="38"/>
      <c r="E39" s="38"/>
      <c r="F39" s="39"/>
      <c r="G39" s="2"/>
      <c r="H39" s="36"/>
      <c r="I39" s="40"/>
      <c r="J39" s="38"/>
      <c r="K39" s="40"/>
      <c r="L39" s="41"/>
      <c r="M39" s="41"/>
      <c r="N39" s="39">
        <f t="shared" ref="N39:N47" si="0">+M39*0.12</f>
        <v>0</v>
      </c>
      <c r="O39" s="39">
        <f>+SUM(L39:N39)</f>
        <v>0</v>
      </c>
      <c r="P39" s="39">
        <f>+F39-L39-M39</f>
        <v>0</v>
      </c>
      <c r="R39" s="110"/>
      <c r="S39" s="111"/>
      <c r="T39" s="112"/>
      <c r="U39" s="113">
        <f t="shared" ref="U39:U47" si="1">+T39*M40</f>
        <v>0</v>
      </c>
      <c r="V39" s="114"/>
      <c r="W39" s="113">
        <f>+V39*N39</f>
        <v>0</v>
      </c>
      <c r="X39" s="113"/>
      <c r="Y39" s="113">
        <f t="shared" ref="Y39:Y47" si="2">+U39+W39-X39</f>
        <v>0</v>
      </c>
      <c r="Z39" s="113">
        <f t="shared" ref="Z39:Z47" si="3">+S39-J40</f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f>+AE39-(AC39-AD39)</f>
        <v>0</v>
      </c>
      <c r="AG39" s="2"/>
      <c r="AH39" s="2"/>
      <c r="AI39" s="2"/>
    </row>
    <row r="40" spans="1:35" ht="12" customHeight="1" x14ac:dyDescent="0.35">
      <c r="A40" s="2"/>
      <c r="B40" s="36"/>
      <c r="C40" s="37"/>
      <c r="D40" s="38"/>
      <c r="E40" s="38"/>
      <c r="F40" s="39"/>
      <c r="G40" s="2"/>
      <c r="H40" s="36"/>
      <c r="I40" s="40"/>
      <c r="J40" s="38"/>
      <c r="K40" s="40"/>
      <c r="L40" s="41"/>
      <c r="M40" s="41"/>
      <c r="N40" s="39">
        <f t="shared" si="0"/>
        <v>0</v>
      </c>
      <c r="O40" s="39">
        <f t="shared" ref="O40:O47" si="4">+SUM(L40:N40)</f>
        <v>0</v>
      </c>
      <c r="P40" s="39">
        <f t="shared" ref="P40:P47" si="5">+F40-L40-M40</f>
        <v>0</v>
      </c>
      <c r="R40" s="110"/>
      <c r="S40" s="111"/>
      <c r="T40" s="112"/>
      <c r="U40" s="113">
        <f t="shared" si="1"/>
        <v>0</v>
      </c>
      <c r="V40" s="114"/>
      <c r="W40" s="113">
        <f t="shared" ref="W40:W47" si="6">+V40*N40</f>
        <v>0</v>
      </c>
      <c r="X40" s="113"/>
      <c r="Y40" s="113">
        <f t="shared" si="2"/>
        <v>0</v>
      </c>
      <c r="Z40" s="113">
        <f t="shared" si="3"/>
        <v>0</v>
      </c>
      <c r="AA40" s="43"/>
      <c r="AB40" s="42">
        <v>0</v>
      </c>
      <c r="AC40" s="42">
        <v>0</v>
      </c>
      <c r="AD40" s="42">
        <v>0</v>
      </c>
      <c r="AE40" s="42">
        <v>0</v>
      </c>
      <c r="AF40" s="42">
        <f t="shared" ref="AF40:AF47" si="7">+AD40-(AB40-AC40)</f>
        <v>0</v>
      </c>
      <c r="AG40" s="2"/>
      <c r="AH40" s="2"/>
      <c r="AI40" s="2"/>
    </row>
    <row r="41" spans="1:35" ht="12" customHeight="1" x14ac:dyDescent="0.35">
      <c r="A41" s="2"/>
      <c r="B41" s="36"/>
      <c r="C41" s="37"/>
      <c r="D41" s="38"/>
      <c r="E41" s="38"/>
      <c r="F41" s="39"/>
      <c r="H41" s="44"/>
      <c r="I41" s="44"/>
      <c r="J41" s="44"/>
      <c r="K41" s="44"/>
      <c r="L41" s="41"/>
      <c r="M41" s="41"/>
      <c r="N41" s="39">
        <f t="shared" si="0"/>
        <v>0</v>
      </c>
      <c r="O41" s="39">
        <f t="shared" si="4"/>
        <v>0</v>
      </c>
      <c r="P41" s="39">
        <f t="shared" si="5"/>
        <v>0</v>
      </c>
      <c r="R41" s="110"/>
      <c r="S41" s="111"/>
      <c r="T41" s="112"/>
      <c r="U41" s="113">
        <f t="shared" si="1"/>
        <v>0</v>
      </c>
      <c r="V41" s="114"/>
      <c r="W41" s="113">
        <f t="shared" si="6"/>
        <v>0</v>
      </c>
      <c r="X41" s="113"/>
      <c r="Y41" s="113">
        <f t="shared" si="2"/>
        <v>0</v>
      </c>
      <c r="Z41" s="113">
        <f t="shared" si="3"/>
        <v>0</v>
      </c>
      <c r="AA41" s="43"/>
      <c r="AB41" s="42">
        <v>0</v>
      </c>
      <c r="AC41" s="42">
        <v>0</v>
      </c>
      <c r="AD41" s="42">
        <v>0</v>
      </c>
      <c r="AE41" s="42">
        <v>0</v>
      </c>
      <c r="AF41" s="42">
        <f t="shared" si="7"/>
        <v>0</v>
      </c>
      <c r="AG41" s="2"/>
      <c r="AH41" s="2"/>
      <c r="AI41" s="2"/>
    </row>
    <row r="42" spans="1:35" ht="12" customHeight="1" x14ac:dyDescent="0.35">
      <c r="A42" s="2"/>
      <c r="B42" s="36"/>
      <c r="C42" s="37"/>
      <c r="D42" s="38"/>
      <c r="E42" s="38"/>
      <c r="F42" s="39"/>
      <c r="H42" s="44"/>
      <c r="I42" s="44"/>
      <c r="J42" s="44"/>
      <c r="K42" s="44"/>
      <c r="L42" s="41"/>
      <c r="M42" s="41"/>
      <c r="N42" s="39">
        <f t="shared" si="0"/>
        <v>0</v>
      </c>
      <c r="O42" s="39">
        <f t="shared" si="4"/>
        <v>0</v>
      </c>
      <c r="P42" s="39">
        <f t="shared" si="5"/>
        <v>0</v>
      </c>
      <c r="R42" s="110"/>
      <c r="S42" s="111"/>
      <c r="T42" s="112"/>
      <c r="U42" s="113">
        <f t="shared" si="1"/>
        <v>0</v>
      </c>
      <c r="V42" s="114"/>
      <c r="W42" s="113">
        <f t="shared" si="6"/>
        <v>0</v>
      </c>
      <c r="X42" s="113"/>
      <c r="Y42" s="113">
        <f t="shared" si="2"/>
        <v>0</v>
      </c>
      <c r="Z42" s="113">
        <f t="shared" si="3"/>
        <v>0</v>
      </c>
      <c r="AA42" s="43"/>
      <c r="AB42" s="42">
        <v>0</v>
      </c>
      <c r="AC42" s="42">
        <v>0</v>
      </c>
      <c r="AD42" s="42">
        <v>0</v>
      </c>
      <c r="AE42" s="42">
        <v>0</v>
      </c>
      <c r="AF42" s="42">
        <f t="shared" si="7"/>
        <v>0</v>
      </c>
      <c r="AG42" s="2"/>
      <c r="AH42" s="2"/>
      <c r="AI42" s="2"/>
    </row>
    <row r="43" spans="1:35" ht="12" customHeight="1" x14ac:dyDescent="0.35">
      <c r="A43" s="2"/>
      <c r="B43" s="36"/>
      <c r="C43" s="37"/>
      <c r="D43" s="38"/>
      <c r="E43" s="38"/>
      <c r="F43" s="39"/>
      <c r="H43" s="44"/>
      <c r="I43" s="44"/>
      <c r="J43" s="44"/>
      <c r="K43" s="44"/>
      <c r="L43" s="41"/>
      <c r="M43" s="41"/>
      <c r="N43" s="39">
        <f t="shared" si="0"/>
        <v>0</v>
      </c>
      <c r="O43" s="39">
        <f t="shared" si="4"/>
        <v>0</v>
      </c>
      <c r="P43" s="39">
        <f t="shared" si="5"/>
        <v>0</v>
      </c>
      <c r="R43" s="110"/>
      <c r="S43" s="111"/>
      <c r="T43" s="112"/>
      <c r="U43" s="113">
        <f t="shared" si="1"/>
        <v>0</v>
      </c>
      <c r="V43" s="114"/>
      <c r="W43" s="113">
        <f t="shared" si="6"/>
        <v>0</v>
      </c>
      <c r="X43" s="113"/>
      <c r="Y43" s="113">
        <f t="shared" si="2"/>
        <v>0</v>
      </c>
      <c r="Z43" s="113">
        <f t="shared" si="3"/>
        <v>0</v>
      </c>
      <c r="AA43" s="43"/>
      <c r="AB43" s="42">
        <v>0</v>
      </c>
      <c r="AC43" s="42">
        <v>0</v>
      </c>
      <c r="AD43" s="42">
        <v>0</v>
      </c>
      <c r="AE43" s="42">
        <v>0</v>
      </c>
      <c r="AF43" s="42">
        <f t="shared" si="7"/>
        <v>0</v>
      </c>
      <c r="AG43" s="2"/>
      <c r="AH43" s="2"/>
      <c r="AI43" s="2"/>
    </row>
    <row r="44" spans="1:35" ht="12" customHeight="1" x14ac:dyDescent="0.35">
      <c r="A44" s="2"/>
      <c r="B44" s="36"/>
      <c r="C44" s="37"/>
      <c r="D44" s="38"/>
      <c r="E44" s="38"/>
      <c r="F44" s="39"/>
      <c r="H44" s="44"/>
      <c r="I44" s="44"/>
      <c r="J44" s="44"/>
      <c r="K44" s="44"/>
      <c r="L44" s="41"/>
      <c r="M44" s="41"/>
      <c r="N44" s="39">
        <f t="shared" si="0"/>
        <v>0</v>
      </c>
      <c r="O44" s="39">
        <f t="shared" si="4"/>
        <v>0</v>
      </c>
      <c r="P44" s="39">
        <f t="shared" si="5"/>
        <v>0</v>
      </c>
      <c r="R44" s="110"/>
      <c r="S44" s="111"/>
      <c r="T44" s="112"/>
      <c r="U44" s="113">
        <f t="shared" si="1"/>
        <v>0</v>
      </c>
      <c r="V44" s="114"/>
      <c r="W44" s="113">
        <f t="shared" si="6"/>
        <v>0</v>
      </c>
      <c r="X44" s="113"/>
      <c r="Y44" s="113">
        <f t="shared" si="2"/>
        <v>0</v>
      </c>
      <c r="Z44" s="113">
        <f t="shared" si="3"/>
        <v>0</v>
      </c>
      <c r="AA44" s="43"/>
      <c r="AB44" s="42">
        <v>0</v>
      </c>
      <c r="AC44" s="42">
        <v>0</v>
      </c>
      <c r="AD44" s="42">
        <v>0</v>
      </c>
      <c r="AE44" s="42">
        <v>0</v>
      </c>
      <c r="AF44" s="42">
        <f t="shared" si="7"/>
        <v>0</v>
      </c>
      <c r="AG44" s="2"/>
      <c r="AH44" s="2"/>
      <c r="AI44" s="2"/>
    </row>
    <row r="45" spans="1:35" ht="12" customHeight="1" x14ac:dyDescent="0.35">
      <c r="A45" s="2"/>
      <c r="B45" s="36"/>
      <c r="C45" s="37"/>
      <c r="D45" s="38"/>
      <c r="E45" s="38"/>
      <c r="F45" s="39"/>
      <c r="H45" s="44"/>
      <c r="I45" s="44"/>
      <c r="J45" s="44"/>
      <c r="K45" s="44"/>
      <c r="L45" s="41"/>
      <c r="M45" s="41"/>
      <c r="N45" s="39">
        <f t="shared" si="0"/>
        <v>0</v>
      </c>
      <c r="O45" s="39">
        <f t="shared" si="4"/>
        <v>0</v>
      </c>
      <c r="P45" s="39">
        <f t="shared" si="5"/>
        <v>0</v>
      </c>
      <c r="R45" s="110"/>
      <c r="S45" s="111"/>
      <c r="T45" s="112"/>
      <c r="U45" s="113">
        <f t="shared" si="1"/>
        <v>0</v>
      </c>
      <c r="V45" s="114"/>
      <c r="W45" s="113">
        <f t="shared" si="6"/>
        <v>0</v>
      </c>
      <c r="X45" s="113"/>
      <c r="Y45" s="113">
        <f t="shared" si="2"/>
        <v>0</v>
      </c>
      <c r="Z45" s="113">
        <f t="shared" si="3"/>
        <v>0</v>
      </c>
      <c r="AA45" s="43"/>
      <c r="AB45" s="42">
        <v>0</v>
      </c>
      <c r="AC45" s="42">
        <v>0</v>
      </c>
      <c r="AD45" s="42">
        <v>0</v>
      </c>
      <c r="AE45" s="42">
        <v>0</v>
      </c>
      <c r="AF45" s="42">
        <f t="shared" si="7"/>
        <v>0</v>
      </c>
      <c r="AG45" s="2"/>
      <c r="AH45" s="2"/>
      <c r="AI45" s="2"/>
    </row>
    <row r="46" spans="1:35" ht="12" customHeight="1" x14ac:dyDescent="0.35">
      <c r="A46" s="2"/>
      <c r="B46" s="36"/>
      <c r="C46" s="37"/>
      <c r="D46" s="38"/>
      <c r="E46" s="38"/>
      <c r="F46" s="39"/>
      <c r="H46" s="44"/>
      <c r="I46" s="44"/>
      <c r="J46" s="44"/>
      <c r="K46" s="44"/>
      <c r="L46" s="41"/>
      <c r="M46" s="41"/>
      <c r="N46" s="39">
        <f t="shared" si="0"/>
        <v>0</v>
      </c>
      <c r="O46" s="39">
        <f t="shared" si="4"/>
        <v>0</v>
      </c>
      <c r="P46" s="39">
        <f t="shared" si="5"/>
        <v>0</v>
      </c>
      <c r="R46" s="110"/>
      <c r="S46" s="111"/>
      <c r="T46" s="112"/>
      <c r="U46" s="113">
        <f t="shared" si="1"/>
        <v>0</v>
      </c>
      <c r="V46" s="114"/>
      <c r="W46" s="113">
        <f t="shared" si="6"/>
        <v>0</v>
      </c>
      <c r="X46" s="113"/>
      <c r="Y46" s="113">
        <f t="shared" si="2"/>
        <v>0</v>
      </c>
      <c r="Z46" s="113">
        <f t="shared" si="3"/>
        <v>0</v>
      </c>
      <c r="AA46" s="43"/>
      <c r="AB46" s="42">
        <v>0</v>
      </c>
      <c r="AC46" s="42">
        <v>0</v>
      </c>
      <c r="AD46" s="42">
        <v>0</v>
      </c>
      <c r="AE46" s="42">
        <v>0</v>
      </c>
      <c r="AF46" s="42">
        <f t="shared" si="7"/>
        <v>0</v>
      </c>
      <c r="AG46" s="2"/>
      <c r="AH46" s="2"/>
      <c r="AI46" s="2"/>
    </row>
    <row r="47" spans="1:35" ht="12" customHeight="1" x14ac:dyDescent="0.35">
      <c r="A47" s="2"/>
      <c r="B47" s="36"/>
      <c r="C47" s="37"/>
      <c r="D47" s="38"/>
      <c r="E47" s="38"/>
      <c r="F47" s="39"/>
      <c r="H47" s="44"/>
      <c r="I47" s="44"/>
      <c r="J47" s="44"/>
      <c r="K47" s="44"/>
      <c r="L47" s="41"/>
      <c r="M47" s="41"/>
      <c r="N47" s="39">
        <f t="shared" si="0"/>
        <v>0</v>
      </c>
      <c r="O47" s="39">
        <f t="shared" si="4"/>
        <v>0</v>
      </c>
      <c r="P47" s="39">
        <f t="shared" si="5"/>
        <v>0</v>
      </c>
      <c r="R47" s="110"/>
      <c r="S47" s="111"/>
      <c r="T47" s="112"/>
      <c r="U47" s="113">
        <f t="shared" si="1"/>
        <v>0</v>
      </c>
      <c r="V47" s="114"/>
      <c r="W47" s="113">
        <f t="shared" si="6"/>
        <v>0</v>
      </c>
      <c r="X47" s="113"/>
      <c r="Y47" s="113">
        <f t="shared" si="2"/>
        <v>0</v>
      </c>
      <c r="Z47" s="113">
        <f t="shared" si="3"/>
        <v>0</v>
      </c>
      <c r="AA47" s="43"/>
      <c r="AB47" s="42">
        <v>0</v>
      </c>
      <c r="AC47" s="42">
        <v>0</v>
      </c>
      <c r="AD47" s="42">
        <v>0</v>
      </c>
      <c r="AE47" s="42">
        <v>0</v>
      </c>
      <c r="AF47" s="42">
        <f t="shared" si="7"/>
        <v>0</v>
      </c>
      <c r="AG47" s="2"/>
      <c r="AH47" s="2"/>
      <c r="AI47" s="2"/>
    </row>
    <row r="48" spans="1:35" ht="7" customHeight="1" x14ac:dyDescent="0.35">
      <c r="A48" s="2"/>
      <c r="B48" s="45"/>
      <c r="C48" s="46"/>
      <c r="D48" s="47"/>
      <c r="E48" s="47"/>
      <c r="F48" s="48"/>
      <c r="L48" s="48"/>
      <c r="M48" s="48"/>
      <c r="N48" s="48"/>
      <c r="O48" s="49"/>
      <c r="P48" s="49"/>
      <c r="R48" s="2"/>
      <c r="S48" s="47"/>
      <c r="T48" s="115"/>
      <c r="U48" s="116"/>
      <c r="V48" s="117"/>
      <c r="W48" s="116"/>
      <c r="X48" s="116"/>
      <c r="Y48" s="116"/>
      <c r="Z48" s="116"/>
      <c r="AA48" s="43"/>
      <c r="AB48" s="50"/>
      <c r="AC48" s="50"/>
      <c r="AD48" s="50"/>
      <c r="AE48" s="50"/>
      <c r="AF48" s="2"/>
      <c r="AG48" s="2"/>
      <c r="AH48" s="2"/>
      <c r="AI48" s="2"/>
    </row>
    <row r="49" spans="1:35" ht="12" customHeight="1" thickBot="1" x14ac:dyDescent="0.4">
      <c r="A49" s="2"/>
      <c r="B49" s="45"/>
      <c r="C49" s="46"/>
      <c r="D49" s="47"/>
      <c r="E49" s="47"/>
      <c r="F49" s="51">
        <f>+SUM(F39:F47)</f>
        <v>0</v>
      </c>
      <c r="G49" s="2"/>
      <c r="H49" s="45"/>
      <c r="I49" s="2"/>
      <c r="J49" s="47"/>
      <c r="K49" s="2"/>
      <c r="L49" s="48"/>
      <c r="M49" s="48"/>
      <c r="N49" s="48"/>
      <c r="O49" s="49"/>
      <c r="P49" s="51">
        <f>+SUM(P39:P47)</f>
        <v>0</v>
      </c>
      <c r="R49" s="139"/>
      <c r="S49" s="139"/>
      <c r="T49" s="139"/>
      <c r="U49" s="139"/>
      <c r="V49" s="139"/>
      <c r="W49" s="139"/>
      <c r="X49" s="139"/>
      <c r="Y49" s="118">
        <f>+SUM(Y39:Y47)</f>
        <v>0</v>
      </c>
      <c r="Z49"/>
      <c r="AA49" s="43"/>
      <c r="AB49" s="47"/>
      <c r="AC49" s="52">
        <f t="shared" ref="AC49:AF49" si="8">SUM(AC39:AC47)</f>
        <v>0</v>
      </c>
      <c r="AD49" s="52">
        <f t="shared" si="8"/>
        <v>0</v>
      </c>
      <c r="AE49" s="52">
        <f t="shared" si="8"/>
        <v>0</v>
      </c>
      <c r="AF49" s="52">
        <f t="shared" si="8"/>
        <v>0</v>
      </c>
      <c r="AG49" s="2"/>
      <c r="AH49" s="2"/>
      <c r="AI49" s="2"/>
    </row>
    <row r="50" spans="1:35" ht="12" customHeight="1" thickTop="1" x14ac:dyDescent="0.35">
      <c r="A50" s="2"/>
      <c r="B50" s="45"/>
      <c r="C50" s="46"/>
      <c r="D50" s="47"/>
      <c r="E50" s="47"/>
      <c r="F50" s="137" t="s">
        <v>86</v>
      </c>
      <c r="G50" s="2"/>
      <c r="H50" s="45"/>
      <c r="I50" s="2"/>
      <c r="J50" s="47"/>
      <c r="K50" s="2"/>
      <c r="L50" s="48"/>
      <c r="M50" s="48"/>
      <c r="N50" s="48"/>
      <c r="O50" s="49"/>
      <c r="P50" s="49"/>
      <c r="AA50" s="43"/>
      <c r="AB50" s="2"/>
      <c r="AC50" s="2"/>
      <c r="AD50" s="2"/>
      <c r="AE50" s="2"/>
      <c r="AF50" s="141" t="s">
        <v>109</v>
      </c>
      <c r="AG50" s="2"/>
      <c r="AH50" s="2"/>
      <c r="AI50" s="2"/>
    </row>
    <row r="51" spans="1:35" ht="12" customHeight="1" x14ac:dyDescent="0.35">
      <c r="A51" s="2"/>
      <c r="B51" s="45"/>
      <c r="C51" s="46"/>
      <c r="D51" s="47"/>
      <c r="E51" s="47"/>
      <c r="F51" s="53"/>
      <c r="G51" s="2"/>
      <c r="H51" s="45"/>
      <c r="I51" s="2"/>
      <c r="J51" s="54"/>
      <c r="K51" s="2"/>
      <c r="L51" s="48"/>
      <c r="M51" s="48"/>
      <c r="N51" s="48"/>
      <c r="O51" s="49"/>
      <c r="P51" s="49"/>
      <c r="R51" s="49"/>
      <c r="S51" s="49"/>
      <c r="T51" s="49"/>
      <c r="U51" s="49"/>
      <c r="V51" s="49"/>
      <c r="W51" s="49"/>
      <c r="X51" s="49"/>
      <c r="Y51" s="49"/>
      <c r="Z51" s="49"/>
      <c r="AA51" s="43"/>
      <c r="AB51" s="2"/>
      <c r="AC51" s="2"/>
      <c r="AD51" s="2"/>
      <c r="AE51" s="2"/>
      <c r="AF51" s="2"/>
      <c r="AG51" s="2"/>
      <c r="AH51" s="2"/>
      <c r="AI51" s="2"/>
    </row>
    <row r="52" spans="1:35" ht="12" customHeight="1" x14ac:dyDescent="0.35">
      <c r="A52" s="2"/>
      <c r="B52" s="45"/>
      <c r="C52" s="46"/>
      <c r="D52" s="47"/>
      <c r="E52" s="47"/>
      <c r="F52" s="53"/>
      <c r="G52" s="2"/>
      <c r="H52" s="45"/>
      <c r="I52" s="2"/>
      <c r="J52" s="55"/>
      <c r="K52" s="2"/>
      <c r="L52" s="48"/>
      <c r="M52" s="48"/>
      <c r="N52" s="48"/>
      <c r="O52" s="49"/>
      <c r="P52" s="49"/>
      <c r="R52" s="2"/>
      <c r="S52" s="2"/>
      <c r="T52" s="2"/>
      <c r="U52" s="2"/>
      <c r="V52" s="2"/>
      <c r="W52" s="2"/>
      <c r="X52" s="2"/>
      <c r="Y52" s="2"/>
      <c r="Z52" s="2"/>
      <c r="AA52" s="43"/>
      <c r="AB52" s="2"/>
      <c r="AC52" s="2"/>
      <c r="AD52" s="2"/>
      <c r="AE52" s="2"/>
      <c r="AF52" s="2"/>
      <c r="AG52" s="2"/>
      <c r="AH52" s="2"/>
      <c r="AI52" s="2"/>
    </row>
    <row r="53" spans="1:35" ht="12" customHeight="1" x14ac:dyDescent="0.35">
      <c r="A53" s="2"/>
      <c r="B53" s="156" t="s">
        <v>43</v>
      </c>
      <c r="C53" s="157"/>
      <c r="D53" s="158"/>
      <c r="E53" s="1"/>
      <c r="F53" s="53"/>
      <c r="G53" s="2"/>
      <c r="H53" s="45"/>
      <c r="I53" s="2"/>
      <c r="J53" s="56"/>
      <c r="K53" s="2"/>
      <c r="L53" s="48"/>
      <c r="M53" s="48"/>
      <c r="N53" s="48"/>
      <c r="O53" s="49"/>
      <c r="P53" s="49"/>
      <c r="R53" s="2"/>
      <c r="S53" s="2"/>
      <c r="T53" s="2"/>
      <c r="U53" s="2"/>
      <c r="V53" s="2"/>
      <c r="W53" s="2"/>
      <c r="X53" s="2"/>
      <c r="Y53" s="2"/>
      <c r="Z53" s="2"/>
      <c r="AA53" s="43"/>
      <c r="AB53" s="2"/>
      <c r="AC53" s="2"/>
      <c r="AD53" s="2"/>
      <c r="AE53" s="2"/>
      <c r="AF53" s="2"/>
      <c r="AG53" s="2"/>
      <c r="AH53" s="2"/>
      <c r="AI53" s="2"/>
    </row>
    <row r="54" spans="1:35" ht="12" customHeight="1" x14ac:dyDescent="0.35">
      <c r="A54" s="2"/>
      <c r="B54" s="56"/>
      <c r="C54" s="56"/>
      <c r="D54" s="56"/>
      <c r="E54" s="2"/>
      <c r="F54" s="53"/>
      <c r="G54" s="2"/>
      <c r="H54" s="45"/>
      <c r="I54" s="2"/>
      <c r="J54" s="56"/>
      <c r="K54" s="2"/>
      <c r="L54" s="48"/>
      <c r="M54" s="48"/>
      <c r="N54" s="48"/>
      <c r="O54" s="49"/>
      <c r="P54" s="49"/>
      <c r="R54" s="2"/>
      <c r="S54" s="2"/>
      <c r="T54" s="2"/>
      <c r="U54" s="2"/>
      <c r="V54" s="2"/>
      <c r="W54" s="2"/>
      <c r="X54" s="2"/>
      <c r="Y54" s="2"/>
      <c r="Z54" s="2"/>
      <c r="AA54" s="43"/>
      <c r="AB54" s="2"/>
      <c r="AC54" s="2"/>
      <c r="AD54" s="2"/>
      <c r="AE54" s="2"/>
      <c r="AF54" s="2"/>
      <c r="AG54" s="2"/>
      <c r="AH54" s="2"/>
      <c r="AI54" s="2"/>
    </row>
    <row r="55" spans="1:35" ht="12" customHeight="1" x14ac:dyDescent="0.35">
      <c r="A55" s="2"/>
      <c r="B55" s="28" t="s">
        <v>44</v>
      </c>
      <c r="C55" s="54"/>
      <c r="D55" s="54"/>
      <c r="E55" s="2"/>
      <c r="F55" s="53"/>
      <c r="G55" s="2"/>
      <c r="H55" s="45"/>
      <c r="I55" s="2"/>
      <c r="J55" s="57"/>
      <c r="K55" s="2"/>
      <c r="L55" s="48"/>
      <c r="M55" s="48"/>
      <c r="N55" s="48"/>
      <c r="O55" s="49"/>
      <c r="P55" s="49"/>
      <c r="R55" s="2"/>
      <c r="S55" s="2"/>
      <c r="T55" s="2"/>
      <c r="U55" s="2"/>
      <c r="V55" s="2"/>
      <c r="W55" s="2"/>
      <c r="X55" s="2"/>
      <c r="Y55" s="2"/>
      <c r="Z55" s="2"/>
      <c r="AA55" s="43"/>
      <c r="AB55" s="2"/>
      <c r="AC55" s="2"/>
      <c r="AD55" s="2"/>
      <c r="AE55" s="2"/>
      <c r="AF55" s="2"/>
      <c r="AG55" s="2"/>
      <c r="AH55" s="2"/>
      <c r="AI55" s="2"/>
    </row>
    <row r="56" spans="1:35" ht="12" customHeight="1" x14ac:dyDescent="0.35">
      <c r="A56" s="2"/>
      <c r="B56" s="55"/>
      <c r="C56" s="55"/>
      <c r="D56" s="55"/>
      <c r="E56" s="1"/>
      <c r="F56" s="53"/>
      <c r="G56" s="2"/>
      <c r="H56" s="45"/>
      <c r="I56" s="2"/>
      <c r="J56" s="57"/>
      <c r="K56" s="2"/>
      <c r="L56" s="48"/>
      <c r="M56" s="48"/>
      <c r="N56" s="48"/>
      <c r="O56" s="49"/>
      <c r="P56" s="49"/>
      <c r="R56" s="2"/>
      <c r="S56" s="2"/>
      <c r="T56" s="2"/>
      <c r="U56" s="2"/>
      <c r="V56" s="2"/>
      <c r="W56" s="2"/>
      <c r="X56" s="2"/>
      <c r="Y56" s="2"/>
      <c r="Z56" s="2"/>
      <c r="AA56" s="43"/>
      <c r="AB56" s="2"/>
      <c r="AC56" s="2"/>
      <c r="AD56" s="2"/>
      <c r="AE56" s="2"/>
      <c r="AF56" s="2"/>
      <c r="AG56" s="2"/>
      <c r="AH56" s="2"/>
      <c r="AI56" s="2"/>
    </row>
    <row r="57" spans="1:35" s="128" customFormat="1" ht="25" x14ac:dyDescent="0.35">
      <c r="A57" s="120"/>
      <c r="B57" s="31" t="s">
        <v>45</v>
      </c>
      <c r="C57" s="31" t="s">
        <v>46</v>
      </c>
      <c r="D57" s="31" t="s">
        <v>47</v>
      </c>
      <c r="E57" s="121"/>
      <c r="F57" s="122"/>
      <c r="G57" s="120"/>
      <c r="H57" s="123"/>
      <c r="I57" s="120"/>
      <c r="J57" s="120"/>
      <c r="K57" s="120"/>
      <c r="L57" s="124"/>
      <c r="M57" s="124"/>
      <c r="N57" s="124"/>
      <c r="O57" s="125"/>
      <c r="P57" s="125"/>
      <c r="Q57" s="126"/>
      <c r="R57" s="120"/>
      <c r="S57" s="120"/>
      <c r="T57" s="120"/>
      <c r="U57" s="120"/>
      <c r="V57" s="120"/>
      <c r="W57" s="120"/>
      <c r="X57" s="120"/>
      <c r="Y57" s="120"/>
      <c r="Z57" s="120"/>
      <c r="AA57" s="127"/>
      <c r="AB57" s="120"/>
      <c r="AC57" s="120"/>
      <c r="AD57" s="120"/>
      <c r="AE57" s="120"/>
      <c r="AF57" s="120"/>
      <c r="AG57" s="120"/>
      <c r="AH57" s="120"/>
      <c r="AI57" s="120"/>
    </row>
    <row r="58" spans="1:35" ht="12" customHeight="1" x14ac:dyDescent="0.35">
      <c r="A58" s="2"/>
      <c r="B58" s="58">
        <v>0</v>
      </c>
      <c r="C58" s="58">
        <v>0</v>
      </c>
      <c r="D58" s="58">
        <v>0</v>
      </c>
      <c r="E58" s="1"/>
      <c r="F58" s="53"/>
      <c r="G58" s="2"/>
      <c r="H58" s="45"/>
      <c r="I58" s="2"/>
      <c r="J58" s="57"/>
      <c r="K58" s="2"/>
      <c r="L58" s="48"/>
      <c r="M58" s="48"/>
      <c r="N58" s="48"/>
      <c r="O58" s="49"/>
      <c r="P58" s="49"/>
      <c r="R58" s="2"/>
      <c r="S58" s="2"/>
      <c r="T58" s="2"/>
      <c r="U58" s="2"/>
      <c r="V58" s="2"/>
      <c r="W58" s="2"/>
      <c r="X58" s="2"/>
      <c r="Y58" s="2"/>
      <c r="Z58" s="2"/>
      <c r="AA58" s="43"/>
      <c r="AB58" s="2"/>
      <c r="AC58" s="2"/>
      <c r="AD58" s="2"/>
      <c r="AE58" s="2"/>
      <c r="AF58" s="2"/>
      <c r="AG58" s="2"/>
      <c r="AH58" s="2"/>
      <c r="AI58" s="2"/>
    </row>
    <row r="59" spans="1:35" ht="12" customHeight="1" x14ac:dyDescent="0.35">
      <c r="A59" s="2"/>
      <c r="B59" s="58">
        <v>0</v>
      </c>
      <c r="C59" s="58">
        <v>0</v>
      </c>
      <c r="D59" s="58">
        <v>0</v>
      </c>
      <c r="E59" s="1"/>
      <c r="F59" s="53"/>
      <c r="G59" s="2"/>
      <c r="H59" s="45"/>
      <c r="I59" s="2"/>
      <c r="J59" s="57"/>
      <c r="K59" s="2"/>
      <c r="L59" s="48"/>
      <c r="M59" s="48"/>
      <c r="N59" s="48"/>
      <c r="O59" s="49"/>
      <c r="P59" s="49"/>
      <c r="R59" s="2"/>
      <c r="S59" s="2"/>
      <c r="T59" s="2"/>
      <c r="U59" s="2"/>
      <c r="V59" s="2"/>
      <c r="W59" s="2"/>
      <c r="X59" s="2"/>
      <c r="Y59" s="2"/>
      <c r="Z59" s="2"/>
      <c r="AA59" s="43"/>
      <c r="AB59" s="2"/>
      <c r="AC59" s="2"/>
      <c r="AD59" s="2"/>
      <c r="AE59" s="2"/>
      <c r="AF59" s="2"/>
      <c r="AG59" s="2"/>
      <c r="AH59" s="2"/>
      <c r="AI59" s="2"/>
    </row>
    <row r="60" spans="1:35" ht="7" customHeight="1" x14ac:dyDescent="0.35">
      <c r="A60" s="2"/>
      <c r="B60" s="1"/>
      <c r="C60" s="1"/>
      <c r="D60" s="1"/>
      <c r="E60" s="1"/>
      <c r="F60" s="53"/>
      <c r="G60" s="2"/>
      <c r="H60" s="45"/>
      <c r="I60" s="2"/>
      <c r="J60" s="57"/>
      <c r="K60" s="2"/>
      <c r="L60" s="48"/>
      <c r="M60" s="48"/>
      <c r="N60" s="48"/>
      <c r="O60" s="49"/>
      <c r="P60" s="49"/>
      <c r="R60" s="2"/>
      <c r="S60" s="2"/>
      <c r="T60" s="2"/>
      <c r="U60" s="2"/>
      <c r="V60" s="2"/>
      <c r="W60" s="2"/>
      <c r="X60" s="2"/>
      <c r="Y60" s="2"/>
      <c r="Z60" s="2"/>
      <c r="AA60" s="43"/>
      <c r="AB60" s="2"/>
      <c r="AC60" s="2"/>
      <c r="AD60" s="2"/>
      <c r="AE60" s="2"/>
      <c r="AF60" s="2"/>
      <c r="AG60" s="2"/>
      <c r="AH60" s="2"/>
      <c r="AI60" s="2"/>
    </row>
    <row r="61" spans="1:35" ht="12" customHeight="1" thickBot="1" x14ac:dyDescent="0.4">
      <c r="A61" s="2"/>
      <c r="B61" s="1"/>
      <c r="C61" s="1"/>
      <c r="D61" s="59">
        <f>SUM(D58:D59)</f>
        <v>0</v>
      </c>
      <c r="E61" s="60" t="s">
        <v>108</v>
      </c>
      <c r="F61" s="53"/>
      <c r="G61" s="2"/>
      <c r="H61" s="45"/>
      <c r="I61" s="2"/>
      <c r="J61" s="57"/>
      <c r="K61" s="2"/>
      <c r="L61" s="48"/>
      <c r="M61" s="48"/>
      <c r="N61" s="48"/>
      <c r="O61" s="49"/>
      <c r="P61" s="49"/>
      <c r="R61" s="2"/>
      <c r="S61" s="2"/>
      <c r="T61" s="2"/>
      <c r="U61" s="2"/>
      <c r="V61" s="2"/>
      <c r="W61" s="2"/>
      <c r="X61" s="2"/>
      <c r="Y61" s="2"/>
      <c r="Z61" s="2"/>
      <c r="AA61" s="43"/>
      <c r="AB61" s="2"/>
      <c r="AC61" s="2"/>
      <c r="AD61" s="2"/>
      <c r="AE61" s="2"/>
      <c r="AF61" s="2"/>
      <c r="AG61" s="2"/>
      <c r="AH61" s="2"/>
      <c r="AI61" s="2"/>
    </row>
    <row r="62" spans="1:35" ht="12" customHeight="1" thickTop="1" x14ac:dyDescent="0.35">
      <c r="A62" s="2"/>
      <c r="B62" s="1"/>
      <c r="C62" s="1"/>
      <c r="D62" s="1"/>
      <c r="E62" s="1"/>
      <c r="F62" s="53"/>
      <c r="G62" s="2"/>
      <c r="H62" s="45"/>
      <c r="I62" s="2"/>
      <c r="J62" s="57"/>
      <c r="K62" s="2"/>
      <c r="L62" s="48"/>
      <c r="M62" s="48"/>
      <c r="N62" s="48"/>
      <c r="O62" s="49"/>
      <c r="P62" s="49"/>
      <c r="R62" s="2"/>
      <c r="S62" s="2"/>
      <c r="T62" s="2"/>
      <c r="U62" s="2"/>
      <c r="V62" s="2"/>
      <c r="W62" s="2"/>
      <c r="X62" s="2"/>
      <c r="Y62" s="2"/>
      <c r="Z62" s="2"/>
      <c r="AA62" s="43"/>
      <c r="AB62" s="2"/>
      <c r="AC62" s="2"/>
      <c r="AD62" s="2"/>
      <c r="AE62" s="2"/>
      <c r="AF62" s="2"/>
      <c r="AG62" s="2"/>
      <c r="AH62" s="2"/>
      <c r="AI62" s="2"/>
    </row>
    <row r="63" spans="1:35" ht="12" customHeight="1" x14ac:dyDescent="0.35">
      <c r="A63" s="2"/>
      <c r="B63" s="1"/>
      <c r="C63" s="61" t="s">
        <v>48</v>
      </c>
      <c r="D63" s="62">
        <f>+AF49</f>
        <v>0</v>
      </c>
      <c r="E63" s="140" t="s">
        <v>109</v>
      </c>
      <c r="F63" s="53"/>
      <c r="G63" s="2"/>
      <c r="H63" s="45"/>
      <c r="I63" s="2"/>
      <c r="J63" s="57"/>
      <c r="K63" s="2"/>
      <c r="L63" s="48"/>
      <c r="M63" s="48"/>
      <c r="N63" s="48"/>
      <c r="O63" s="49"/>
      <c r="P63" s="49"/>
      <c r="R63" s="2"/>
      <c r="S63" s="2"/>
      <c r="T63" s="2"/>
      <c r="U63" s="2"/>
      <c r="V63" s="2"/>
      <c r="W63" s="2"/>
      <c r="X63" s="2"/>
      <c r="Y63" s="2"/>
      <c r="Z63" s="2"/>
      <c r="AA63" s="43"/>
      <c r="AB63" s="2"/>
      <c r="AC63" s="2"/>
      <c r="AD63" s="2"/>
      <c r="AE63" s="2"/>
      <c r="AF63" s="2"/>
      <c r="AG63" s="2"/>
      <c r="AH63" s="2"/>
      <c r="AI63" s="2"/>
    </row>
    <row r="64" spans="1:35" ht="12" customHeight="1" thickBot="1" x14ac:dyDescent="0.4">
      <c r="A64" s="2"/>
      <c r="B64" s="1"/>
      <c r="C64" s="134" t="s">
        <v>49</v>
      </c>
      <c r="D64" s="135">
        <f>+D61-D63</f>
        <v>0</v>
      </c>
      <c r="E64" s="1"/>
      <c r="F64" s="53"/>
      <c r="G64" s="2"/>
      <c r="H64" s="45"/>
      <c r="I64" s="2"/>
      <c r="J64" s="57"/>
      <c r="K64" s="2"/>
      <c r="L64" s="48"/>
      <c r="M64" s="48"/>
      <c r="N64" s="48"/>
      <c r="O64" s="49"/>
      <c r="P64" s="49"/>
      <c r="R64" s="2"/>
      <c r="S64" s="2"/>
      <c r="T64" s="2"/>
      <c r="U64" s="2"/>
      <c r="V64" s="2"/>
      <c r="W64" s="2"/>
      <c r="X64" s="2"/>
      <c r="Y64" s="2"/>
      <c r="Z64" s="2"/>
      <c r="AA64" s="43"/>
      <c r="AB64" s="2"/>
      <c r="AC64" s="2"/>
      <c r="AD64" s="2"/>
      <c r="AE64" s="2"/>
      <c r="AF64" s="2"/>
      <c r="AG64" s="2"/>
      <c r="AH64" s="2"/>
      <c r="AI64" s="2"/>
    </row>
    <row r="65" spans="1:35" ht="12" customHeight="1" thickTop="1" x14ac:dyDescent="0.35">
      <c r="A65" s="2"/>
      <c r="B65" s="28"/>
      <c r="C65" s="2"/>
      <c r="D65" s="2"/>
      <c r="E65" s="2"/>
      <c r="F65" s="2"/>
      <c r="G65" s="2"/>
      <c r="H65" s="2"/>
      <c r="I65" s="2"/>
      <c r="J65" s="62"/>
      <c r="K65" s="2"/>
      <c r="L65" s="2"/>
      <c r="M65" s="2"/>
      <c r="N65" s="2"/>
      <c r="O65" s="2"/>
      <c r="P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2" customHeight="1" x14ac:dyDescent="0.35">
      <c r="A66" s="2"/>
      <c r="B66" s="28"/>
      <c r="C66" s="2"/>
      <c r="D66" s="2"/>
      <c r="E66" s="2"/>
      <c r="F66" s="2"/>
      <c r="G66" s="2"/>
      <c r="H66" s="2"/>
      <c r="I66" s="2"/>
      <c r="J66" s="62"/>
      <c r="K66" s="2"/>
      <c r="L66" s="2"/>
      <c r="M66" s="2"/>
      <c r="N66" s="2"/>
      <c r="O66" s="2"/>
      <c r="P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2" customHeight="1" x14ac:dyDescent="0.35">
      <c r="A67" s="2"/>
      <c r="B67" s="28"/>
      <c r="C67" s="2"/>
      <c r="D67" s="2"/>
      <c r="E67" s="2"/>
      <c r="F67" s="2"/>
      <c r="G67" s="2"/>
      <c r="H67" s="2"/>
      <c r="I67" s="2"/>
      <c r="J67" s="62"/>
      <c r="K67" s="2"/>
      <c r="L67" s="2"/>
      <c r="M67" s="2"/>
      <c r="N67" s="2"/>
      <c r="O67" s="2"/>
      <c r="P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2" customHeight="1" x14ac:dyDescent="0.35">
      <c r="A68" s="2"/>
      <c r="B68" s="63" t="s">
        <v>50</v>
      </c>
      <c r="C68" s="26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7" customHeight="1" x14ac:dyDescent="0.35">
      <c r="A69" s="2"/>
      <c r="B69" s="63"/>
      <c r="C69" s="26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2" customHeight="1" x14ac:dyDescent="0.35">
      <c r="A70" s="2"/>
      <c r="B70" s="26" t="s">
        <v>51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2" customHeight="1" x14ac:dyDescent="0.35">
      <c r="A71" s="2"/>
      <c r="B71" s="26" t="s">
        <v>52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2" customHeight="1" x14ac:dyDescent="0.35">
      <c r="A72" s="2"/>
      <c r="B72" s="26" t="s">
        <v>53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2" customHeight="1" x14ac:dyDescent="0.35">
      <c r="A73" s="2"/>
      <c r="B73" s="2" t="s">
        <v>54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2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2" customHeight="1" x14ac:dyDescent="0.35">
      <c r="A75" s="2"/>
      <c r="B75" s="131" t="s">
        <v>100</v>
      </c>
      <c r="C75" s="2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7" customHeight="1" x14ac:dyDescent="0.35">
      <c r="A76" s="2"/>
      <c r="B76" s="64"/>
      <c r="C76" s="2"/>
      <c r="D76" s="2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2" customHeight="1" x14ac:dyDescent="0.35">
      <c r="A77" s="65" t="s">
        <v>55</v>
      </c>
      <c r="B77" s="6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2" customHeight="1" x14ac:dyDescent="0.35">
      <c r="A78" s="65" t="s">
        <v>56</v>
      </c>
      <c r="B78" s="6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s="133" customFormat="1" ht="12" customHeight="1" x14ac:dyDescent="0.35">
      <c r="A79" s="65" t="s">
        <v>57</v>
      </c>
      <c r="B79" s="6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4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2" customHeight="1" x14ac:dyDescent="0.35">
      <c r="A80" s="6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2" customHeight="1" x14ac:dyDescent="0.35">
      <c r="A81" s="66" t="s">
        <v>58</v>
      </c>
      <c r="B81" s="64" t="s">
        <v>59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7" customHeight="1" x14ac:dyDescent="0.35">
      <c r="A82" s="66"/>
      <c r="B82" s="6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12" customHeight="1" x14ac:dyDescent="0.35">
      <c r="A83" s="65" t="s">
        <v>60</v>
      </c>
      <c r="B83" s="6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12" customHeight="1" x14ac:dyDescent="0.35">
      <c r="A84" s="65" t="s">
        <v>61</v>
      </c>
      <c r="B84" s="6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12" customHeight="1" x14ac:dyDescent="0.35">
      <c r="A85" s="65" t="s">
        <v>62</v>
      </c>
      <c r="B85" s="6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12" customHeight="1" x14ac:dyDescent="0.35">
      <c r="A86" s="6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12" customHeight="1" x14ac:dyDescent="0.35">
      <c r="A87" s="2"/>
      <c r="B87" s="64" t="s">
        <v>63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7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12" customHeight="1" x14ac:dyDescent="0.35">
      <c r="A89" s="65" t="s">
        <v>64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2" customHeight="1" x14ac:dyDescent="0.35">
      <c r="A90" s="65" t="s">
        <v>65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12" customHeight="1" x14ac:dyDescent="0.35">
      <c r="A91" s="65" t="s">
        <v>66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2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2" customHeight="1" x14ac:dyDescent="0.35">
      <c r="A93" s="2"/>
      <c r="B93" s="64" t="s">
        <v>67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7" customHeight="1" x14ac:dyDescent="0.35">
      <c r="A94" s="2"/>
      <c r="B94" s="6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2" customHeight="1" x14ac:dyDescent="0.35">
      <c r="A95" s="2"/>
      <c r="B95" s="129" t="s">
        <v>98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12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2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2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2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2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12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12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12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2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2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2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2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2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2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2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2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2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2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2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2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2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2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2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2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2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2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2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2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2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2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2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2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2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2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2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2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2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2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2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2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2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2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2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2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2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2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2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2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2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2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2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2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2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2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2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2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2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2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2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2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2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2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2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2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2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2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2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2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2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2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2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2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2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2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2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2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2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2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2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2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2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2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2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2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2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2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2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2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2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2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2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2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2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2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2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2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2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2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2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2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2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2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2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2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2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2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2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2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2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2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2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2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2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2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2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2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2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2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2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2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2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2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2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2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2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2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2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2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2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2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2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2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2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2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2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2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2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2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2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2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2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2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2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2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2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2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2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2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2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2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2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2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2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2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2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2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2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2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2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2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2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2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2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2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2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2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2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2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2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2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2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2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2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2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2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2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2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2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2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2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2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2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2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2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2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2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2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2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2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2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2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2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2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2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2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2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2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2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2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2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2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2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2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2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2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2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2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2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2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2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2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2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2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2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2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2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2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2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2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2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2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2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2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2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2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2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2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2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2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2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2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2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2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2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2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2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2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2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2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2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2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2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2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2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2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2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2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2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2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2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2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2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2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2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2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2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2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2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2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2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2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2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2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2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2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2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2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2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2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2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2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2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2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2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2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2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2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2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2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2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2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2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2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2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2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2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2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2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2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2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2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2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2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2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2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2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2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2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2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2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2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2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2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2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2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2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2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2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2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2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2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2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2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2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2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2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2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2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2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2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2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2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2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2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2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2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2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2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2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2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2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2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2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2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2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2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2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2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2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2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2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2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2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2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2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2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2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2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2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2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2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2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2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2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2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2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2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2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2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2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2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2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2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2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2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2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2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2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2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2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2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2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2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2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2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2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2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2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2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2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2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2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2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2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2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2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2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2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2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2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2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2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2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2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2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2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2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2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2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2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2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2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2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2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2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12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12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12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12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12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12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12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12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12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12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12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12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12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12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12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12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12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12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12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12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12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12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12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12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12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12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12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12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12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12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12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12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12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12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12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12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12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12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12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12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12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12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12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12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12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12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12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12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12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12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12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12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12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12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12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12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12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12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12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12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12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12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12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12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12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12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12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12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12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12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12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12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12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12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12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12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12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12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12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12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12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12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12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12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12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12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12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12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12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12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12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12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12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12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12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12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12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12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12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12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12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12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12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12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12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12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12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12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12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12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12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12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12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12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12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12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12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12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12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12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12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12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12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12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12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12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12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12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12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12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12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12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12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12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12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12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12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12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12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12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12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12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12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12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12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12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12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12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12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12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12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12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12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12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12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12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12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12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12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12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12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12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12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12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12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12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12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12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12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12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12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12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12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12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12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12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12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12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12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12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12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12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12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12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12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12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12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12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12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12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12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12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12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12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12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12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12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12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12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12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12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12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12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12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12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12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12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12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12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12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12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12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12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12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12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12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12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12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12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12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12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12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12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12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12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12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12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12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12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12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12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12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12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12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12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12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12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12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12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12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12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12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12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12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12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12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12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12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12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12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12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12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12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12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12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12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12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12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12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12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12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12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12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12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12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12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12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12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12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12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12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12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12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12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12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12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12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12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12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12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12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12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12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12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12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12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12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12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12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12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12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12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12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12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12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12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12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12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12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12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12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12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12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12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12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12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12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12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12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12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12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12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12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12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12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12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12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12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12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12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12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12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12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12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12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12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12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12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12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12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12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12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12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12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12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12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12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12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12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12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12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12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12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12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12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12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12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12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12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12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12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12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12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12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12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12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12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12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12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12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12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12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12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12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12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12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12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12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12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12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12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12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12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12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12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12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12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12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12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12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12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12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12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12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12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12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12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12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12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12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12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12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12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12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12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12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12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12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12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12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12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12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12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12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12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12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12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12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12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12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12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12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12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12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12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12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12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12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12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12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12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12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12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12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12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12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12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12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12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12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12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12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12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12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12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12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12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12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12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12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12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12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12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12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12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12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12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12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12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12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12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12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12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12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12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12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12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12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12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12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12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12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12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12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12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12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12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12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12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12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12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12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12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12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12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12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12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12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12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12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12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12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12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12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12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12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12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12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12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12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12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12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12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12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12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12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12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12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12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AA999" s="2"/>
      <c r="AB999" s="2"/>
      <c r="AC999" s="2"/>
      <c r="AD999" s="2"/>
      <c r="AE999" s="2"/>
      <c r="AF999" s="2"/>
      <c r="AG999" s="2"/>
      <c r="AH999" s="2"/>
      <c r="AI999" s="2"/>
    </row>
  </sheetData>
  <mergeCells count="16">
    <mergeCell ref="B53:D53"/>
    <mergeCell ref="AF37:AF38"/>
    <mergeCell ref="AB36:AF36"/>
    <mergeCell ref="B36:F36"/>
    <mergeCell ref="H36:K36"/>
    <mergeCell ref="B37:F37"/>
    <mergeCell ref="H37:O37"/>
    <mergeCell ref="AB37:AB38"/>
    <mergeCell ref="AC37:AC38"/>
    <mergeCell ref="AD37:AD38"/>
    <mergeCell ref="AE37:AE38"/>
    <mergeCell ref="L36:O36"/>
    <mergeCell ref="P36:P38"/>
    <mergeCell ref="R37:W37"/>
    <mergeCell ref="X37:Z37"/>
    <mergeCell ref="R36:Z36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453125" defaultRowHeight="15" customHeight="1" x14ac:dyDescent="0.35"/>
  <cols>
    <col min="1" max="1" width="28" customWidth="1"/>
    <col min="2" max="2" width="24" customWidth="1"/>
    <col min="3" max="26" width="10.6328125" customWidth="1"/>
  </cols>
  <sheetData>
    <row r="1" spans="1:4" ht="14.25" customHeight="1" x14ac:dyDescent="0.35">
      <c r="A1" s="29" t="s">
        <v>68</v>
      </c>
      <c r="B1" s="49">
        <v>200000</v>
      </c>
      <c r="D1" s="49"/>
    </row>
    <row r="2" spans="1:4" ht="14.25" customHeight="1" x14ac:dyDescent="0.35">
      <c r="A2" s="29" t="s">
        <v>69</v>
      </c>
      <c r="B2" s="49">
        <v>50000</v>
      </c>
    </row>
    <row r="3" spans="1:4" ht="14.25" customHeight="1" x14ac:dyDescent="0.35">
      <c r="A3" s="29" t="s">
        <v>70</v>
      </c>
      <c r="B3" s="49">
        <v>300000</v>
      </c>
    </row>
    <row r="4" spans="1:4" ht="14.25" customHeight="1" x14ac:dyDescent="0.35">
      <c r="A4" s="29"/>
    </row>
    <row r="5" spans="1:4" ht="14.25" customHeight="1" x14ac:dyDescent="0.35">
      <c r="A5" s="166" t="s">
        <v>71</v>
      </c>
      <c r="B5" s="167"/>
      <c r="C5" s="167"/>
    </row>
    <row r="6" spans="1:4" ht="14.25" customHeight="1" x14ac:dyDescent="0.35">
      <c r="A6" s="68" t="s">
        <v>72</v>
      </c>
      <c r="B6" s="67"/>
      <c r="C6" s="67"/>
    </row>
    <row r="7" spans="1:4" ht="14.25" customHeight="1" x14ac:dyDescent="0.35"/>
    <row r="8" spans="1:4" ht="14.25" customHeight="1" x14ac:dyDescent="0.35">
      <c r="A8" s="29" t="s">
        <v>73</v>
      </c>
      <c r="B8" s="49">
        <f t="shared" ref="B8:B9" si="0">+B2</f>
        <v>50000</v>
      </c>
    </row>
    <row r="9" spans="1:4" ht="14.25" customHeight="1" x14ac:dyDescent="0.35">
      <c r="A9" s="29" t="s">
        <v>74</v>
      </c>
      <c r="B9" s="49">
        <f t="shared" si="0"/>
        <v>300000</v>
      </c>
    </row>
    <row r="10" spans="1:4" ht="14.25" customHeight="1" x14ac:dyDescent="0.35">
      <c r="B10" s="29" t="s">
        <v>75</v>
      </c>
      <c r="C10" s="49">
        <f>+B1</f>
        <v>200000</v>
      </c>
    </row>
    <row r="11" spans="1:4" ht="14.25" customHeight="1" x14ac:dyDescent="0.35">
      <c r="B11" s="29" t="s">
        <v>76</v>
      </c>
      <c r="C11" s="49">
        <f>+B3-(B1-B2)</f>
        <v>150000</v>
      </c>
    </row>
    <row r="12" spans="1:4" ht="14.25" customHeight="1" x14ac:dyDescent="0.35"/>
    <row r="13" spans="1:4" ht="14.25" customHeight="1" x14ac:dyDescent="0.35">
      <c r="A13" s="166"/>
      <c r="B13" s="167"/>
      <c r="C13" s="167"/>
    </row>
    <row r="14" spans="1:4" ht="14.25" customHeight="1" x14ac:dyDescent="0.35"/>
    <row r="15" spans="1:4" ht="14.25" customHeight="1" x14ac:dyDescent="0.35">
      <c r="A15" s="29"/>
    </row>
    <row r="16" spans="1:4" ht="14.25" customHeight="1" x14ac:dyDescent="0.35">
      <c r="B16" s="29"/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5:C5"/>
    <mergeCell ref="A13:C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1.08.01</vt:lpstr>
      <vt:lpstr>1.08.02</vt:lpstr>
      <vt:lpstr>Asiento contable de la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2023-05-10T16:51:37Z</dcterms:created>
  <dcterms:modified xsi:type="dcterms:W3CDTF">2026-04-17T00:50:28Z</dcterms:modified>
</cp:coreProperties>
</file>