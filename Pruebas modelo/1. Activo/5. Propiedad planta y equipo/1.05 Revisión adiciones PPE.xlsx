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5. Propiedad planta y equipo\"/>
    </mc:Choice>
  </mc:AlternateContent>
  <xr:revisionPtr revIDLastSave="0" documentId="13_ncr:1_{554089F1-856F-473C-B45C-228C0D5DA4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05.01" sheetId="1" r:id="rId1"/>
    <sheet name="1.05.02" sheetId="2" r:id="rId2"/>
  </sheets>
  <externalReferences>
    <externalReference r:id="rId3"/>
  </externalReferences>
  <definedNames>
    <definedName name="A_impresión_IM">#REF!</definedName>
    <definedName name="AS2DocOpenMode">"AS2DocumentEdit"</definedName>
    <definedName name="BA">[1]BALANCE!$B$3:$D$154</definedName>
    <definedName name="wrn.Aging._.and._.Trend._.Analysis.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5v8NW5yaZTV+F7fG8soAel3CzaMBZ0S+k3emTgs6pks="/>
    </ext>
  </extLst>
</workbook>
</file>

<file path=xl/calcChain.xml><?xml version="1.0" encoding="utf-8"?>
<calcChain xmlns="http://schemas.openxmlformats.org/spreadsheetml/2006/main">
  <c r="Z49" i="2" l="1"/>
  <c r="AI39" i="2"/>
  <c r="AH39" i="2"/>
  <c r="Z39" i="2"/>
  <c r="V39" i="2"/>
  <c r="Q47" i="2"/>
  <c r="Q46" i="2"/>
  <c r="Q45" i="2"/>
  <c r="Q44" i="2"/>
  <c r="Q43" i="2"/>
  <c r="Q42" i="2"/>
  <c r="Q41" i="2"/>
  <c r="Q40" i="2"/>
  <c r="Q49" i="2" s="1"/>
  <c r="Q39" i="2"/>
  <c r="P39" i="2"/>
  <c r="P47" i="2"/>
  <c r="P46" i="2"/>
  <c r="P45" i="2"/>
  <c r="P44" i="2"/>
  <c r="P43" i="2"/>
  <c r="P42" i="2"/>
  <c r="P41" i="2"/>
  <c r="P40" i="2"/>
  <c r="F49" i="2" l="1"/>
  <c r="AH47" i="2" l="1"/>
  <c r="AI47" i="2" s="1"/>
  <c r="AH46" i="2"/>
  <c r="AI46" i="2" s="1"/>
  <c r="AH45" i="2"/>
  <c r="AI45" i="2" s="1"/>
  <c r="AH44" i="2"/>
  <c r="AI44" i="2" s="1"/>
  <c r="AH43" i="2"/>
  <c r="AI43" i="2" s="1"/>
  <c r="AH42" i="2"/>
  <c r="AI42" i="2" s="1"/>
  <c r="AH41" i="2"/>
  <c r="AI41" i="2" s="1"/>
  <c r="AH40" i="2"/>
  <c r="AI40" i="2" s="1"/>
  <c r="AA47" i="2"/>
  <c r="AA46" i="2"/>
  <c r="AA45" i="2"/>
  <c r="AA44" i="2"/>
  <c r="AA43" i="2"/>
  <c r="AA42" i="2"/>
  <c r="AA41" i="2"/>
  <c r="AA40" i="2"/>
  <c r="AA39" i="2"/>
  <c r="V47" i="2"/>
  <c r="V46" i="2"/>
  <c r="V45" i="2"/>
  <c r="V44" i="2"/>
  <c r="V43" i="2"/>
  <c r="V42" i="2"/>
  <c r="V41" i="2"/>
  <c r="V40" i="2"/>
  <c r="O47" i="2" l="1"/>
  <c r="O46" i="2"/>
  <c r="O45" i="2"/>
  <c r="O44" i="2"/>
  <c r="O43" i="2"/>
  <c r="O42" i="2"/>
  <c r="O41" i="2"/>
  <c r="O40" i="2"/>
  <c r="O39" i="2"/>
  <c r="X39" i="2" s="1"/>
  <c r="X40" i="2" l="1"/>
  <c r="X42" i="2"/>
  <c r="Z42" i="2" s="1"/>
  <c r="X44" i="2"/>
  <c r="Z44" i="2" s="1"/>
  <c r="X46" i="2"/>
  <c r="Z46" i="2" s="1"/>
  <c r="X41" i="2"/>
  <c r="Z41" i="2" s="1"/>
  <c r="X43" i="2"/>
  <c r="Z43" i="2" s="1"/>
  <c r="X45" i="2"/>
  <c r="Z45" i="2" s="1"/>
  <c r="X47" i="2"/>
  <c r="Z47" i="2" s="1"/>
  <c r="Z40" i="2" l="1"/>
  <c r="AI49" i="2"/>
</calcChain>
</file>

<file path=xl/sharedStrings.xml><?xml version="1.0" encoding="utf-8"?>
<sst xmlns="http://schemas.openxmlformats.org/spreadsheetml/2006/main" count="155" uniqueCount="100">
  <si>
    <t>Preparado por:</t>
  </si>
  <si>
    <t>Revisado por:</t>
  </si>
  <si>
    <t>Ref.</t>
  </si>
  <si>
    <t>XX</t>
  </si>
  <si>
    <t>COMPAÑÍA MODELO S.A.</t>
  </si>
  <si>
    <t>AL 31 DE DICIEMBRE DE 20XX</t>
  </si>
  <si>
    <t>FECHA DE CORTE: _/_/20XX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</si>
  <si>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</si>
  <si>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</si>
  <si>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</si>
  <si>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</si>
  <si>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</si>
  <si>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</si>
  <si>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</si>
  <si>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</si>
  <si>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</si>
  <si>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1.-</t>
  </si>
  <si>
    <t>2.-</t>
  </si>
  <si>
    <t>3.-</t>
  </si>
  <si>
    <t>Documentar el papel de trabajo y concluir en base al objetivo.</t>
  </si>
  <si>
    <t>Desarrollo:</t>
  </si>
  <si>
    <t>Marcas de auditoría:</t>
  </si>
  <si>
    <t>Tomado de mayores contables al 31/xx/20xx (Año de revisión)</t>
  </si>
  <si>
    <t>Cálculos de Auditoría</t>
  </si>
  <si>
    <t xml:space="preserve">Sumatoria </t>
  </si>
  <si>
    <t>A</t>
  </si>
  <si>
    <t>B</t>
  </si>
  <si>
    <t>C</t>
  </si>
  <si>
    <t xml:space="preserve">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</si>
  <si>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</si>
  <si>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</si>
  <si>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</si>
  <si>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</si>
  <si>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</si>
  <si>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</si>
  <si>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</si>
  <si>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</si>
  <si>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</si>
  <si>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1.05.01</t>
  </si>
  <si>
    <t>PROPIEDAD, PLANTA Y EQUIPO - ADICIONES</t>
  </si>
  <si>
    <t>Validar la existencia de las adiciones de propiedad, planta y equipo al  _/_/20XX</t>
  </si>
  <si>
    <t>Constatar físicamente las adiciones de la propiedad, planta y equipo.</t>
  </si>
  <si>
    <t>4.-</t>
  </si>
  <si>
    <t>5.-</t>
  </si>
  <si>
    <t xml:space="preserve">Desarrollo: </t>
  </si>
  <si>
    <t>Muestra seleccionada</t>
  </si>
  <si>
    <t>Existencia</t>
  </si>
  <si>
    <t>Exactitud</t>
  </si>
  <si>
    <t>Bancarización</t>
  </si>
  <si>
    <t xml:space="preserve">Factura </t>
  </si>
  <si>
    <t xml:space="preserve">Diferencia </t>
  </si>
  <si>
    <t xml:space="preserve">Código cuenta contable </t>
  </si>
  <si>
    <t>Nombre cuenta contable</t>
  </si>
  <si>
    <t xml:space="preserve">Fecha </t>
  </si>
  <si>
    <t>Saldo</t>
  </si>
  <si>
    <t>Constatación física</t>
  </si>
  <si>
    <t>RUC</t>
  </si>
  <si>
    <t>Nombre del proveedor</t>
  </si>
  <si>
    <t>Fecha</t>
  </si>
  <si>
    <t>Subtotal 0%</t>
  </si>
  <si>
    <t>Subtotal 12%</t>
  </si>
  <si>
    <t>IVA</t>
  </si>
  <si>
    <t xml:space="preserve">Total </t>
  </si>
  <si>
    <t>Forma de pago</t>
  </si>
  <si>
    <t>Diferencia</t>
  </si>
  <si>
    <t xml:space="preserve">Marcas de Auditoría </t>
  </si>
  <si>
    <t>Inspección física</t>
  </si>
  <si>
    <t xml:space="preserve">Nro. asiento </t>
  </si>
  <si>
    <t>Adiciones de propiedad, planta y equipo</t>
  </si>
  <si>
    <t>% Renta</t>
  </si>
  <si>
    <t>% IVA</t>
  </si>
  <si>
    <t>Valor IVA</t>
  </si>
  <si>
    <t>Valor renta</t>
  </si>
  <si>
    <t>Días de retraso</t>
  </si>
  <si>
    <t>Cumplimiento tributario</t>
  </si>
  <si>
    <t xml:space="preserve">Según comprobante </t>
  </si>
  <si>
    <t>Comprobante de egreso</t>
  </si>
  <si>
    <t>MUESTRA PARA ADICIONES DE PROPIEDAD, PLANTA Y EQUIPO</t>
  </si>
  <si>
    <t>Documentar el juicio profesional aplicado para la selección de muestra.</t>
  </si>
  <si>
    <t xml:space="preserve">Determinar las partidas seleccionadas. </t>
  </si>
  <si>
    <t>Solicitar a la Compañía el detalle de propiedad, planta y equipo al _/ _/ 20XX.</t>
  </si>
  <si>
    <t>*** El auditor dejará documentado cómo seleccionó la muestra .</t>
  </si>
  <si>
    <t>Verificar la documentación de respaldo proporcionada por la Compañía.</t>
  </si>
  <si>
    <t>Determinar diferencias.</t>
  </si>
  <si>
    <t xml:space="preserve">Documentación de sustento </t>
  </si>
  <si>
    <t>Determinar una muestra para la verificación de adiciones de propiedad, planta y equipo al _/ _/ 20XX.</t>
  </si>
  <si>
    <t>***(Concluir en función al objetivo)</t>
  </si>
  <si>
    <t xml:space="preserve">Cálculo de retención </t>
  </si>
  <si>
    <t>Verificaciones:</t>
  </si>
  <si>
    <t>1.05.02</t>
  </si>
  <si>
    <t>Identificar las adiciones de propiedad, planta y equipo al _/_/20XX</t>
  </si>
  <si>
    <r>
      <rPr>
        <sz val="10"/>
        <rFont val="Tahoma"/>
        <family val="2"/>
      </rPr>
      <t>S</t>
    </r>
    <r>
      <rPr>
        <sz val="10"/>
        <color theme="1"/>
        <rFont val="Tahoma"/>
        <family val="2"/>
      </rPr>
      <t xml:space="preserve">olicitar la documentación respaldo de las adiciones de propiedad, planta y equipo seleccionadas en </t>
    </r>
    <r>
      <rPr>
        <b/>
        <sz val="10"/>
        <color rgb="FFFF0000"/>
        <rFont val="Tahoma"/>
        <family val="2"/>
      </rPr>
      <t>p/t 1.05</t>
    </r>
  </si>
  <si>
    <t>No</t>
  </si>
  <si>
    <t>p/t 1.05.01</t>
  </si>
  <si>
    <t>Si</t>
  </si>
  <si>
    <t xml:space="preserve">Nro. documento </t>
  </si>
  <si>
    <t xml:space="preserve">Nro. de comprobante </t>
  </si>
  <si>
    <t xml:space="preserve">Nro. de operación </t>
  </si>
  <si>
    <t xml:space="preserve">Valor según comprobante </t>
  </si>
  <si>
    <t xml:space="preserve">Pago según auditoría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</si>
</sst>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(* #,##0_);_(* \(#,##0\);_(* &quot;-&quot;_);_(@_)"/>
    <numFmt numFmtId="166" formatCode="_ * #,##0_ ;_ * \-#,##0_ ;_ * &quot;-&quot;??_ ;_ @_ 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rgb="FF44546A"/>
      <name val="Tahoma"/>
      <family val="2"/>
    </font>
    <font>
      <b/>
      <sz val="10"/>
      <color rgb="FFFF0000"/>
      <name val="Tahoma"/>
      <family val="2"/>
    </font>
    <font>
      <b/>
      <sz val="10"/>
      <color rgb="FF1E4E79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b/>
      <u/>
      <sz val="10"/>
      <color rgb="FF0000FF"/>
      <name val="Tahoma"/>
      <family val="2"/>
    </font>
    <font>
      <sz val="10"/>
      <color rgb="FF333F4F"/>
      <name val="Tahoma"/>
      <family val="2"/>
    </font>
    <font>
      <sz val="10"/>
      <color rgb="FF366092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u/>
      <sz val="10"/>
      <color rgb="FF0000FF"/>
      <name val="Tahoma"/>
      <family val="2"/>
    </font>
    <font>
      <sz val="10"/>
      <color rgb="FFFF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9CC2E5"/>
        <bgColor rgb="FF9CC2E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8"/>
    <xf numFmtId="43" fontId="1" fillId="0" borderId="8" applyFont="0" applyFill="0" applyBorder="0" applyAlignment="0" applyProtection="0"/>
    <xf numFmtId="0" fontId="20" fillId="0" borderId="8"/>
    <xf numFmtId="0" fontId="20" fillId="0" borderId="8"/>
  </cellStyleXfs>
  <cellXfs count="113">
    <xf numFmtId="0" fontId="0" fillId="0" borderId="0" xfId="0" applyFont="1" applyAlignment="1"/>
    <xf numFmtId="0" fontId="2" fillId="2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2" fillId="0" borderId="3" xfId="0" applyFont="1" applyBorder="1"/>
    <xf numFmtId="0" fontId="7" fillId="2" borderId="1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/>
    <xf numFmtId="0" fontId="10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165" fontId="9" fillId="2" borderId="1" xfId="0" applyNumberFormat="1" applyFont="1" applyFill="1" applyBorder="1" applyAlignment="1">
      <alignment horizontal="left"/>
    </xf>
    <xf numFmtId="0" fontId="5" fillId="0" borderId="0" xfId="0" applyFont="1"/>
    <xf numFmtId="0" fontId="11" fillId="2" borderId="1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1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2" fillId="5" borderId="1" xfId="0" applyFont="1" applyFill="1" applyBorder="1"/>
    <xf numFmtId="15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3" fontId="3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/>
    <xf numFmtId="49" fontId="2" fillId="0" borderId="2" xfId="0" applyNumberFormat="1" applyFont="1" applyBorder="1"/>
    <xf numFmtId="14" fontId="2" fillId="0" borderId="2" xfId="0" applyNumberFormat="1" applyFont="1" applyBorder="1"/>
    <xf numFmtId="166" fontId="16" fillId="0" borderId="2" xfId="0" applyNumberFormat="1" applyFont="1" applyBorder="1"/>
    <xf numFmtId="0" fontId="2" fillId="0" borderId="2" xfId="0" applyFont="1" applyBorder="1"/>
    <xf numFmtId="166" fontId="2" fillId="0" borderId="2" xfId="0" applyNumberFormat="1" applyFont="1" applyBorder="1"/>
    <xf numFmtId="0" fontId="16" fillId="0" borderId="2" xfId="0" applyFont="1" applyBorder="1"/>
    <xf numFmtId="1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6" fillId="0" borderId="0" xfId="0" applyNumberFormat="1" applyFont="1"/>
    <xf numFmtId="43" fontId="2" fillId="0" borderId="0" xfId="0" applyNumberFormat="1" applyFont="1"/>
    <xf numFmtId="166" fontId="2" fillId="0" borderId="10" xfId="0" applyNumberFormat="1" applyFont="1" applyBorder="1"/>
    <xf numFmtId="166" fontId="5" fillId="0" borderId="0" xfId="0" applyNumberFormat="1" applyFont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5" fillId="0" borderId="8" xfId="0" applyFont="1" applyBorder="1"/>
    <xf numFmtId="0" fontId="11" fillId="2" borderId="8" xfId="0" applyFont="1" applyFill="1" applyBorder="1"/>
    <xf numFmtId="0" fontId="18" fillId="2" borderId="1" xfId="0" applyFont="1" applyFill="1" applyBorder="1"/>
    <xf numFmtId="0" fontId="7" fillId="2" borderId="8" xfId="0" applyFont="1" applyFill="1" applyBorder="1" applyAlignment="1">
      <alignment horizontal="left" vertical="center"/>
    </xf>
    <xf numFmtId="166" fontId="16" fillId="0" borderId="8" xfId="0" applyNumberFormat="1" applyFont="1" applyBorder="1"/>
    <xf numFmtId="166" fontId="2" fillId="0" borderId="8" xfId="0" applyNumberFormat="1" applyFont="1" applyBorder="1"/>
    <xf numFmtId="10" fontId="2" fillId="0" borderId="0" xfId="0" applyNumberFormat="1" applyFont="1"/>
    <xf numFmtId="166" fontId="2" fillId="0" borderId="8" xfId="4" applyNumberFormat="1" applyFont="1"/>
    <xf numFmtId="9" fontId="2" fillId="0" borderId="0" xfId="0" applyNumberFormat="1" applyFont="1"/>
    <xf numFmtId="14" fontId="3" fillId="9" borderId="11" xfId="3" applyNumberFormat="1" applyFont="1" applyFill="1" applyBorder="1" applyAlignment="1">
      <alignment horizontal="center" vertical="center" wrapText="1"/>
    </xf>
    <xf numFmtId="10" fontId="3" fillId="9" borderId="11" xfId="2" applyNumberFormat="1" applyFont="1" applyFill="1" applyBorder="1" applyAlignment="1">
      <alignment horizontal="center" vertical="center" wrapText="1"/>
    </xf>
    <xf numFmtId="43" fontId="3" fillId="9" borderId="11" xfId="4" applyFont="1" applyFill="1" applyBorder="1" applyAlignment="1">
      <alignment horizontal="center" vertical="center" wrapText="1"/>
    </xf>
    <xf numFmtId="9" fontId="3" fillId="9" borderId="11" xfId="2" applyFont="1" applyFill="1" applyBorder="1" applyAlignment="1">
      <alignment horizontal="center" vertical="center" wrapText="1"/>
    </xf>
    <xf numFmtId="0" fontId="3" fillId="9" borderId="11" xfId="3" applyFont="1" applyFill="1" applyBorder="1" applyAlignment="1">
      <alignment horizontal="center" vertical="center" wrapText="1"/>
    </xf>
    <xf numFmtId="0" fontId="2" fillId="0" borderId="11" xfId="0" applyFont="1" applyBorder="1"/>
    <xf numFmtId="14" fontId="2" fillId="0" borderId="11" xfId="0" applyNumberFormat="1" applyFont="1" applyBorder="1"/>
    <xf numFmtId="10" fontId="2" fillId="0" borderId="11" xfId="0" applyNumberFormat="1" applyFont="1" applyBorder="1"/>
    <xf numFmtId="166" fontId="2" fillId="0" borderId="11" xfId="4" applyNumberFormat="1" applyFont="1" applyBorder="1"/>
    <xf numFmtId="9" fontId="2" fillId="0" borderId="11" xfId="0" applyNumberFormat="1" applyFont="1" applyBorder="1"/>
    <xf numFmtId="166" fontId="2" fillId="0" borderId="2" xfId="1" applyNumberFormat="1" applyFont="1" applyBorder="1"/>
    <xf numFmtId="0" fontId="2" fillId="2" borderId="8" xfId="0" applyFont="1" applyFill="1" applyBorder="1"/>
    <xf numFmtId="0" fontId="4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/>
    </xf>
    <xf numFmtId="0" fontId="21" fillId="0" borderId="8" xfId="0" applyFont="1" applyBorder="1"/>
    <xf numFmtId="0" fontId="21" fillId="0" borderId="8" xfId="3" applyFont="1"/>
    <xf numFmtId="0" fontId="18" fillId="0" borderId="0" xfId="0" applyFont="1" applyFill="1"/>
    <xf numFmtId="0" fontId="2" fillId="0" borderId="0" xfId="0" applyFont="1" applyFill="1"/>
    <xf numFmtId="0" fontId="8" fillId="2" borderId="1" xfId="0" applyFont="1" applyFill="1" applyBorder="1"/>
    <xf numFmtId="1" fontId="2" fillId="0" borderId="8" xfId="0" applyNumberFormat="1" applyFont="1" applyBorder="1"/>
    <xf numFmtId="49" fontId="2" fillId="0" borderId="8" xfId="0" applyNumberFormat="1" applyFont="1" applyBorder="1"/>
    <xf numFmtId="14" fontId="2" fillId="0" borderId="8" xfId="0" applyNumberFormat="1" applyFont="1" applyBorder="1"/>
    <xf numFmtId="0" fontId="21" fillId="0" borderId="11" xfId="6" applyFont="1" applyBorder="1" applyAlignment="1">
      <alignment horizontal="center"/>
    </xf>
    <xf numFmtId="0" fontId="22" fillId="0" borderId="0" xfId="0" applyFont="1"/>
    <xf numFmtId="14" fontId="3" fillId="3" borderId="2" xfId="0" applyNumberFormat="1" applyFont="1" applyFill="1" applyBorder="1" applyAlignment="1">
      <alignment horizontal="center" vertical="center" wrapText="1"/>
    </xf>
    <xf numFmtId="43" fontId="3" fillId="3" borderId="4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0" fontId="14" fillId="5" borderId="4" xfId="0" applyFont="1" applyFill="1" applyBorder="1" applyAlignment="1">
      <alignment horizontal="center" vertical="center"/>
    </xf>
    <xf numFmtId="0" fontId="15" fillId="0" borderId="5" xfId="0" applyFont="1" applyBorder="1"/>
    <xf numFmtId="0" fontId="15" fillId="0" borderId="6" xfId="0" applyFont="1" applyBorder="1"/>
    <xf numFmtId="0" fontId="14" fillId="5" borderId="7" xfId="0" applyFont="1" applyFill="1" applyBorder="1" applyAlignment="1">
      <alignment horizontal="center" vertical="center"/>
    </xf>
    <xf numFmtId="0" fontId="15" fillId="0" borderId="8" xfId="0" applyFont="1" applyBorder="1"/>
    <xf numFmtId="0" fontId="15" fillId="0" borderId="9" xfId="0" applyFont="1" applyBorder="1"/>
    <xf numFmtId="0" fontId="3" fillId="6" borderId="4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49" fontId="3" fillId="8" borderId="11" xfId="3" applyNumberFormat="1" applyFont="1" applyFill="1" applyBorder="1" applyAlignment="1">
      <alignment horizontal="center" vertical="center" wrapText="1"/>
    </xf>
    <xf numFmtId="165" fontId="3" fillId="8" borderId="11" xfId="3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</cellXfs>
  <cellStyles count="7">
    <cellStyle name="Millares" xfId="1" builtinId="3"/>
    <cellStyle name="Millares 3" xfId="4" xr:uid="{702C92E9-1341-4727-871B-D73C0C9EBA87}"/>
    <cellStyle name="Normal" xfId="0" builtinId="0"/>
    <cellStyle name="Normal 10 2 8" xfId="6" xr:uid="{8E6B284E-79E9-4EAE-B919-CA04ECA74352}"/>
    <cellStyle name="Normal 2 2" xfId="5" xr:uid="{2AA1C832-F608-47A6-80C5-F8ABD66C0826}"/>
    <cellStyle name="Normal 2 3 2 5" xfId="3" xr:uid="{51EA0E18-89FF-4229-86E8-646FFD345BC7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33</xdr:row>
      <xdr:rowOff>0</xdr:rowOff>
    </xdr:from>
    <xdr:ext cx="514350" cy="3914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93588" y="1827375"/>
          <a:ext cx="504825" cy="39052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280985</xdr:colOff>
      <xdr:row>34</xdr:row>
      <xdr:rowOff>50800</xdr:rowOff>
    </xdr:from>
    <xdr:ext cx="687600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7924798" y="4987925"/>
          <a:ext cx="6876000" cy="38100"/>
          <a:chOff x="2102738" y="3780000"/>
          <a:chExt cx="6486525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>
            <a:off x="2102738" y="3780000"/>
            <a:ext cx="648652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28</xdr:col>
      <xdr:colOff>276222</xdr:colOff>
      <xdr:row>34</xdr:row>
      <xdr:rowOff>46038</xdr:rowOff>
    </xdr:from>
    <xdr:ext cx="601200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3961722" y="4983163"/>
          <a:ext cx="6012000" cy="38100"/>
          <a:chOff x="2088450" y="3780000"/>
          <a:chExt cx="6515100" cy="0"/>
        </a:xfrm>
      </xdr:grpSpPr>
      <xdr:cxnSp macro="">
        <xdr:nvCxnSpPr>
          <xdr:cNvPr id="7" name="Shap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2088450" y="3780000"/>
            <a:ext cx="6515100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31749</xdr:colOff>
      <xdr:row>33</xdr:row>
      <xdr:rowOff>106362</xdr:rowOff>
    </xdr:from>
    <xdr:ext cx="180000" cy="180000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1312" y="4892675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53</xdr:row>
      <xdr:rowOff>149225</xdr:rowOff>
    </xdr:from>
    <xdr:ext cx="190500" cy="18097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975" y="8015288"/>
          <a:ext cx="19050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188913</xdr:colOff>
      <xdr:row>52</xdr:row>
      <xdr:rowOff>134937</xdr:rowOff>
    </xdr:from>
    <xdr:ext cx="180975" cy="180975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8913" y="7850187"/>
          <a:ext cx="18097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42864</xdr:colOff>
      <xdr:row>33</xdr:row>
      <xdr:rowOff>71436</xdr:rowOff>
    </xdr:from>
    <xdr:ext cx="187325" cy="214312"/>
    <xdr:pic>
      <xdr:nvPicPr>
        <xdr:cNvPr id="12" name="image1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6739" y="4857749"/>
          <a:ext cx="187325" cy="214312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531812</xdr:colOff>
      <xdr:row>33</xdr:row>
      <xdr:rowOff>103188</xdr:rowOff>
    </xdr:from>
    <xdr:ext cx="180000" cy="180000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32500" y="4889501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7938</xdr:colOff>
      <xdr:row>33</xdr:row>
      <xdr:rowOff>90489</xdr:rowOff>
    </xdr:from>
    <xdr:ext cx="180000" cy="18000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455188" y="4876802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746001</xdr:colOff>
      <xdr:row>47</xdr:row>
      <xdr:rowOff>87186</xdr:rowOff>
    </xdr:from>
    <xdr:ext cx="184404" cy="184404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191001" y="7357936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587249</xdr:colOff>
      <xdr:row>47</xdr:row>
      <xdr:rowOff>79249</xdr:rowOff>
    </xdr:from>
    <xdr:ext cx="184404" cy="184404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684249" y="7349999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190498</xdr:colOff>
      <xdr:row>55</xdr:row>
      <xdr:rowOff>-1</xdr:rowOff>
    </xdr:from>
    <xdr:ext cx="180000" cy="180000"/>
    <xdr:pic>
      <xdr:nvPicPr>
        <xdr:cNvPr id="18" name="image6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0498" y="8199437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182559</xdr:colOff>
      <xdr:row>56</xdr:row>
      <xdr:rowOff>23810</xdr:rowOff>
    </xdr:from>
    <xdr:ext cx="180000" cy="180000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2559" y="8389935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190499</xdr:colOff>
      <xdr:row>57</xdr:row>
      <xdr:rowOff>39682</xdr:rowOff>
    </xdr:from>
    <xdr:ext cx="180000" cy="180000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0499" y="8572495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33</xdr:col>
      <xdr:colOff>87312</xdr:colOff>
      <xdr:row>33</xdr:row>
      <xdr:rowOff>111124</xdr:rowOff>
    </xdr:from>
    <xdr:to>
      <xdr:col>33</xdr:col>
      <xdr:colOff>267312</xdr:colOff>
      <xdr:row>34</xdr:row>
      <xdr:rowOff>140312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DF71669-F92F-477E-B54C-07EA2F65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44875" y="4897437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341310</xdr:colOff>
      <xdr:row>34</xdr:row>
      <xdr:rowOff>31750</xdr:rowOff>
    </xdr:from>
    <xdr:to>
      <xdr:col>34</xdr:col>
      <xdr:colOff>1211185</xdr:colOff>
      <xdr:row>34</xdr:row>
      <xdr:rowOff>39688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88CC767C-19D6-49F7-8038-CC97CFE5BD04}"/>
            </a:ext>
          </a:extLst>
        </xdr:cNvPr>
        <xdr:cNvCxnSpPr/>
      </xdr:nvCxnSpPr>
      <xdr:spPr>
        <a:xfrm flipV="1">
          <a:off x="29098873" y="4968875"/>
          <a:ext cx="2124000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261937</xdr:colOff>
      <xdr:row>34</xdr:row>
      <xdr:rowOff>55563</xdr:rowOff>
    </xdr:from>
    <xdr:ext cx="5400000" cy="38100"/>
    <xdr:grpSp>
      <xdr:nvGrpSpPr>
        <xdr:cNvPr id="23" name="Shape 2">
          <a:extLst>
            <a:ext uri="{FF2B5EF4-FFF2-40B4-BE49-F238E27FC236}">
              <a16:creationId xmlns:a16="http://schemas.microsoft.com/office/drawing/2014/main" id="{73966331-6374-425D-A56E-BFADC6C53471}"/>
            </a:ext>
          </a:extLst>
        </xdr:cNvPr>
        <xdr:cNvGrpSpPr/>
      </xdr:nvGrpSpPr>
      <xdr:grpSpPr>
        <a:xfrm>
          <a:off x="785812" y="4992688"/>
          <a:ext cx="5400000" cy="38100"/>
          <a:chOff x="2102738" y="3780000"/>
          <a:chExt cx="6486525" cy="0"/>
        </a:xfrm>
      </xdr:grpSpPr>
      <xdr:cxnSp macro="">
        <xdr:nvCxnSpPr>
          <xdr:cNvPr id="24" name="Shape 5">
            <a:extLst>
              <a:ext uri="{FF2B5EF4-FFF2-40B4-BE49-F238E27FC236}">
                <a16:creationId xmlns:a16="http://schemas.microsoft.com/office/drawing/2014/main" id="{19BBD687-EA8D-4773-8717-0B0C88A7D64F}"/>
              </a:ext>
            </a:extLst>
          </xdr:cNvPr>
          <xdr:cNvCxnSpPr/>
        </xdr:nvCxnSpPr>
        <xdr:spPr>
          <a:xfrm>
            <a:off x="2102738" y="3780000"/>
            <a:ext cx="648652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18</xdr:col>
      <xdr:colOff>0</xdr:colOff>
      <xdr:row>34</xdr:row>
      <xdr:rowOff>0</xdr:rowOff>
    </xdr:from>
    <xdr:to>
      <xdr:col>18</xdr:col>
      <xdr:colOff>180000</xdr:colOff>
      <xdr:row>35</xdr:row>
      <xdr:rowOff>29187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3777AAA-6B4C-4C51-9885-8DAC3F45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22500" y="4937125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206375</xdr:colOff>
      <xdr:row>34</xdr:row>
      <xdr:rowOff>71436</xdr:rowOff>
    </xdr:from>
    <xdr:to>
      <xdr:col>23</xdr:col>
      <xdr:colOff>733937</xdr:colOff>
      <xdr:row>34</xdr:row>
      <xdr:rowOff>79374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734839C7-2E7D-460E-88CA-A0ABDC530765}"/>
            </a:ext>
          </a:extLst>
        </xdr:cNvPr>
        <xdr:cNvCxnSpPr/>
      </xdr:nvCxnSpPr>
      <xdr:spPr>
        <a:xfrm flipV="1">
          <a:off x="15128875" y="5008561"/>
          <a:ext cx="4536000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261938</xdr:colOff>
      <xdr:row>33</xdr:row>
      <xdr:rowOff>126998</xdr:rowOff>
    </xdr:from>
    <xdr:ext cx="180000" cy="180000"/>
    <xdr:pic>
      <xdr:nvPicPr>
        <xdr:cNvPr id="27" name="image7.png">
          <a:extLst>
            <a:ext uri="{FF2B5EF4-FFF2-40B4-BE49-F238E27FC236}">
              <a16:creationId xmlns:a16="http://schemas.microsoft.com/office/drawing/2014/main" id="{560D275F-0723-451E-A08C-C6CB6E82D77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232813" y="4913311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16</xdr:col>
      <xdr:colOff>293687</xdr:colOff>
      <xdr:row>33</xdr:row>
      <xdr:rowOff>134936</xdr:rowOff>
    </xdr:from>
    <xdr:to>
      <xdr:col>16</xdr:col>
      <xdr:colOff>473687</xdr:colOff>
      <xdr:row>35</xdr:row>
      <xdr:rowOff>13311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84A0325-065B-4AD4-A703-18C0956B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2375" y="4921249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785813</xdr:colOff>
      <xdr:row>33</xdr:row>
      <xdr:rowOff>119062</xdr:rowOff>
    </xdr:from>
    <xdr:to>
      <xdr:col>25</xdr:col>
      <xdr:colOff>164125</xdr:colOff>
      <xdr:row>34</xdr:row>
      <xdr:rowOff>148250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EEF3E66-227A-4E77-AA37-9BA74E8A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56688" y="4905375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164125</xdr:colOff>
      <xdr:row>34</xdr:row>
      <xdr:rowOff>55563</xdr:rowOff>
    </xdr:from>
    <xdr:to>
      <xdr:col>26</xdr:col>
      <xdr:colOff>738188</xdr:colOff>
      <xdr:row>34</xdr:row>
      <xdr:rowOff>58250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07DA999-7D33-435F-AA81-B70B88B198C8}"/>
            </a:ext>
          </a:extLst>
        </xdr:cNvPr>
        <xdr:cNvCxnSpPr>
          <a:stCxn id="31" idx="3"/>
        </xdr:cNvCxnSpPr>
      </xdr:nvCxnSpPr>
      <xdr:spPr>
        <a:xfrm flipV="1">
          <a:off x="21936688" y="4992688"/>
          <a:ext cx="1375750" cy="26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539762</xdr:colOff>
      <xdr:row>48</xdr:row>
      <xdr:rowOff>0</xdr:rowOff>
    </xdr:from>
    <xdr:ext cx="184404" cy="184404"/>
    <xdr:pic>
      <xdr:nvPicPr>
        <xdr:cNvPr id="34" name="image1.png">
          <a:extLst>
            <a:ext uri="{FF2B5EF4-FFF2-40B4-BE49-F238E27FC236}">
              <a16:creationId xmlns:a16="http://schemas.microsoft.com/office/drawing/2014/main" id="{CC047297-9472-4C37-AE93-8F9674580F8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510637" y="7358063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968379</xdr:colOff>
      <xdr:row>48</xdr:row>
      <xdr:rowOff>0</xdr:rowOff>
    </xdr:from>
    <xdr:ext cx="184404" cy="184404"/>
    <xdr:pic>
      <xdr:nvPicPr>
        <xdr:cNvPr id="35" name="image1.png">
          <a:extLst>
            <a:ext uri="{FF2B5EF4-FFF2-40B4-BE49-F238E27FC236}">
              <a16:creationId xmlns:a16="http://schemas.microsoft.com/office/drawing/2014/main" id="{2E7F431B-1F9E-489D-A3A3-54C9DB348C7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0964192" y="7358063"/>
          <a:ext cx="184404" cy="18440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\Kreston%20As\Champion%20Technologies\PPC\CONCILIACION%20CTAS%202014\ECUADOR%20CONCILIACIONES%20DE%20CUENTAS%20DIC%20%20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111000"/>
      <sheetName val="Citi-Pagos Sueldos 113033"/>
      <sheetName val="Produbanco 113110-11-12"/>
      <sheetName val=" Bco CITI 113120-21-22"/>
      <sheetName val="113121"/>
      <sheetName val="113122"/>
      <sheetName val="12100-121005"/>
      <sheetName val="Detalle 121000"/>
      <sheetName val="121080"/>
      <sheetName val="123000"/>
      <sheetName val="124000"/>
      <sheetName val="131000 "/>
      <sheetName val="134000 "/>
      <sheetName val="134010"/>
      <sheetName val="135010"/>
      <sheetName val="135400"/>
      <sheetName val=" 135510"/>
      <sheetName val=" 135600"/>
      <sheetName val="151280"/>
      <sheetName val="151290"/>
      <sheetName val="151430"/>
      <sheetName val="152070"/>
      <sheetName val="152100-152200"/>
      <sheetName val="BASE 152100-152200-211000"/>
      <sheetName val="MASTER 211000"/>
      <sheetName val="Masterdata"/>
      <sheetName val="160020-170070 "/>
      <sheetName val="196000"/>
      <sheetName val="211000"/>
      <sheetName val="211005 "/>
      <sheetName val="211010-15"/>
      <sheetName val="211050"/>
      <sheetName val="211200"/>
      <sheetName val="Sheet5"/>
      <sheetName val="211210"/>
      <sheetName val="213040"/>
      <sheetName val="213095"/>
      <sheetName val="213340"/>
      <sheetName val="213360"/>
      <sheetName val="213380"/>
      <sheetName val="213665"/>
      <sheetName val="214120"/>
      <sheetName val="214160"/>
      <sheetName val="216011-216040"/>
      <sheetName val="216140"/>
      <sheetName val="217030"/>
      <sheetName val="217200"/>
      <sheetName val="224000"/>
    </sheetNames>
    <sheetDataSet>
      <sheetData sheetId="0" refreshError="1">
        <row r="3">
          <cell r="B3">
            <v>111000</v>
          </cell>
          <cell r="C3" t="str">
            <v>Caja Chica</v>
          </cell>
          <cell r="D3">
            <v>200</v>
          </cell>
        </row>
        <row r="4">
          <cell r="B4">
            <v>113033</v>
          </cell>
          <cell r="C4" t="str">
            <v>Citi-Pagos Sueldos</v>
          </cell>
          <cell r="D4">
            <v>3153.71</v>
          </cell>
        </row>
        <row r="5">
          <cell r="B5">
            <v>113110</v>
          </cell>
          <cell r="C5" t="str">
            <v>B.Produbanco C.Ppal</v>
          </cell>
          <cell r="D5">
            <v>13147.34</v>
          </cell>
        </row>
        <row r="6">
          <cell r="B6">
            <v>113111</v>
          </cell>
          <cell r="C6" t="str">
            <v>B.Produbanco Depos</v>
          </cell>
          <cell r="D6">
            <v>3367221.49</v>
          </cell>
        </row>
        <row r="7">
          <cell r="B7">
            <v>113112</v>
          </cell>
          <cell r="C7" t="str">
            <v>B.Produbanco Cheques</v>
          </cell>
          <cell r="D7">
            <v>-3233938.55</v>
          </cell>
        </row>
        <row r="8">
          <cell r="B8">
            <v>113120</v>
          </cell>
          <cell r="C8" t="str">
            <v>Citibank -  EC Cuent</v>
          </cell>
          <cell r="D8">
            <v>543643.42000000004</v>
          </cell>
        </row>
        <row r="9">
          <cell r="B9">
            <v>113121</v>
          </cell>
          <cell r="C9" t="str">
            <v>Citibank -  EC Depós</v>
          </cell>
          <cell r="D9">
            <v>17716.82</v>
          </cell>
        </row>
        <row r="10">
          <cell r="B10">
            <v>113122</v>
          </cell>
          <cell r="C10" t="str">
            <v>Citibank -  EC Chequ</v>
          </cell>
          <cell r="D10">
            <v>-39935.81</v>
          </cell>
        </row>
        <row r="11">
          <cell r="B11">
            <v>121000</v>
          </cell>
          <cell r="C11" t="str">
            <v>Tr Rcvbls - Domestic</v>
          </cell>
          <cell r="D11">
            <v>1627672.19</v>
          </cell>
        </row>
        <row r="12">
          <cell r="B12">
            <v>121005</v>
          </cell>
          <cell r="C12" t="str">
            <v>I/C Trade Receiv.</v>
          </cell>
          <cell r="D12">
            <v>0</v>
          </cell>
        </row>
        <row r="13">
          <cell r="B13">
            <v>121040</v>
          </cell>
          <cell r="C13" t="str">
            <v>Ctas.X Cobrar</v>
          </cell>
          <cell r="D13">
            <v>0</v>
          </cell>
        </row>
        <row r="14">
          <cell r="B14">
            <v>121100</v>
          </cell>
          <cell r="C14" t="str">
            <v>Ctas.X C Inter</v>
          </cell>
          <cell r="D14">
            <v>0</v>
          </cell>
        </row>
        <row r="15">
          <cell r="B15">
            <v>123000</v>
          </cell>
          <cell r="C15" t="str">
            <v>Ctas.X Cobrar</v>
          </cell>
          <cell r="D15">
            <v>1632947.63</v>
          </cell>
        </row>
        <row r="16">
          <cell r="B16">
            <v>124000</v>
          </cell>
          <cell r="C16" t="str">
            <v>Provisión por</v>
          </cell>
          <cell r="D16">
            <v>-6000</v>
          </cell>
        </row>
        <row r="17">
          <cell r="B17">
            <v>131000</v>
          </cell>
          <cell r="C17" t="str">
            <v>Inv - Materia Prima</v>
          </cell>
          <cell r="D17">
            <v>184473.44</v>
          </cell>
        </row>
        <row r="18">
          <cell r="B18">
            <v>134000</v>
          </cell>
          <cell r="C18" t="str">
            <v>Invt - Finished Gds</v>
          </cell>
          <cell r="D18">
            <v>1911015.83</v>
          </cell>
        </row>
        <row r="19">
          <cell r="B19">
            <v>134010</v>
          </cell>
          <cell r="C19" t="str">
            <v>Inventario En Tr</v>
          </cell>
          <cell r="D19">
            <v>275331.73</v>
          </cell>
        </row>
        <row r="20">
          <cell r="B20">
            <v>135010</v>
          </cell>
          <cell r="C20" t="str">
            <v>Inv - Materiales Var</v>
          </cell>
          <cell r="D20">
            <v>0</v>
          </cell>
        </row>
        <row r="21">
          <cell r="B21">
            <v>135400</v>
          </cell>
          <cell r="C21" t="str">
            <v>Inventory-Reserve</v>
          </cell>
          <cell r="D21">
            <v>-15285.95</v>
          </cell>
        </row>
        <row r="22">
          <cell r="B22">
            <v>135510</v>
          </cell>
          <cell r="C22" t="str">
            <v>Inventario AS400</v>
          </cell>
          <cell r="D22">
            <v>-1083.25</v>
          </cell>
        </row>
        <row r="23">
          <cell r="B23">
            <v>135600</v>
          </cell>
          <cell r="C23" t="str">
            <v>Invent.Ajustes</v>
          </cell>
          <cell r="D23">
            <v>0</v>
          </cell>
        </row>
        <row r="24">
          <cell r="B24">
            <v>151070</v>
          </cell>
          <cell r="C24" t="str">
            <v>Seguros Pre</v>
          </cell>
          <cell r="D24">
            <v>0</v>
          </cell>
        </row>
        <row r="25">
          <cell r="B25">
            <v>151280</v>
          </cell>
          <cell r="C25" t="str">
            <v>Imp. PrepOtros</v>
          </cell>
          <cell r="D25">
            <v>383811.67</v>
          </cell>
        </row>
        <row r="26">
          <cell r="B26">
            <v>151290</v>
          </cell>
          <cell r="C26" t="str">
            <v>IVA Credito Fiscal</v>
          </cell>
          <cell r="D26">
            <v>0</v>
          </cell>
        </row>
        <row r="27">
          <cell r="B27">
            <v>151430</v>
          </cell>
          <cell r="C27" t="str">
            <v>GAN Ret Sufr</v>
          </cell>
          <cell r="D27">
            <v>0</v>
          </cell>
        </row>
        <row r="28">
          <cell r="B28">
            <v>152070</v>
          </cell>
          <cell r="C28" t="str">
            <v>Otros Gastos Pre</v>
          </cell>
          <cell r="D28">
            <v>11151.26</v>
          </cell>
        </row>
        <row r="29">
          <cell r="B29">
            <v>152100</v>
          </cell>
          <cell r="C29" t="str">
            <v>Gastos Viaje Prep.</v>
          </cell>
          <cell r="D29">
            <v>0</v>
          </cell>
        </row>
        <row r="30">
          <cell r="B30">
            <v>152200</v>
          </cell>
          <cell r="C30" t="str">
            <v>Vendor Prepayments</v>
          </cell>
          <cell r="D30">
            <v>47047.62</v>
          </cell>
        </row>
        <row r="31">
          <cell r="B31">
            <v>160020</v>
          </cell>
          <cell r="C31" t="str">
            <v>Equipos y Maquinaria</v>
          </cell>
          <cell r="D31">
            <v>268842.40000000002</v>
          </cell>
        </row>
        <row r="32">
          <cell r="B32">
            <v>160026</v>
          </cell>
          <cell r="C32" t="str">
            <v>Equipo de Laboratori</v>
          </cell>
          <cell r="D32">
            <v>94257.36</v>
          </cell>
        </row>
        <row r="33">
          <cell r="B33">
            <v>160030</v>
          </cell>
          <cell r="C33" t="str">
            <v>Mejor.prop.rentada</v>
          </cell>
          <cell r="D33">
            <v>30560</v>
          </cell>
        </row>
        <row r="34">
          <cell r="B34">
            <v>160040</v>
          </cell>
          <cell r="C34" t="str">
            <v>Rodados - Automovile</v>
          </cell>
          <cell r="D34">
            <v>287444.34000000003</v>
          </cell>
        </row>
        <row r="35">
          <cell r="B35">
            <v>160060</v>
          </cell>
          <cell r="C35" t="str">
            <v>Muebles y Utiles</v>
          </cell>
          <cell r="D35">
            <v>13294.86</v>
          </cell>
        </row>
        <row r="36">
          <cell r="B36">
            <v>160070</v>
          </cell>
          <cell r="C36" t="str">
            <v>Equipos de Computaci</v>
          </cell>
          <cell r="D36">
            <v>75578.25</v>
          </cell>
        </row>
        <row r="37">
          <cell r="B37">
            <v>170020</v>
          </cell>
          <cell r="C37" t="str">
            <v>De.Acum.Maqui.</v>
          </cell>
          <cell r="D37">
            <v>-103287.26</v>
          </cell>
        </row>
        <row r="38">
          <cell r="B38">
            <v>170026</v>
          </cell>
          <cell r="C38" t="str">
            <v>De.Acum.Equi/Lab</v>
          </cell>
          <cell r="D38">
            <v>-28659.75</v>
          </cell>
        </row>
        <row r="39">
          <cell r="B39">
            <v>170030</v>
          </cell>
          <cell r="C39" t="str">
            <v>De.Acum.Mejoras</v>
          </cell>
          <cell r="D39">
            <v>-21511.8</v>
          </cell>
        </row>
        <row r="40">
          <cell r="B40">
            <v>170040</v>
          </cell>
          <cell r="C40" t="str">
            <v>De.Acum.Vehicu</v>
          </cell>
          <cell r="D40">
            <v>-187701.82</v>
          </cell>
        </row>
        <row r="41">
          <cell r="B41">
            <v>170060</v>
          </cell>
          <cell r="C41" t="str">
            <v>De.Acum.Muebles</v>
          </cell>
          <cell r="D41">
            <v>-3452.36</v>
          </cell>
        </row>
        <row r="42">
          <cell r="B42">
            <v>170070</v>
          </cell>
          <cell r="C42" t="str">
            <v>Accum Dpr - Hardware</v>
          </cell>
          <cell r="D42">
            <v>-65188.92</v>
          </cell>
        </row>
        <row r="43">
          <cell r="B43">
            <v>196000</v>
          </cell>
          <cell r="C43" t="str">
            <v>Depositos</v>
          </cell>
          <cell r="D43">
            <v>26120</v>
          </cell>
        </row>
        <row r="44">
          <cell r="B44">
            <v>211000</v>
          </cell>
          <cell r="C44" t="str">
            <v>Cuentas por Pagar -</v>
          </cell>
          <cell r="D44">
            <v>-800165.51</v>
          </cell>
        </row>
        <row r="45">
          <cell r="B45">
            <v>211005</v>
          </cell>
          <cell r="C45" t="str">
            <v>Cuentas por Pagar IC</v>
          </cell>
          <cell r="D45">
            <v>-456987.35</v>
          </cell>
        </row>
        <row r="46">
          <cell r="B46">
            <v>211010</v>
          </cell>
          <cell r="C46" t="str">
            <v>Intercompany A/P-Man</v>
          </cell>
          <cell r="D46">
            <v>-400294.36</v>
          </cell>
        </row>
        <row r="47">
          <cell r="B47">
            <v>211015</v>
          </cell>
          <cell r="C47" t="str">
            <v>Intercompany A/P-Roy</v>
          </cell>
          <cell r="D47">
            <v>-185847</v>
          </cell>
        </row>
        <row r="48">
          <cell r="B48">
            <v>211030</v>
          </cell>
          <cell r="C48" t="str">
            <v>Ctas.X P. Inter</v>
          </cell>
          <cell r="D48">
            <v>-110002.91</v>
          </cell>
        </row>
        <row r="49">
          <cell r="B49">
            <v>211100</v>
          </cell>
          <cell r="C49" t="str">
            <v>Bien.reci/fact.reci.</v>
          </cell>
          <cell r="D49">
            <v>0</v>
          </cell>
        </row>
        <row r="50">
          <cell r="B50">
            <v>211200</v>
          </cell>
          <cell r="C50" t="str">
            <v>Prov/Frac recibir</v>
          </cell>
          <cell r="D50">
            <v>-376952.09</v>
          </cell>
        </row>
        <row r="51">
          <cell r="B51">
            <v>211210</v>
          </cell>
          <cell r="C51" t="str">
            <v>Otras Prov/Cost.Inv</v>
          </cell>
          <cell r="D51">
            <v>1028.51</v>
          </cell>
        </row>
        <row r="52">
          <cell r="B52">
            <v>211220</v>
          </cell>
          <cell r="C52" t="str">
            <v>Prov/Frac recibir</v>
          </cell>
          <cell r="D52">
            <v>0</v>
          </cell>
        </row>
        <row r="53">
          <cell r="B53">
            <v>213040</v>
          </cell>
          <cell r="C53" t="str">
            <v>Prov.Bonos.Empleados</v>
          </cell>
          <cell r="D53">
            <v>-30417.99</v>
          </cell>
        </row>
        <row r="54">
          <cell r="B54">
            <v>213095</v>
          </cell>
          <cell r="C54" t="str">
            <v>Prov Benefi.Labor.</v>
          </cell>
          <cell r="D54">
            <v>-201233</v>
          </cell>
        </row>
        <row r="55">
          <cell r="B55">
            <v>213340</v>
          </cell>
          <cell r="C55" t="str">
            <v>Otras Provisiones</v>
          </cell>
          <cell r="D55">
            <v>-58529.36</v>
          </cell>
        </row>
        <row r="56">
          <cell r="B56">
            <v>213360</v>
          </cell>
          <cell r="C56" t="str">
            <v>Prov de Nomina</v>
          </cell>
          <cell r="D56">
            <v>-19058.05</v>
          </cell>
        </row>
        <row r="57">
          <cell r="B57">
            <v>213380</v>
          </cell>
          <cell r="C57" t="str">
            <v>Prov Imp.de Nomina</v>
          </cell>
          <cell r="D57">
            <v>-48393.23</v>
          </cell>
        </row>
        <row r="58">
          <cell r="B58">
            <v>213665</v>
          </cell>
          <cell r="C58" t="str">
            <v>15% Profit Partic. E</v>
          </cell>
          <cell r="D58">
            <v>-216519.03</v>
          </cell>
        </row>
        <row r="59">
          <cell r="B59">
            <v>214120</v>
          </cell>
          <cell r="C59" t="str">
            <v>Accrd Severance-S/T</v>
          </cell>
          <cell r="D59">
            <v>-49086</v>
          </cell>
        </row>
        <row r="60">
          <cell r="B60">
            <v>214160</v>
          </cell>
          <cell r="C60" t="str">
            <v>Prov.Vacaciones</v>
          </cell>
          <cell r="D60">
            <v>-125444.36</v>
          </cell>
        </row>
        <row r="61">
          <cell r="B61">
            <v>216011</v>
          </cell>
          <cell r="C61" t="str">
            <v>WH-tax code 01- 03</v>
          </cell>
          <cell r="D61">
            <v>0</v>
          </cell>
        </row>
        <row r="62">
          <cell r="B62">
            <v>216012</v>
          </cell>
          <cell r="C62" t="str">
            <v>WH-tax code 01- 04</v>
          </cell>
          <cell r="D62">
            <v>0</v>
          </cell>
        </row>
        <row r="63">
          <cell r="B63">
            <v>216013</v>
          </cell>
          <cell r="C63" t="str">
            <v>WH-tax code 01- 05</v>
          </cell>
          <cell r="D63">
            <v>0</v>
          </cell>
        </row>
        <row r="64">
          <cell r="B64">
            <v>216014</v>
          </cell>
          <cell r="C64" t="str">
            <v>WH-tax code 01- 06</v>
          </cell>
          <cell r="D64">
            <v>0</v>
          </cell>
        </row>
        <row r="65">
          <cell r="B65">
            <v>216015</v>
          </cell>
          <cell r="C65" t="str">
            <v>Ret.Imp cod 01/0A-01</v>
          </cell>
          <cell r="D65">
            <v>0</v>
          </cell>
        </row>
        <row r="66">
          <cell r="B66">
            <v>216024</v>
          </cell>
          <cell r="C66" t="str">
            <v>Ret.Imp cod 0/A-02</v>
          </cell>
          <cell r="D66">
            <v>0</v>
          </cell>
        </row>
        <row r="67">
          <cell r="B67">
            <v>216030</v>
          </cell>
          <cell r="C67" t="str">
            <v>Ret.De Impuestos</v>
          </cell>
          <cell r="D67">
            <v>0</v>
          </cell>
        </row>
        <row r="68">
          <cell r="B68">
            <v>216040</v>
          </cell>
          <cell r="C68" t="str">
            <v>WH-tax code 01- 02</v>
          </cell>
          <cell r="D68">
            <v>0</v>
          </cell>
        </row>
        <row r="69">
          <cell r="B69">
            <v>216140</v>
          </cell>
          <cell r="C69" t="str">
            <v>IVA Debito Fiscal</v>
          </cell>
          <cell r="D69">
            <v>0</v>
          </cell>
        </row>
        <row r="70">
          <cell r="B70">
            <v>217030</v>
          </cell>
          <cell r="C70" t="str">
            <v>Impuesto/Renta</v>
          </cell>
          <cell r="D70">
            <v>0</v>
          </cell>
        </row>
        <row r="71">
          <cell r="B71">
            <v>224000</v>
          </cell>
          <cell r="C71" t="str">
            <v>Imp.a Gananc.Diferi</v>
          </cell>
          <cell r="D71">
            <v>18334</v>
          </cell>
        </row>
        <row r="72">
          <cell r="B72">
            <v>269000</v>
          </cell>
          <cell r="C72" t="str">
            <v>Area Funcional</v>
          </cell>
          <cell r="D72">
            <v>0</v>
          </cell>
        </row>
        <row r="73">
          <cell r="B73">
            <v>310000</v>
          </cell>
          <cell r="C73" t="str">
            <v>A.Comunes Valor</v>
          </cell>
          <cell r="D73">
            <v>-312440</v>
          </cell>
        </row>
        <row r="74">
          <cell r="B74">
            <v>320000</v>
          </cell>
          <cell r="C74" t="str">
            <v>APIC</v>
          </cell>
          <cell r="D74">
            <v>-18334</v>
          </cell>
        </row>
        <row r="75">
          <cell r="B75">
            <v>330000</v>
          </cell>
          <cell r="C75" t="str">
            <v>Utilidades Ret</v>
          </cell>
          <cell r="D75">
            <v>-2186387.92</v>
          </cell>
        </row>
        <row r="76">
          <cell r="B76">
            <v>330004</v>
          </cell>
          <cell r="C76" t="str">
            <v>Adjust R/E</v>
          </cell>
          <cell r="D76">
            <v>-88396</v>
          </cell>
        </row>
        <row r="77">
          <cell r="B77">
            <v>399990</v>
          </cell>
          <cell r="C77" t="str">
            <v>Contra-Partida</v>
          </cell>
          <cell r="D77">
            <v>0</v>
          </cell>
        </row>
        <row r="78">
          <cell r="B78">
            <v>410000</v>
          </cell>
          <cell r="C78" t="str">
            <v>Ingr.Ventas Dom.</v>
          </cell>
          <cell r="D78">
            <v>-16601228.939999999</v>
          </cell>
        </row>
        <row r="79">
          <cell r="B79">
            <v>410040</v>
          </cell>
          <cell r="C79" t="str">
            <v>Ingr Contenedores</v>
          </cell>
          <cell r="D79">
            <v>0</v>
          </cell>
        </row>
        <row r="80">
          <cell r="B80">
            <v>500000</v>
          </cell>
          <cell r="C80" t="str">
            <v>Costo de Ventas</v>
          </cell>
          <cell r="D80">
            <v>8091767.0599999996</v>
          </cell>
        </row>
        <row r="81">
          <cell r="B81">
            <v>500005</v>
          </cell>
          <cell r="C81" t="str">
            <v>Costo/Ventas Aj</v>
          </cell>
          <cell r="D81">
            <v>250706.77</v>
          </cell>
        </row>
        <row r="82">
          <cell r="B82">
            <v>500810</v>
          </cell>
          <cell r="C82" t="str">
            <v>Fletes - Saliendo</v>
          </cell>
          <cell r="D82">
            <v>0</v>
          </cell>
        </row>
        <row r="83">
          <cell r="B83">
            <v>500811</v>
          </cell>
          <cell r="C83" t="str">
            <v>Fletes/salid interna</v>
          </cell>
          <cell r="D83">
            <v>1200</v>
          </cell>
        </row>
        <row r="84">
          <cell r="B84">
            <v>510000</v>
          </cell>
          <cell r="C84" t="str">
            <v>Cons.Mat.primas</v>
          </cell>
          <cell r="D84">
            <v>2470510.42</v>
          </cell>
        </row>
        <row r="85">
          <cell r="B85">
            <v>510020</v>
          </cell>
          <cell r="C85" t="str">
            <v>Cons.Prod.Termin</v>
          </cell>
          <cell r="D85">
            <v>12996326.199999999</v>
          </cell>
        </row>
        <row r="86">
          <cell r="B86">
            <v>510060</v>
          </cell>
          <cell r="C86" t="str">
            <v>Cons.Otros cost.Inv</v>
          </cell>
          <cell r="D86">
            <v>8695.59</v>
          </cell>
        </row>
        <row r="87">
          <cell r="B87">
            <v>520000</v>
          </cell>
          <cell r="C87" t="str">
            <v>G/P Valuaci.De mat.</v>
          </cell>
          <cell r="D87">
            <v>-37.270000000000003</v>
          </cell>
        </row>
        <row r="88">
          <cell r="B88">
            <v>520010</v>
          </cell>
          <cell r="C88" t="str">
            <v>Ganancia/Per Inv.</v>
          </cell>
          <cell r="D88">
            <v>-2043.63</v>
          </cell>
        </row>
        <row r="89">
          <cell r="B89">
            <v>520100</v>
          </cell>
          <cell r="C89" t="str">
            <v>Ord.Prod.Comp.Stand</v>
          </cell>
          <cell r="D89">
            <v>-14893951.82</v>
          </cell>
        </row>
        <row r="90">
          <cell r="B90">
            <v>520110</v>
          </cell>
          <cell r="C90" t="str">
            <v>Ord.Prod.Comp.Variac</v>
          </cell>
          <cell r="D90">
            <v>-584354.76</v>
          </cell>
        </row>
        <row r="91">
          <cell r="B91">
            <v>530000</v>
          </cell>
          <cell r="C91" t="str">
            <v>G/P Var.en Precio</v>
          </cell>
          <cell r="D91">
            <v>-2302.56</v>
          </cell>
        </row>
        <row r="92">
          <cell r="B92">
            <v>530020</v>
          </cell>
          <cell r="C92" t="str">
            <v>IC Mark up on Purch</v>
          </cell>
          <cell r="D92">
            <v>760344.15</v>
          </cell>
        </row>
        <row r="93">
          <cell r="B93">
            <v>530050</v>
          </cell>
          <cell r="C93" t="str">
            <v>T/P Var.en producc</v>
          </cell>
          <cell r="D93">
            <v>98083.59</v>
          </cell>
        </row>
        <row r="94">
          <cell r="B94">
            <v>600060</v>
          </cell>
          <cell r="C94" t="str">
            <v>Public.Pag.Amarill.</v>
          </cell>
          <cell r="D94">
            <v>371.54</v>
          </cell>
        </row>
        <row r="95">
          <cell r="B95">
            <v>600200</v>
          </cell>
          <cell r="C95" t="str">
            <v>Honor/Auditoria</v>
          </cell>
          <cell r="D95">
            <v>0</v>
          </cell>
        </row>
        <row r="96">
          <cell r="B96">
            <v>600220</v>
          </cell>
          <cell r="C96" t="str">
            <v>Auto Combustible</v>
          </cell>
          <cell r="D96">
            <v>2455.62</v>
          </cell>
        </row>
        <row r="97">
          <cell r="B97">
            <v>600230</v>
          </cell>
          <cell r="C97" t="str">
            <v>Auto Reparaciones</v>
          </cell>
          <cell r="D97">
            <v>8902.7099999999991</v>
          </cell>
        </row>
        <row r="98">
          <cell r="B98">
            <v>600250</v>
          </cell>
          <cell r="C98" t="str">
            <v>Auto Licencias/Tit</v>
          </cell>
          <cell r="D98">
            <v>7235.09</v>
          </cell>
        </row>
        <row r="99">
          <cell r="B99">
            <v>600290</v>
          </cell>
          <cell r="C99" t="str">
            <v>Manten Edificio</v>
          </cell>
          <cell r="D99">
            <v>28497.49</v>
          </cell>
        </row>
        <row r="100">
          <cell r="B100">
            <v>600310</v>
          </cell>
          <cell r="C100" t="str">
            <v>Telefono Celular</v>
          </cell>
          <cell r="D100">
            <v>20922.95</v>
          </cell>
        </row>
        <row r="101">
          <cell r="B101">
            <v>600370</v>
          </cell>
          <cell r="C101" t="str">
            <v>Regalos compañia</v>
          </cell>
          <cell r="D101">
            <v>7805</v>
          </cell>
        </row>
        <row r="102">
          <cell r="B102">
            <v>600390</v>
          </cell>
          <cell r="C102" t="str">
            <v>Accesorios Compu.</v>
          </cell>
          <cell r="D102">
            <v>518</v>
          </cell>
        </row>
        <row r="103">
          <cell r="B103">
            <v>600410</v>
          </cell>
          <cell r="C103" t="str">
            <v>Trabajos Contr</v>
          </cell>
          <cell r="D103">
            <v>45576.14</v>
          </cell>
        </row>
        <row r="104">
          <cell r="B104">
            <v>600420</v>
          </cell>
          <cell r="C104" t="str">
            <v>Contrib/Donac</v>
          </cell>
          <cell r="D104">
            <v>12492.09</v>
          </cell>
        </row>
        <row r="105">
          <cell r="B105">
            <v>600470</v>
          </cell>
          <cell r="C105" t="str">
            <v>Correo/Entregas</v>
          </cell>
          <cell r="D105">
            <v>2730.88</v>
          </cell>
        </row>
        <row r="106">
          <cell r="B106">
            <v>600630</v>
          </cell>
          <cell r="C106" t="str">
            <v>Gtos.Exam.pre.empleo</v>
          </cell>
          <cell r="D106">
            <v>7096.69</v>
          </cell>
        </row>
        <row r="107">
          <cell r="B107">
            <v>600650</v>
          </cell>
          <cell r="C107" t="str">
            <v>Subscripciones</v>
          </cell>
          <cell r="D107">
            <v>1675.71</v>
          </cell>
        </row>
        <row r="108">
          <cell r="B108">
            <v>600665</v>
          </cell>
          <cell r="C108" t="str">
            <v>Gtos.Premios y Recon</v>
          </cell>
          <cell r="D108">
            <v>2793.33</v>
          </cell>
        </row>
        <row r="109">
          <cell r="B109">
            <v>600700</v>
          </cell>
          <cell r="C109" t="str">
            <v>Entretenimiento</v>
          </cell>
          <cell r="D109">
            <v>5117</v>
          </cell>
        </row>
        <row r="110">
          <cell r="B110">
            <v>600720</v>
          </cell>
          <cell r="C110" t="str">
            <v>Equip Leasing-Equip</v>
          </cell>
          <cell r="D110">
            <v>0</v>
          </cell>
        </row>
        <row r="111">
          <cell r="B111">
            <v>600810</v>
          </cell>
          <cell r="C111" t="str">
            <v>Freight-out</v>
          </cell>
          <cell r="D111">
            <v>505600.03</v>
          </cell>
        </row>
        <row r="112">
          <cell r="B112">
            <v>600820</v>
          </cell>
          <cell r="C112" t="str">
            <v>General/Administr.</v>
          </cell>
          <cell r="D112">
            <v>0</v>
          </cell>
        </row>
        <row r="113">
          <cell r="B113">
            <v>600870</v>
          </cell>
          <cell r="C113" t="str">
            <v>Seguro General</v>
          </cell>
          <cell r="D113">
            <v>79586.13</v>
          </cell>
        </row>
        <row r="114">
          <cell r="B114">
            <v>600880</v>
          </cell>
          <cell r="C114" t="str">
            <v>Seguro Salud</v>
          </cell>
          <cell r="D114">
            <v>85245.43</v>
          </cell>
        </row>
        <row r="115">
          <cell r="B115">
            <v>600900</v>
          </cell>
          <cell r="C115" t="str">
            <v>Seguro Vida</v>
          </cell>
          <cell r="D115">
            <v>12629.19</v>
          </cell>
        </row>
        <row r="116">
          <cell r="B116">
            <v>600990</v>
          </cell>
          <cell r="C116" t="str">
            <v>Analisis Laboratorio</v>
          </cell>
          <cell r="D116">
            <v>1280</v>
          </cell>
        </row>
        <row r="117">
          <cell r="B117">
            <v>601000</v>
          </cell>
          <cell r="C117" t="str">
            <v>Acces/lab.planta</v>
          </cell>
          <cell r="D117">
            <v>107037.49</v>
          </cell>
        </row>
        <row r="118">
          <cell r="B118">
            <v>601010</v>
          </cell>
          <cell r="C118" t="str">
            <v>Honorarios Legales</v>
          </cell>
          <cell r="D118">
            <v>14653.21</v>
          </cell>
        </row>
        <row r="119">
          <cell r="B119">
            <v>601030</v>
          </cell>
          <cell r="C119" t="str">
            <v>Meeting Expenses</v>
          </cell>
          <cell r="D119">
            <v>2647.81</v>
          </cell>
        </row>
        <row r="120">
          <cell r="B120">
            <v>601060</v>
          </cell>
          <cell r="C120" t="str">
            <v>Gastos Traslado</v>
          </cell>
          <cell r="D120">
            <v>20712.07</v>
          </cell>
        </row>
        <row r="121">
          <cell r="B121">
            <v>601080</v>
          </cell>
          <cell r="C121" t="str">
            <v>Other Acctg Services</v>
          </cell>
          <cell r="D121">
            <v>36680</v>
          </cell>
        </row>
        <row r="122">
          <cell r="B122">
            <v>601200</v>
          </cell>
          <cell r="C122" t="str">
            <v>Gastos impresion</v>
          </cell>
          <cell r="D122">
            <v>8554.25</v>
          </cell>
        </row>
        <row r="123">
          <cell r="B123">
            <v>601260</v>
          </cell>
          <cell r="C123" t="str">
            <v>Reclutamiento</v>
          </cell>
          <cell r="D123">
            <v>2100</v>
          </cell>
        </row>
        <row r="124">
          <cell r="B124">
            <v>601270</v>
          </cell>
          <cell r="C124" t="str">
            <v>Gastos de Relocacion</v>
          </cell>
          <cell r="D124">
            <v>0</v>
          </cell>
        </row>
        <row r="125">
          <cell r="B125">
            <v>601280</v>
          </cell>
          <cell r="C125" t="str">
            <v>Gasto Alquiler</v>
          </cell>
          <cell r="D125">
            <v>55944.52</v>
          </cell>
        </row>
        <row r="126">
          <cell r="B126">
            <v>601290</v>
          </cell>
          <cell r="C126" t="str">
            <v>Gastos/Repar</v>
          </cell>
          <cell r="D126">
            <v>1204.45</v>
          </cell>
        </row>
        <row r="127">
          <cell r="B127">
            <v>601310</v>
          </cell>
          <cell r="C127" t="str">
            <v>Equip.Plant rep/mant</v>
          </cell>
          <cell r="D127">
            <v>17666.080000000002</v>
          </cell>
        </row>
        <row r="128">
          <cell r="B128">
            <v>601330</v>
          </cell>
          <cell r="C128" t="str">
            <v>Gastos Seguridad</v>
          </cell>
          <cell r="D128">
            <v>88152.93</v>
          </cell>
        </row>
        <row r="129">
          <cell r="B129">
            <v>601350</v>
          </cell>
          <cell r="C129" t="str">
            <v>Gastos Vigilancia</v>
          </cell>
          <cell r="D129">
            <v>33426.480000000003</v>
          </cell>
        </row>
        <row r="130">
          <cell r="B130">
            <v>601360</v>
          </cell>
          <cell r="C130" t="str">
            <v>Contr.Serv.Y Mant.</v>
          </cell>
          <cell r="D130">
            <v>20031.12</v>
          </cell>
        </row>
        <row r="131">
          <cell r="B131">
            <v>601455</v>
          </cell>
          <cell r="C131" t="str">
            <v>Impuestos/propiedad</v>
          </cell>
          <cell r="D131">
            <v>122511.88</v>
          </cell>
        </row>
        <row r="132">
          <cell r="B132">
            <v>601480</v>
          </cell>
          <cell r="C132" t="str">
            <v>Gastos/telef/Int</v>
          </cell>
          <cell r="D132">
            <v>5072.66</v>
          </cell>
        </row>
        <row r="133">
          <cell r="B133">
            <v>601490</v>
          </cell>
          <cell r="C133" t="str">
            <v>Gastos/telef local</v>
          </cell>
          <cell r="D133">
            <v>2590.21</v>
          </cell>
        </row>
        <row r="134">
          <cell r="B134">
            <v>601520</v>
          </cell>
          <cell r="C134" t="str">
            <v>Trade Show Expense</v>
          </cell>
          <cell r="D134">
            <v>0</v>
          </cell>
        </row>
        <row r="135">
          <cell r="B135">
            <v>601540</v>
          </cell>
          <cell r="C135" t="str">
            <v>Gastos entren</v>
          </cell>
          <cell r="D135">
            <v>39014.17</v>
          </cell>
        </row>
        <row r="136">
          <cell r="B136">
            <v>601610</v>
          </cell>
          <cell r="C136" t="str">
            <v>Combus camiones</v>
          </cell>
          <cell r="D136">
            <v>24156.46</v>
          </cell>
        </row>
        <row r="137">
          <cell r="B137">
            <v>601620</v>
          </cell>
          <cell r="C137" t="str">
            <v>Alquiler Vehiculo</v>
          </cell>
          <cell r="D137">
            <v>419079.97</v>
          </cell>
        </row>
        <row r="138">
          <cell r="B138">
            <v>601630</v>
          </cell>
          <cell r="C138" t="str">
            <v>Repar Mant.</v>
          </cell>
          <cell r="D138">
            <v>48963.63</v>
          </cell>
        </row>
        <row r="139">
          <cell r="B139">
            <v>601665</v>
          </cell>
          <cell r="C139" t="str">
            <v>Uniforms</v>
          </cell>
          <cell r="D139">
            <v>2276.04</v>
          </cell>
        </row>
        <row r="140">
          <cell r="B140">
            <v>601670</v>
          </cell>
          <cell r="C140" t="str">
            <v>Gastos/electricidad</v>
          </cell>
          <cell r="D140">
            <v>4178.8599999999997</v>
          </cell>
        </row>
        <row r="141">
          <cell r="B141">
            <v>601690</v>
          </cell>
          <cell r="C141" t="str">
            <v>Utilities - Water</v>
          </cell>
          <cell r="D141">
            <v>4370.22</v>
          </cell>
        </row>
        <row r="142">
          <cell r="B142">
            <v>601700</v>
          </cell>
          <cell r="C142" t="str">
            <v>Gas/desper.(toxico)</v>
          </cell>
          <cell r="D142">
            <v>5006.63</v>
          </cell>
        </row>
        <row r="143">
          <cell r="B143">
            <v>610030</v>
          </cell>
          <cell r="C143" t="str">
            <v>Gastos/viaje Hotel</v>
          </cell>
          <cell r="D143">
            <v>301417.05</v>
          </cell>
        </row>
        <row r="144">
          <cell r="B144">
            <v>610070</v>
          </cell>
          <cell r="C144" t="str">
            <v>TE - Air, Rail, Mile</v>
          </cell>
          <cell r="D144">
            <v>192797.76</v>
          </cell>
        </row>
        <row r="145">
          <cell r="B145">
            <v>610520</v>
          </cell>
          <cell r="C145" t="str">
            <v>Gastos/nom Bonos</v>
          </cell>
          <cell r="D145">
            <v>44842</v>
          </cell>
        </row>
        <row r="146">
          <cell r="B146">
            <v>610540</v>
          </cell>
          <cell r="C146" t="str">
            <v>Payroll Exp-Vacation</v>
          </cell>
          <cell r="D146">
            <v>55642.95</v>
          </cell>
        </row>
        <row r="147">
          <cell r="B147">
            <v>610600</v>
          </cell>
          <cell r="C147" t="str">
            <v>Payroll - Pensions</v>
          </cell>
          <cell r="D147">
            <v>55040.47</v>
          </cell>
        </row>
        <row r="148">
          <cell r="B148">
            <v>610610</v>
          </cell>
          <cell r="C148" t="str">
            <v>Payroll - Empl. Ben.</v>
          </cell>
          <cell r="D148">
            <v>217965.3</v>
          </cell>
        </row>
        <row r="149">
          <cell r="B149">
            <v>610615</v>
          </cell>
          <cell r="C149" t="str">
            <v>Payroll - Empl. Ben.</v>
          </cell>
          <cell r="D149">
            <v>20252.57</v>
          </cell>
        </row>
        <row r="150">
          <cell r="B150">
            <v>610620</v>
          </cell>
          <cell r="C150" t="str">
            <v>Gastos/nom Comp.</v>
          </cell>
          <cell r="D150">
            <v>43127.53</v>
          </cell>
        </row>
        <row r="151">
          <cell r="B151">
            <v>611000</v>
          </cell>
          <cell r="C151" t="str">
            <v>Gastos/nom Salario</v>
          </cell>
          <cell r="D151">
            <v>1151862.3500000001</v>
          </cell>
        </row>
        <row r="152">
          <cell r="B152">
            <v>611010</v>
          </cell>
          <cell r="C152" t="str">
            <v>Payroll Exp-OT Wages</v>
          </cell>
          <cell r="D152">
            <v>194572.5</v>
          </cell>
        </row>
        <row r="153">
          <cell r="B153">
            <v>612000</v>
          </cell>
          <cell r="C153" t="str">
            <v>Gastos/nom Imp.</v>
          </cell>
          <cell r="D153">
            <v>170352.26</v>
          </cell>
        </row>
        <row r="154">
          <cell r="B154">
            <v>640010</v>
          </cell>
          <cell r="C154" t="str">
            <v>Dep. Edific Gasto</v>
          </cell>
          <cell r="D154">
            <v>6021.72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"/>
  <sheetViews>
    <sheetView showGridLines="0" tabSelected="1" zoomScale="80" zoomScaleNormal="80" workbookViewId="0">
      <selection activeCell="B7" sqref="B7"/>
    </sheetView>
  </sheetViews>
  <sheetFormatPr baseColWidth="10" defaultColWidth="14.453125" defaultRowHeight="15" customHeight="1" x14ac:dyDescent="0.35"/>
  <cols>
    <col min="1" max="1" width="5.6328125" customWidth="1"/>
    <col min="2" max="2" width="15.26953125" customWidth="1"/>
    <col min="3" max="4" width="13.90625" customWidth="1"/>
    <col min="5" max="12" width="10.90625" customWidth="1"/>
    <col min="13" max="15" width="17.54296875" customWidth="1"/>
    <col min="16" max="20" width="10.6328125" customWidth="1"/>
  </cols>
  <sheetData>
    <row r="1" spans="1:20" ht="12" customHeight="1" x14ac:dyDescent="0.3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2" customHeight="1" x14ac:dyDescent="0.35">
      <c r="A2" s="1"/>
      <c r="B2" s="3"/>
      <c r="C2" s="1"/>
      <c r="D2" s="1"/>
      <c r="E2" s="1"/>
      <c r="F2" s="2"/>
      <c r="G2" s="2"/>
      <c r="H2" s="2"/>
      <c r="I2" s="2"/>
      <c r="J2" s="2"/>
      <c r="K2" s="2"/>
      <c r="L2" s="2"/>
      <c r="M2" s="4" t="s">
        <v>0</v>
      </c>
      <c r="N2" s="4" t="s">
        <v>1</v>
      </c>
      <c r="O2" s="4" t="s">
        <v>2</v>
      </c>
      <c r="P2" s="2"/>
      <c r="Q2" s="2"/>
      <c r="R2" s="2"/>
      <c r="S2" s="2"/>
      <c r="T2" s="2"/>
    </row>
    <row r="3" spans="1:20" ht="12" customHeight="1" x14ac:dyDescent="0.35">
      <c r="A3" s="1"/>
      <c r="B3" s="5"/>
      <c r="C3" s="1"/>
      <c r="D3" s="1"/>
      <c r="E3" s="1"/>
      <c r="F3" s="2"/>
      <c r="G3" s="2"/>
      <c r="H3" s="2"/>
      <c r="I3" s="2"/>
      <c r="J3" s="2"/>
      <c r="K3" s="2"/>
      <c r="L3" s="2"/>
      <c r="M3" s="6" t="s">
        <v>3</v>
      </c>
      <c r="N3" s="7" t="s">
        <v>3</v>
      </c>
      <c r="O3" s="8" t="s">
        <v>38</v>
      </c>
      <c r="P3" s="2"/>
      <c r="Q3" s="2"/>
      <c r="R3" s="2"/>
      <c r="S3" s="2"/>
      <c r="T3" s="2"/>
    </row>
    <row r="4" spans="1:20" ht="12" customHeight="1" x14ac:dyDescent="0.35">
      <c r="A4" s="1"/>
      <c r="B4" s="1"/>
      <c r="C4" s="1"/>
      <c r="D4" s="1"/>
      <c r="E4" s="9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2" customHeight="1" x14ac:dyDescent="0.35">
      <c r="A5" s="80"/>
      <c r="B5" s="80"/>
      <c r="C5" s="80"/>
      <c r="D5" s="80"/>
      <c r="E5" s="81"/>
      <c r="F5" s="8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2" customHeight="1" x14ac:dyDescent="0.35">
      <c r="A6" s="1"/>
      <c r="B6" s="11" t="s">
        <v>4</v>
      </c>
      <c r="C6" s="12"/>
      <c r="D6" s="12"/>
      <c r="E6" s="12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" customHeight="1" x14ac:dyDescent="0.35">
      <c r="A7" s="1"/>
      <c r="B7" s="13" t="s">
        <v>77</v>
      </c>
      <c r="C7" s="12"/>
      <c r="D7" s="12"/>
      <c r="E7" s="12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2" customHeight="1" x14ac:dyDescent="0.35">
      <c r="A8" s="1"/>
      <c r="B8" s="14" t="s">
        <v>5</v>
      </c>
      <c r="C8" s="12"/>
      <c r="D8" s="12"/>
      <c r="E8" s="12"/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2" customHeight="1" x14ac:dyDescent="0.35">
      <c r="A9" s="1"/>
      <c r="B9" s="13" t="s">
        <v>6</v>
      </c>
      <c r="C9" s="12"/>
      <c r="D9" s="12"/>
      <c r="E9" s="12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7" customHeight="1" x14ac:dyDescent="0.35">
      <c r="A10" s="1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"/>
      <c r="Q10" s="2"/>
      <c r="R10" s="2"/>
      <c r="S10" s="2"/>
      <c r="T10" s="2"/>
    </row>
    <row r="11" spans="1:20" ht="12" customHeight="1" x14ac:dyDescent="0.35">
      <c r="A11" s="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R11" s="2"/>
      <c r="S11" s="2"/>
      <c r="T11" s="2"/>
    </row>
    <row r="12" spans="1:20" ht="12" customHeight="1" x14ac:dyDescent="0.35">
      <c r="A12" s="2"/>
      <c r="B12" s="17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6.75" customHeight="1" x14ac:dyDescent="0.35">
      <c r="A13" s="2"/>
      <c r="B13" s="1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2" customHeight="1" x14ac:dyDescent="0.35">
      <c r="A14" s="2"/>
      <c r="B14" s="18" t="s">
        <v>85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2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" customHeight="1" x14ac:dyDescent="0.35">
      <c r="A16" s="2"/>
      <c r="B16" s="17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6.75" customHeight="1" x14ac:dyDescent="0.35">
      <c r="A17" s="2"/>
      <c r="B17" s="1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5" x14ac:dyDescent="0.35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2" customHeight="1" x14ac:dyDescent="0.35">
      <c r="A19" s="2"/>
      <c r="B19" s="19"/>
      <c r="C19" s="20" t="s">
        <v>9</v>
      </c>
      <c r="D19" s="20" t="s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2" customHeight="1" x14ac:dyDescent="0.35">
      <c r="A20" s="2"/>
      <c r="B20" s="21" t="s">
        <v>11</v>
      </c>
      <c r="C20" s="22" t="s">
        <v>12</v>
      </c>
      <c r="D20" s="22" t="s">
        <v>12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2" customHeight="1" x14ac:dyDescent="0.35">
      <c r="A21" s="2"/>
      <c r="B21" s="21" t="s">
        <v>13</v>
      </c>
      <c r="C21" s="22" t="s">
        <v>12</v>
      </c>
      <c r="D21" s="22" t="s">
        <v>12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2" customHeight="1" x14ac:dyDescent="0.35">
      <c r="A22" s="2"/>
      <c r="B22" s="21" t="s">
        <v>14</v>
      </c>
      <c r="C22" s="22" t="s">
        <v>12</v>
      </c>
      <c r="D22" s="22" t="s">
        <v>12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2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2" customHeight="1" x14ac:dyDescent="0.35">
      <c r="A24" s="2"/>
      <c r="B24" s="17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6.75" customHeight="1" x14ac:dyDescent="0.35">
      <c r="A25" s="2"/>
      <c r="B25" s="1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5" x14ac:dyDescent="0.35">
      <c r="A26" s="23" t="s">
        <v>16</v>
      </c>
      <c r="B26" s="83" t="s">
        <v>80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5" x14ac:dyDescent="0.35">
      <c r="A27" s="23" t="s">
        <v>17</v>
      </c>
      <c r="B27" s="83" t="s">
        <v>90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2" customHeight="1" x14ac:dyDescent="0.35">
      <c r="A28" s="23" t="s">
        <v>18</v>
      </c>
      <c r="B28" s="2" t="s">
        <v>78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2" customHeight="1" x14ac:dyDescent="0.35">
      <c r="A29" s="23" t="s">
        <v>42</v>
      </c>
      <c r="B29" s="2" t="s">
        <v>79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2" customHeight="1" x14ac:dyDescent="0.35">
      <c r="A30" s="23" t="s">
        <v>42</v>
      </c>
      <c r="B30" s="84" t="s">
        <v>19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2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2" customHeight="1" x14ac:dyDescent="0.35">
      <c r="A32" s="2"/>
      <c r="B32" s="17" t="s"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2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2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2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2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2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2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2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" customHeight="1" x14ac:dyDescent="0.35">
      <c r="A46" s="2"/>
      <c r="B46" s="2"/>
      <c r="C46" s="2"/>
      <c r="D46" s="85" t="s">
        <v>81</v>
      </c>
      <c r="E46" s="86"/>
      <c r="F46" s="86"/>
      <c r="G46" s="86"/>
      <c r="H46" s="8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" customHeight="1" x14ac:dyDescent="0.35">
      <c r="A64" s="1"/>
      <c r="B64" s="17" t="s">
        <v>21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7" customHeight="1" x14ac:dyDescent="0.35">
      <c r="A65" s="1"/>
      <c r="B65" s="1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" customHeight="1" x14ac:dyDescent="0.35">
      <c r="A66" s="1"/>
      <c r="B66" s="2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" customHeight="1" x14ac:dyDescent="0.35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" customHeight="1" x14ac:dyDescent="0.3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" customHeight="1" x14ac:dyDescent="0.35">
      <c r="A69" s="25"/>
      <c r="B69" s="87" t="s">
        <v>88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7" customHeight="1" x14ac:dyDescent="0.35">
      <c r="A70" s="25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" customHeight="1" x14ac:dyDescent="0.35">
      <c r="A71" s="27" t="s">
        <v>25</v>
      </c>
      <c r="B71" s="2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" customHeight="1" x14ac:dyDescent="0.35">
      <c r="A72" s="27" t="s">
        <v>26</v>
      </c>
      <c r="B72" s="2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" customHeight="1" x14ac:dyDescent="0.35">
      <c r="A73" s="27" t="s">
        <v>27</v>
      </c>
      <c r="B73" s="2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" customHeight="1" x14ac:dyDescent="0.35">
      <c r="A74" s="2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" customHeight="1" x14ac:dyDescent="0.35">
      <c r="A75" s="28" t="s">
        <v>28</v>
      </c>
      <c r="B75" s="26" t="s">
        <v>29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7" customHeight="1" x14ac:dyDescent="0.35">
      <c r="A76" s="28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" customHeight="1" x14ac:dyDescent="0.35">
      <c r="A77" s="27" t="s">
        <v>30</v>
      </c>
      <c r="B77" s="2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" customHeight="1" x14ac:dyDescent="0.35">
      <c r="A78" s="27" t="s">
        <v>31</v>
      </c>
      <c r="B78" s="2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" customHeight="1" x14ac:dyDescent="0.35">
      <c r="A79" s="27" t="s">
        <v>32</v>
      </c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" customHeight="1" x14ac:dyDescent="0.35">
      <c r="A80" s="2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" customHeight="1" x14ac:dyDescent="0.35">
      <c r="A81" s="2"/>
      <c r="B81" s="26" t="s">
        <v>33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7" customHeight="1" x14ac:dyDescent="0.35">
      <c r="A82" s="2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" customHeight="1" x14ac:dyDescent="0.35">
      <c r="A83" s="27" t="s">
        <v>34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" customHeight="1" x14ac:dyDescent="0.35">
      <c r="A84" s="27" t="s">
        <v>35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" customHeight="1" x14ac:dyDescent="0.35">
      <c r="A85" s="27" t="s">
        <v>36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" customHeight="1" x14ac:dyDescent="0.35">
      <c r="A87" s="2"/>
      <c r="B87" s="26" t="s">
        <v>37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7" customHeight="1" x14ac:dyDescent="0.35">
      <c r="A88" s="2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" customHeight="1" x14ac:dyDescent="0.35">
      <c r="A89" s="2"/>
      <c r="B89" s="62" t="s">
        <v>86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2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2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2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2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2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2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2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2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2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2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2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2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2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2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2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2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2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2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2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2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2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2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2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2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2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2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2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2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2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2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2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2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2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2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2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2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2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2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2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2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2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2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2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2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2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2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2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2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2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2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2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2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2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2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2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2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2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2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2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2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2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2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2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2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2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2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2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2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2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2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2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2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2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2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2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2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2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2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2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2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2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2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2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2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2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2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2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2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2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2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2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2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2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2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2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2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2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2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2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2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2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2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2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2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2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2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2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2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2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2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2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2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2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2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2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2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2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2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2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2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2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2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2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2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2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2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2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2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2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2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2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2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2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2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2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2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2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2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2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2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2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2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2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2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2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2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2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2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2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2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2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2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2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2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2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2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2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2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2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2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2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2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2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2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2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2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2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2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2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2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2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2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2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2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2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2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2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2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2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2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2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2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2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2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2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2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2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2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2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2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2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2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2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2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2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2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2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2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2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2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2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2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2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2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2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2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2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2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2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2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2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2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2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2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2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2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2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2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2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2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2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2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2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2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2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2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2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2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2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2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2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2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2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2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2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2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2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2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2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2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2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2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2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2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2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2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2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2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2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2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2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2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2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2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2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2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2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2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2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2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2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2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2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2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2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2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2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2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2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2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2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2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2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2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2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2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2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2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2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2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2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2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2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2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2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2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2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2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2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2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2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2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2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2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2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2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2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2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2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2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2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2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2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2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2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2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2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2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2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2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2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2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2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2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2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2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2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2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2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2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2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2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2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2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2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2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2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2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2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2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2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2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2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2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2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2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2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2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2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2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2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2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2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2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2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2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2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2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2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2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2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2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2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2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2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2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2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2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2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2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2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2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2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2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2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2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2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2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2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2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2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2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2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2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2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2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2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2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2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2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2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2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2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2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2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2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2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2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2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2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2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2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2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2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2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2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2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2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2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2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2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2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2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2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2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2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2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2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2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2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2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2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2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2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2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2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2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2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2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2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2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2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2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2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2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2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2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2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2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2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2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2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2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2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2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2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2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2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2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2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2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2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2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2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2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2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2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2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2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2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2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2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2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2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2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2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2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2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2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2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2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2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2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2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2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2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2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2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2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2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2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2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2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2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2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2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2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2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2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2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2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2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2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2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2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2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2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2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2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2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2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2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2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2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2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2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2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2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2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2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2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2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2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2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2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2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2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2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2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2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2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2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2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2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2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2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2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2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2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2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2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2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2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2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2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2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2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2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2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2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2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2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2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2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2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2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2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2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2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2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2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2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2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2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2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2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2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2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2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2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2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2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2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2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2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2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2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2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2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2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2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2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2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2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2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2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2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2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2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2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2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2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2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2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2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2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2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2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2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2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2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2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2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2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2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2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2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2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2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2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2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2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2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2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2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2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2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2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2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2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2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2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2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2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2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2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2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2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2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2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2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2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2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2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2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2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2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2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2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2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2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2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2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2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2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2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2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2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2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2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2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2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2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2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2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2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2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2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2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2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2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2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2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2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2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2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2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2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2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2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2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2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2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2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2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2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2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2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2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2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2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2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2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2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2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2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2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2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2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2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2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2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2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2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2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2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2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2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2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2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2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2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2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2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2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2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2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2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2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2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2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2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2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2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2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2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2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2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2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2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2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2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2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2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2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2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2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2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2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2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2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2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2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2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2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2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2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2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2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2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2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2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2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2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2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2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2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2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2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2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2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2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2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2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2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2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2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2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2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2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2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2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2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2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2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2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2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2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2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2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2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2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2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2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2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2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2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2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2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2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2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2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2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2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2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2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2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2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2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2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2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2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2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2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2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2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2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2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2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2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2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2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2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2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2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2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2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2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2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2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2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2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2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2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2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2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2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2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2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2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2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2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2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2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2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2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2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2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2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2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2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2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2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2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2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2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2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2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2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2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2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2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2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2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2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2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2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2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2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2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2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2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2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2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2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2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2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2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2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2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2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2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2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2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2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2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2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2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2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2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2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2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2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2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2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2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2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2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2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2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2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2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2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2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2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2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2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2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2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2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2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2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2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2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2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2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2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2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2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2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2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2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2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2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2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2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2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2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2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2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2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2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2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2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98"/>
  <sheetViews>
    <sheetView showGridLines="0" zoomScale="80" zoomScaleNormal="80" workbookViewId="0">
      <selection activeCell="C51" sqref="C51"/>
    </sheetView>
  </sheetViews>
  <sheetFormatPr baseColWidth="10" defaultColWidth="14.453125" defaultRowHeight="15" customHeight="1" x14ac:dyDescent="0.35"/>
  <cols>
    <col min="1" max="1" width="7.453125" customWidth="1"/>
    <col min="2" max="3" width="18.54296875" customWidth="1"/>
    <col min="4" max="4" width="19.08984375" customWidth="1"/>
    <col min="5" max="5" width="14.54296875" customWidth="1"/>
    <col min="6" max="6" width="11.453125" customWidth="1"/>
    <col min="7" max="7" width="3.1796875" customWidth="1"/>
    <col min="8" max="9" width="16.6328125" customWidth="1"/>
    <col min="10" max="11" width="11.453125" customWidth="1"/>
    <col min="12" max="12" width="13.36328125" customWidth="1"/>
    <col min="13" max="13" width="14.54296875" customWidth="1"/>
    <col min="14" max="14" width="16.453125" customWidth="1"/>
    <col min="15" max="15" width="8.36328125" customWidth="1"/>
    <col min="16" max="17" width="11.453125" customWidth="1"/>
    <col min="18" max="18" width="3" customWidth="1"/>
    <col min="19" max="19" width="15.08984375" customWidth="1"/>
    <col min="20" max="27" width="11.453125" customWidth="1"/>
    <col min="28" max="28" width="4.453125" customWidth="1"/>
    <col min="29" max="29" width="21.08984375" customWidth="1"/>
    <col min="30" max="30" width="16.54296875" customWidth="1"/>
    <col min="31" max="31" width="18.08984375" customWidth="1"/>
    <col min="32" max="32" width="16.6328125" customWidth="1"/>
    <col min="33" max="35" width="17.90625" customWidth="1"/>
    <col min="36" max="36" width="11.453125" customWidth="1"/>
  </cols>
  <sheetData>
    <row r="1" spans="1:36" ht="12" customHeight="1" x14ac:dyDescent="0.3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2" customHeight="1" x14ac:dyDescent="0.35">
      <c r="A2" s="1"/>
      <c r="B2" s="3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" customHeight="1" x14ac:dyDescent="0.35">
      <c r="A3" s="1"/>
      <c r="B3" s="5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G3" s="4" t="s">
        <v>0</v>
      </c>
      <c r="AH3" s="4" t="s">
        <v>1</v>
      </c>
      <c r="AI3" s="4" t="s">
        <v>2</v>
      </c>
      <c r="AJ3" s="2"/>
    </row>
    <row r="4" spans="1:36" ht="12" customHeight="1" x14ac:dyDescent="0.35">
      <c r="A4" s="1"/>
      <c r="B4" s="1"/>
      <c r="C4" s="1"/>
      <c r="D4" s="1"/>
      <c r="E4" s="9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G4" s="6" t="s">
        <v>3</v>
      </c>
      <c r="AH4" s="7" t="s">
        <v>3</v>
      </c>
      <c r="AI4" s="8" t="s">
        <v>89</v>
      </c>
      <c r="AJ4" s="2"/>
    </row>
    <row r="5" spans="1:36" ht="12" customHeight="1" x14ac:dyDescent="0.35">
      <c r="A5" s="1"/>
      <c r="B5" s="11" t="s">
        <v>4</v>
      </c>
      <c r="C5" s="12"/>
      <c r="D5" s="12"/>
      <c r="E5" s="12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2" customHeight="1" x14ac:dyDescent="0.35">
      <c r="A6" s="1"/>
      <c r="B6" s="13" t="s">
        <v>39</v>
      </c>
      <c r="C6" s="12"/>
      <c r="D6" s="12"/>
      <c r="E6" s="12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2" customHeight="1" x14ac:dyDescent="0.35">
      <c r="A7" s="1"/>
      <c r="B7" s="14" t="s">
        <v>5</v>
      </c>
      <c r="C7" s="12"/>
      <c r="D7" s="12"/>
      <c r="E7" s="12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2" customHeight="1" x14ac:dyDescent="0.35">
      <c r="A8" s="1"/>
      <c r="B8" s="13" t="s">
        <v>6</v>
      </c>
      <c r="C8" s="12"/>
      <c r="D8" s="12"/>
      <c r="E8" s="12"/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6.75" customHeight="1" x14ac:dyDescent="0.35">
      <c r="A9" s="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2"/>
    </row>
    <row r="10" spans="1:36" ht="12" customHeight="1" x14ac:dyDescent="0.3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16"/>
      <c r="AC10" s="16"/>
      <c r="AD10" s="16"/>
      <c r="AE10" s="16"/>
      <c r="AF10" s="16"/>
      <c r="AG10" s="16"/>
      <c r="AH10" s="63"/>
      <c r="AI10" s="16"/>
      <c r="AJ10" s="2"/>
    </row>
    <row r="11" spans="1:36" ht="12" customHeight="1" x14ac:dyDescent="0.35">
      <c r="A11" s="2"/>
      <c r="B11" s="17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6.75" customHeight="1" x14ac:dyDescent="0.35">
      <c r="A12" s="2"/>
      <c r="B12" s="1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2" customHeight="1" x14ac:dyDescent="0.35">
      <c r="A13" s="2"/>
      <c r="B13" s="29" t="s">
        <v>40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2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2" customHeight="1" x14ac:dyDescent="0.35">
      <c r="A15" s="2"/>
      <c r="B15" s="17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1.25" customHeight="1" x14ac:dyDescent="0.35">
      <c r="A16" s="2"/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2" customHeight="1" x14ac:dyDescent="0.35">
      <c r="A17" s="2"/>
      <c r="B17" s="19"/>
      <c r="C17" s="20" t="s">
        <v>9</v>
      </c>
      <c r="D17" s="20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2" customHeight="1" x14ac:dyDescent="0.35">
      <c r="A18" s="2"/>
      <c r="B18" s="21" t="s">
        <v>11</v>
      </c>
      <c r="C18" s="22" t="s">
        <v>12</v>
      </c>
      <c r="D18" s="22" t="s">
        <v>12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2" customHeight="1" x14ac:dyDescent="0.35">
      <c r="A19" s="2"/>
      <c r="B19" s="21" t="s">
        <v>13</v>
      </c>
      <c r="C19" s="22" t="s">
        <v>12</v>
      </c>
      <c r="D19" s="22" t="s">
        <v>12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2" customHeight="1" x14ac:dyDescent="0.35">
      <c r="A20" s="2"/>
      <c r="B20" s="21" t="s">
        <v>14</v>
      </c>
      <c r="C20" s="22" t="s">
        <v>12</v>
      </c>
      <c r="D20" s="22" t="s">
        <v>12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2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2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2" customHeight="1" x14ac:dyDescent="0.35">
      <c r="A23" s="2"/>
      <c r="B23" s="17" t="s">
        <v>15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6.75" customHeight="1" x14ac:dyDescent="0.35">
      <c r="A24" s="2"/>
      <c r="B24" s="1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4.5" x14ac:dyDescent="0.35">
      <c r="A25" s="23" t="s">
        <v>16</v>
      </c>
      <c r="B25" s="1" t="s">
        <v>91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2" customHeight="1" x14ac:dyDescent="0.35">
      <c r="A26" s="23" t="s">
        <v>17</v>
      </c>
      <c r="B26" s="1" t="s">
        <v>41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2" customHeight="1" x14ac:dyDescent="0.35">
      <c r="A27" s="23" t="s">
        <v>18</v>
      </c>
      <c r="B27" s="1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2" customHeight="1" x14ac:dyDescent="0.35">
      <c r="A28" s="23" t="s">
        <v>42</v>
      </c>
      <c r="B28" s="1" t="s">
        <v>83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2" customHeight="1" x14ac:dyDescent="0.35">
      <c r="A29" s="23" t="s">
        <v>43</v>
      </c>
      <c r="B29" s="84" t="s">
        <v>19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2" customHeight="1" x14ac:dyDescent="0.35">
      <c r="A30" s="30"/>
      <c r="B30" s="3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2" customHeight="1" x14ac:dyDescent="0.35">
      <c r="A31" s="30"/>
      <c r="B31" s="3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2" customHeight="1" x14ac:dyDescent="0.35">
      <c r="A32" s="30"/>
      <c r="B32" s="17" t="s">
        <v>44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2" customHeight="1" x14ac:dyDescent="0.35">
      <c r="A33" s="30"/>
      <c r="B33" s="3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2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2"/>
      <c r="AD34" s="2"/>
      <c r="AE34" s="2"/>
      <c r="AF34" s="2"/>
      <c r="AG34" s="2"/>
      <c r="AH34" s="2"/>
      <c r="AI34" s="2"/>
      <c r="AJ34" s="2"/>
    </row>
    <row r="35" spans="1:36" ht="12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33"/>
      <c r="AD35" s="2"/>
      <c r="AE35" s="2"/>
      <c r="AF35" s="2"/>
      <c r="AG35" s="2"/>
      <c r="AH35" s="2"/>
      <c r="AI35" s="2"/>
      <c r="AJ35" s="2"/>
    </row>
    <row r="36" spans="1:36" ht="15.75" customHeight="1" x14ac:dyDescent="0.35">
      <c r="A36" s="92" t="s">
        <v>94</v>
      </c>
      <c r="B36" s="96" t="s">
        <v>45</v>
      </c>
      <c r="C36" s="97"/>
      <c r="D36" s="97"/>
      <c r="E36" s="97"/>
      <c r="F36" s="98"/>
      <c r="G36" s="2"/>
      <c r="H36" s="99" t="s">
        <v>46</v>
      </c>
      <c r="I36" s="100"/>
      <c r="J36" s="100"/>
      <c r="K36" s="100"/>
      <c r="L36" s="101"/>
      <c r="M36" s="96" t="s">
        <v>47</v>
      </c>
      <c r="N36" s="106"/>
      <c r="O36" s="106"/>
      <c r="P36" s="106"/>
      <c r="Q36" s="107" t="s">
        <v>50</v>
      </c>
      <c r="R36" s="60"/>
      <c r="S36" s="103" t="s">
        <v>74</v>
      </c>
      <c r="T36" s="103"/>
      <c r="U36" s="103"/>
      <c r="V36" s="103"/>
      <c r="W36" s="103"/>
      <c r="X36" s="103"/>
      <c r="Y36" s="103"/>
      <c r="Z36" s="103"/>
      <c r="AA36" s="103"/>
      <c r="AB36" s="25"/>
      <c r="AC36" s="96" t="s">
        <v>48</v>
      </c>
      <c r="AD36" s="97"/>
      <c r="AE36" s="97"/>
      <c r="AF36" s="97"/>
      <c r="AG36" s="97"/>
      <c r="AH36" s="97"/>
      <c r="AI36" s="98"/>
      <c r="AJ36" s="2"/>
    </row>
    <row r="37" spans="1:36" ht="12" customHeight="1" x14ac:dyDescent="0.35">
      <c r="A37" s="92" t="s">
        <v>92</v>
      </c>
      <c r="B37" s="102" t="s">
        <v>68</v>
      </c>
      <c r="C37" s="97"/>
      <c r="D37" s="97"/>
      <c r="E37" s="97"/>
      <c r="F37" s="98"/>
      <c r="G37" s="2"/>
      <c r="H37" s="34"/>
      <c r="I37" s="102" t="s">
        <v>49</v>
      </c>
      <c r="J37" s="97"/>
      <c r="K37" s="97"/>
      <c r="L37" s="97"/>
      <c r="M37" s="97"/>
      <c r="N37" s="97"/>
      <c r="O37" s="97"/>
      <c r="P37" s="98"/>
      <c r="Q37" s="108"/>
      <c r="R37" s="2"/>
      <c r="S37" s="104" t="s">
        <v>87</v>
      </c>
      <c r="T37" s="104"/>
      <c r="U37" s="104"/>
      <c r="V37" s="104"/>
      <c r="W37" s="104"/>
      <c r="X37" s="104"/>
      <c r="Y37" s="105" t="s">
        <v>75</v>
      </c>
      <c r="Z37" s="105"/>
      <c r="AA37" s="105"/>
      <c r="AB37" s="2"/>
      <c r="AC37" s="110" t="s">
        <v>76</v>
      </c>
      <c r="AD37" s="111"/>
      <c r="AE37" s="111"/>
      <c r="AF37" s="111"/>
      <c r="AG37" s="111"/>
      <c r="AH37" s="111"/>
      <c r="AI37" s="112"/>
      <c r="AJ37" s="2"/>
    </row>
    <row r="38" spans="1:36" ht="37.5" x14ac:dyDescent="0.35">
      <c r="A38" s="2"/>
      <c r="B38" s="35" t="s">
        <v>51</v>
      </c>
      <c r="C38" s="36" t="s">
        <v>52</v>
      </c>
      <c r="D38" s="37" t="s">
        <v>53</v>
      </c>
      <c r="E38" s="37" t="s">
        <v>67</v>
      </c>
      <c r="F38" s="38" t="s">
        <v>54</v>
      </c>
      <c r="G38" s="2"/>
      <c r="H38" s="36" t="s">
        <v>55</v>
      </c>
      <c r="I38" s="38" t="s">
        <v>56</v>
      </c>
      <c r="J38" s="36" t="s">
        <v>57</v>
      </c>
      <c r="K38" s="39" t="s">
        <v>58</v>
      </c>
      <c r="L38" s="38" t="s">
        <v>95</v>
      </c>
      <c r="M38" s="40" t="s">
        <v>59</v>
      </c>
      <c r="N38" s="40" t="s">
        <v>60</v>
      </c>
      <c r="O38" s="40" t="s">
        <v>61</v>
      </c>
      <c r="P38" s="40" t="s">
        <v>62</v>
      </c>
      <c r="Q38" s="109"/>
      <c r="R38" s="60"/>
      <c r="S38" s="93" t="s">
        <v>96</v>
      </c>
      <c r="T38" s="69" t="s">
        <v>58</v>
      </c>
      <c r="U38" s="70" t="s">
        <v>69</v>
      </c>
      <c r="V38" s="71" t="s">
        <v>72</v>
      </c>
      <c r="W38" s="72" t="s">
        <v>70</v>
      </c>
      <c r="X38" s="71" t="s">
        <v>71</v>
      </c>
      <c r="Y38" s="71" t="s">
        <v>62</v>
      </c>
      <c r="Z38" s="71" t="s">
        <v>64</v>
      </c>
      <c r="AA38" s="73" t="s">
        <v>73</v>
      </c>
      <c r="AB38" s="41"/>
      <c r="AC38" s="38" t="s">
        <v>96</v>
      </c>
      <c r="AD38" s="38" t="s">
        <v>97</v>
      </c>
      <c r="AE38" s="42" t="s">
        <v>63</v>
      </c>
      <c r="AF38" s="39" t="s">
        <v>58</v>
      </c>
      <c r="AG38" s="40" t="s">
        <v>98</v>
      </c>
      <c r="AH38" s="94" t="s">
        <v>99</v>
      </c>
      <c r="AI38" s="40" t="s">
        <v>64</v>
      </c>
      <c r="AJ38" s="2"/>
    </row>
    <row r="39" spans="1:36" ht="12" customHeight="1" x14ac:dyDescent="0.35">
      <c r="A39" s="2"/>
      <c r="B39" s="43"/>
      <c r="C39" s="44"/>
      <c r="D39" s="45"/>
      <c r="E39" s="45"/>
      <c r="F39" s="46"/>
      <c r="G39" s="2"/>
      <c r="H39" s="91"/>
      <c r="I39" s="43"/>
      <c r="J39" s="47"/>
      <c r="K39" s="45"/>
      <c r="L39" s="47"/>
      <c r="M39" s="48"/>
      <c r="N39" s="48"/>
      <c r="O39" s="46">
        <f t="shared" ref="O39:O47" si="0">+N39*0.12</f>
        <v>0</v>
      </c>
      <c r="P39" s="46">
        <f>+SUM(M39:O39)</f>
        <v>0</v>
      </c>
      <c r="Q39" s="46">
        <f>+M39+N39-F39</f>
        <v>0</v>
      </c>
      <c r="R39" s="64"/>
      <c r="S39" s="74"/>
      <c r="T39" s="75"/>
      <c r="U39" s="76"/>
      <c r="V39" s="77">
        <f>+U39*N39</f>
        <v>0</v>
      </c>
      <c r="W39" s="78"/>
      <c r="X39" s="77">
        <f>+W39*O39</f>
        <v>0</v>
      </c>
      <c r="Y39" s="77"/>
      <c r="Z39" s="77">
        <f>+V39+X39-Y39</f>
        <v>0</v>
      </c>
      <c r="AA39" s="77">
        <f>+T39-K39</f>
        <v>0</v>
      </c>
      <c r="AB39" s="2"/>
      <c r="AC39" s="47"/>
      <c r="AD39" s="47"/>
      <c r="AE39" s="47"/>
      <c r="AF39" s="45"/>
      <c r="AG39" s="79">
        <v>0</v>
      </c>
      <c r="AH39" s="48">
        <f>+P39-V39-X39</f>
        <v>0</v>
      </c>
      <c r="AI39" s="48">
        <f>+AG39-AH39</f>
        <v>0</v>
      </c>
      <c r="AJ39" s="25"/>
    </row>
    <row r="40" spans="1:36" ht="12" customHeight="1" x14ac:dyDescent="0.35">
      <c r="A40" s="2"/>
      <c r="B40" s="43"/>
      <c r="C40" s="44"/>
      <c r="D40" s="45"/>
      <c r="E40" s="45"/>
      <c r="F40" s="46"/>
      <c r="G40" s="2"/>
      <c r="H40" s="91"/>
      <c r="I40" s="43"/>
      <c r="J40" s="47"/>
      <c r="K40" s="45"/>
      <c r="L40" s="47"/>
      <c r="M40" s="48"/>
      <c r="N40" s="48"/>
      <c r="O40" s="46">
        <f t="shared" si="0"/>
        <v>0</v>
      </c>
      <c r="P40" s="46">
        <f t="shared" ref="P40:P47" si="1">+SUM(M40:O40)</f>
        <v>0</v>
      </c>
      <c r="Q40" s="46">
        <f t="shared" ref="Q40:Q46" si="2">+M40+N40-F40</f>
        <v>0</v>
      </c>
      <c r="R40" s="64"/>
      <c r="S40" s="74"/>
      <c r="T40" s="75"/>
      <c r="U40" s="76"/>
      <c r="V40" s="77">
        <f t="shared" ref="V40:V47" si="3">+U40*N40</f>
        <v>0</v>
      </c>
      <c r="W40" s="78"/>
      <c r="X40" s="77">
        <f t="shared" ref="X40:X47" si="4">+W40*O40</f>
        <v>0</v>
      </c>
      <c r="Y40" s="77"/>
      <c r="Z40" s="77">
        <f t="shared" ref="Z40:Z47" si="5">+V40+X40-Y40</f>
        <v>0</v>
      </c>
      <c r="AA40" s="77">
        <f t="shared" ref="AA40:AA47" si="6">+T40-K40</f>
        <v>0</v>
      </c>
      <c r="AB40" s="2"/>
      <c r="AC40" s="47"/>
      <c r="AD40" s="47"/>
      <c r="AE40" s="47"/>
      <c r="AF40" s="45"/>
      <c r="AG40" s="79">
        <v>0</v>
      </c>
      <c r="AH40" s="48">
        <f t="shared" ref="AH40:AH47" si="7">+P40-V40-X40</f>
        <v>0</v>
      </c>
      <c r="AI40" s="48">
        <f t="shared" ref="AI40:AI47" si="8">+AG40-AH40</f>
        <v>0</v>
      </c>
      <c r="AJ40" s="25"/>
    </row>
    <row r="41" spans="1:36" ht="12" customHeight="1" x14ac:dyDescent="0.35">
      <c r="A41" s="2"/>
      <c r="B41" s="43"/>
      <c r="C41" s="44"/>
      <c r="D41" s="45"/>
      <c r="E41" s="45"/>
      <c r="F41" s="46"/>
      <c r="H41" s="91"/>
      <c r="I41" s="49"/>
      <c r="J41" s="49"/>
      <c r="K41" s="49"/>
      <c r="L41" s="49"/>
      <c r="M41" s="48"/>
      <c r="N41" s="48"/>
      <c r="O41" s="46">
        <f t="shared" si="0"/>
        <v>0</v>
      </c>
      <c r="P41" s="46">
        <f t="shared" si="1"/>
        <v>0</v>
      </c>
      <c r="Q41" s="46">
        <f t="shared" si="2"/>
        <v>0</v>
      </c>
      <c r="R41" s="64"/>
      <c r="S41" s="74"/>
      <c r="T41" s="75"/>
      <c r="U41" s="76"/>
      <c r="V41" s="77">
        <f t="shared" si="3"/>
        <v>0</v>
      </c>
      <c r="W41" s="78"/>
      <c r="X41" s="77">
        <f t="shared" si="4"/>
        <v>0</v>
      </c>
      <c r="Y41" s="77"/>
      <c r="Z41" s="77">
        <f t="shared" si="5"/>
        <v>0</v>
      </c>
      <c r="AA41" s="77">
        <f t="shared" si="6"/>
        <v>0</v>
      </c>
      <c r="AB41" s="2"/>
      <c r="AC41" s="47"/>
      <c r="AD41" s="47"/>
      <c r="AE41" s="47" t="s">
        <v>28</v>
      </c>
      <c r="AF41" s="45"/>
      <c r="AG41" s="79">
        <v>0</v>
      </c>
      <c r="AH41" s="48">
        <f t="shared" si="7"/>
        <v>0</v>
      </c>
      <c r="AI41" s="48">
        <f t="shared" si="8"/>
        <v>0</v>
      </c>
      <c r="AJ41" s="25"/>
    </row>
    <row r="42" spans="1:36" ht="12" customHeight="1" x14ac:dyDescent="0.35">
      <c r="A42" s="2"/>
      <c r="B42" s="43"/>
      <c r="C42" s="44"/>
      <c r="D42" s="45"/>
      <c r="E42" s="45"/>
      <c r="F42" s="46"/>
      <c r="H42" s="91"/>
      <c r="I42" s="49"/>
      <c r="J42" s="49"/>
      <c r="K42" s="49"/>
      <c r="L42" s="49"/>
      <c r="M42" s="48"/>
      <c r="N42" s="48"/>
      <c r="O42" s="46">
        <f t="shared" si="0"/>
        <v>0</v>
      </c>
      <c r="P42" s="46">
        <f t="shared" si="1"/>
        <v>0</v>
      </c>
      <c r="Q42" s="46">
        <f t="shared" si="2"/>
        <v>0</v>
      </c>
      <c r="R42" s="64"/>
      <c r="S42" s="74"/>
      <c r="T42" s="75"/>
      <c r="U42" s="76"/>
      <c r="V42" s="77">
        <f t="shared" si="3"/>
        <v>0</v>
      </c>
      <c r="W42" s="78"/>
      <c r="X42" s="77">
        <f t="shared" si="4"/>
        <v>0</v>
      </c>
      <c r="Y42" s="77"/>
      <c r="Z42" s="77">
        <f t="shared" si="5"/>
        <v>0</v>
      </c>
      <c r="AA42" s="77">
        <f t="shared" si="6"/>
        <v>0</v>
      </c>
      <c r="AB42" s="2"/>
      <c r="AC42" s="47"/>
      <c r="AD42" s="47"/>
      <c r="AE42" s="47"/>
      <c r="AF42" s="45"/>
      <c r="AG42" s="79">
        <v>0</v>
      </c>
      <c r="AH42" s="48">
        <f t="shared" si="7"/>
        <v>0</v>
      </c>
      <c r="AI42" s="48">
        <f t="shared" si="8"/>
        <v>0</v>
      </c>
      <c r="AJ42" s="25"/>
    </row>
    <row r="43" spans="1:36" ht="12" customHeight="1" x14ac:dyDescent="0.35">
      <c r="A43" s="2"/>
      <c r="B43" s="43"/>
      <c r="C43" s="44"/>
      <c r="D43" s="45"/>
      <c r="E43" s="45"/>
      <c r="F43" s="46"/>
      <c r="H43" s="91"/>
      <c r="I43" s="49"/>
      <c r="J43" s="49"/>
      <c r="K43" s="49"/>
      <c r="L43" s="49"/>
      <c r="M43" s="48"/>
      <c r="N43" s="48"/>
      <c r="O43" s="46">
        <f t="shared" si="0"/>
        <v>0</v>
      </c>
      <c r="P43" s="46">
        <f t="shared" si="1"/>
        <v>0</v>
      </c>
      <c r="Q43" s="46">
        <f t="shared" si="2"/>
        <v>0</v>
      </c>
      <c r="R43" s="64"/>
      <c r="S43" s="74"/>
      <c r="T43" s="75"/>
      <c r="U43" s="76"/>
      <c r="V43" s="77">
        <f t="shared" si="3"/>
        <v>0</v>
      </c>
      <c r="W43" s="78"/>
      <c r="X43" s="77">
        <f t="shared" si="4"/>
        <v>0</v>
      </c>
      <c r="Y43" s="77"/>
      <c r="Z43" s="77">
        <f t="shared" si="5"/>
        <v>0</v>
      </c>
      <c r="AA43" s="77">
        <f t="shared" si="6"/>
        <v>0</v>
      </c>
      <c r="AB43" s="2"/>
      <c r="AC43" s="47"/>
      <c r="AD43" s="47"/>
      <c r="AE43" s="47"/>
      <c r="AF43" s="45"/>
      <c r="AG43" s="79">
        <v>0</v>
      </c>
      <c r="AH43" s="48">
        <f t="shared" si="7"/>
        <v>0</v>
      </c>
      <c r="AI43" s="48">
        <f t="shared" si="8"/>
        <v>0</v>
      </c>
      <c r="AJ43" s="25"/>
    </row>
    <row r="44" spans="1:36" ht="12" customHeight="1" x14ac:dyDescent="0.35">
      <c r="A44" s="2"/>
      <c r="B44" s="43"/>
      <c r="C44" s="44"/>
      <c r="D44" s="45"/>
      <c r="E44" s="45"/>
      <c r="F44" s="46"/>
      <c r="H44" s="91"/>
      <c r="I44" s="49"/>
      <c r="J44" s="49"/>
      <c r="K44" s="49"/>
      <c r="L44" s="49"/>
      <c r="M44" s="48"/>
      <c r="N44" s="48"/>
      <c r="O44" s="46">
        <f t="shared" si="0"/>
        <v>0</v>
      </c>
      <c r="P44" s="46">
        <f t="shared" si="1"/>
        <v>0</v>
      </c>
      <c r="Q44" s="46">
        <f t="shared" si="2"/>
        <v>0</v>
      </c>
      <c r="R44" s="64"/>
      <c r="S44" s="74"/>
      <c r="T44" s="75"/>
      <c r="U44" s="76"/>
      <c r="V44" s="77">
        <f t="shared" si="3"/>
        <v>0</v>
      </c>
      <c r="W44" s="78"/>
      <c r="X44" s="77">
        <f t="shared" si="4"/>
        <v>0</v>
      </c>
      <c r="Y44" s="77"/>
      <c r="Z44" s="77">
        <f t="shared" si="5"/>
        <v>0</v>
      </c>
      <c r="AA44" s="77">
        <f t="shared" si="6"/>
        <v>0</v>
      </c>
      <c r="AB44" s="2"/>
      <c r="AC44" s="47"/>
      <c r="AD44" s="47"/>
      <c r="AE44" s="47"/>
      <c r="AF44" s="45"/>
      <c r="AG44" s="79">
        <v>0</v>
      </c>
      <c r="AH44" s="48">
        <f t="shared" si="7"/>
        <v>0</v>
      </c>
      <c r="AI44" s="48">
        <f t="shared" si="8"/>
        <v>0</v>
      </c>
      <c r="AJ44" s="25"/>
    </row>
    <row r="45" spans="1:36" ht="12" customHeight="1" x14ac:dyDescent="0.35">
      <c r="A45" s="2"/>
      <c r="B45" s="43"/>
      <c r="C45" s="44"/>
      <c r="D45" s="45"/>
      <c r="E45" s="45"/>
      <c r="F45" s="46"/>
      <c r="H45" s="91"/>
      <c r="I45" s="49"/>
      <c r="J45" s="49"/>
      <c r="K45" s="49"/>
      <c r="L45" s="49"/>
      <c r="M45" s="48"/>
      <c r="N45" s="48"/>
      <c r="O45" s="46">
        <f t="shared" si="0"/>
        <v>0</v>
      </c>
      <c r="P45" s="46">
        <f t="shared" si="1"/>
        <v>0</v>
      </c>
      <c r="Q45" s="46">
        <f t="shared" si="2"/>
        <v>0</v>
      </c>
      <c r="R45" s="64"/>
      <c r="S45" s="74"/>
      <c r="T45" s="75"/>
      <c r="U45" s="76"/>
      <c r="V45" s="77">
        <f t="shared" si="3"/>
        <v>0</v>
      </c>
      <c r="W45" s="78"/>
      <c r="X45" s="77">
        <f t="shared" si="4"/>
        <v>0</v>
      </c>
      <c r="Y45" s="77"/>
      <c r="Z45" s="77">
        <f t="shared" si="5"/>
        <v>0</v>
      </c>
      <c r="AA45" s="77">
        <f t="shared" si="6"/>
        <v>0</v>
      </c>
      <c r="AB45" s="2"/>
      <c r="AC45" s="47"/>
      <c r="AD45" s="47"/>
      <c r="AE45" s="47"/>
      <c r="AF45" s="45"/>
      <c r="AG45" s="79">
        <v>0</v>
      </c>
      <c r="AH45" s="48">
        <f t="shared" si="7"/>
        <v>0</v>
      </c>
      <c r="AI45" s="48">
        <f t="shared" si="8"/>
        <v>0</v>
      </c>
      <c r="AJ45" s="25"/>
    </row>
    <row r="46" spans="1:36" ht="12" customHeight="1" x14ac:dyDescent="0.35">
      <c r="A46" s="2"/>
      <c r="B46" s="43"/>
      <c r="C46" s="44"/>
      <c r="D46" s="45"/>
      <c r="E46" s="45"/>
      <c r="F46" s="46"/>
      <c r="H46" s="91"/>
      <c r="I46" s="49"/>
      <c r="J46" s="49"/>
      <c r="K46" s="49"/>
      <c r="L46" s="49"/>
      <c r="M46" s="48"/>
      <c r="N46" s="48"/>
      <c r="O46" s="46">
        <f t="shared" si="0"/>
        <v>0</v>
      </c>
      <c r="P46" s="46">
        <f t="shared" si="1"/>
        <v>0</v>
      </c>
      <c r="Q46" s="46">
        <f t="shared" si="2"/>
        <v>0</v>
      </c>
      <c r="R46" s="64"/>
      <c r="S46" s="74"/>
      <c r="T46" s="75"/>
      <c r="U46" s="76"/>
      <c r="V46" s="77">
        <f t="shared" si="3"/>
        <v>0</v>
      </c>
      <c r="W46" s="78"/>
      <c r="X46" s="77">
        <f t="shared" si="4"/>
        <v>0</v>
      </c>
      <c r="Y46" s="77"/>
      <c r="Z46" s="77">
        <f t="shared" si="5"/>
        <v>0</v>
      </c>
      <c r="AA46" s="77">
        <f t="shared" si="6"/>
        <v>0</v>
      </c>
      <c r="AB46" s="2"/>
      <c r="AC46" s="47"/>
      <c r="AD46" s="47"/>
      <c r="AE46" s="47"/>
      <c r="AF46" s="45"/>
      <c r="AG46" s="79">
        <v>0</v>
      </c>
      <c r="AH46" s="48">
        <f t="shared" si="7"/>
        <v>0</v>
      </c>
      <c r="AI46" s="48">
        <f t="shared" si="8"/>
        <v>0</v>
      </c>
      <c r="AJ46" s="25"/>
    </row>
    <row r="47" spans="1:36" ht="12" customHeight="1" x14ac:dyDescent="0.35">
      <c r="A47" s="2"/>
      <c r="B47" s="43"/>
      <c r="C47" s="44"/>
      <c r="D47" s="45"/>
      <c r="E47" s="45"/>
      <c r="F47" s="46"/>
      <c r="H47" s="91"/>
      <c r="I47" s="49"/>
      <c r="J47" s="49"/>
      <c r="K47" s="49"/>
      <c r="L47" s="49"/>
      <c r="M47" s="48"/>
      <c r="N47" s="48"/>
      <c r="O47" s="46">
        <f t="shared" si="0"/>
        <v>0</v>
      </c>
      <c r="P47" s="46">
        <f t="shared" si="1"/>
        <v>0</v>
      </c>
      <c r="Q47" s="46">
        <f>+M47+N47-F47</f>
        <v>0</v>
      </c>
      <c r="R47" s="64"/>
      <c r="S47" s="74"/>
      <c r="T47" s="75"/>
      <c r="U47" s="76"/>
      <c r="V47" s="77">
        <f t="shared" si="3"/>
        <v>0</v>
      </c>
      <c r="W47" s="78"/>
      <c r="X47" s="77">
        <f t="shared" si="4"/>
        <v>0</v>
      </c>
      <c r="Y47" s="77"/>
      <c r="Z47" s="77">
        <f t="shared" si="5"/>
        <v>0</v>
      </c>
      <c r="AA47" s="77">
        <f t="shared" si="6"/>
        <v>0</v>
      </c>
      <c r="AB47" s="2"/>
      <c r="AC47" s="47"/>
      <c r="AD47" s="47"/>
      <c r="AE47" s="47"/>
      <c r="AF47" s="45"/>
      <c r="AG47" s="79">
        <v>0</v>
      </c>
      <c r="AH47" s="48">
        <f t="shared" si="7"/>
        <v>0</v>
      </c>
      <c r="AI47" s="48">
        <f t="shared" si="8"/>
        <v>0</v>
      </c>
      <c r="AJ47" s="25"/>
    </row>
    <row r="48" spans="1:36" ht="7" customHeight="1" x14ac:dyDescent="0.35">
      <c r="A48" s="2"/>
      <c r="B48" s="50"/>
      <c r="C48" s="51"/>
      <c r="D48" s="52"/>
      <c r="E48" s="52"/>
      <c r="F48" s="53"/>
      <c r="M48" s="53"/>
      <c r="N48" s="53"/>
      <c r="O48" s="53"/>
      <c r="P48" s="54"/>
      <c r="Q48" s="54"/>
      <c r="R48" s="54"/>
      <c r="S48" s="2"/>
      <c r="T48" s="52"/>
      <c r="U48" s="66"/>
      <c r="V48" s="67"/>
      <c r="W48" s="68"/>
      <c r="X48" s="67"/>
      <c r="Y48" s="67"/>
      <c r="Z48" s="67"/>
      <c r="AA48" s="67"/>
      <c r="AB48" s="2"/>
      <c r="AC48" s="2"/>
      <c r="AD48" s="2"/>
      <c r="AE48" s="2"/>
      <c r="AF48" s="52"/>
      <c r="AG48" s="55"/>
      <c r="AH48" s="55"/>
      <c r="AI48" s="55"/>
      <c r="AJ48" s="25"/>
    </row>
    <row r="49" spans="1:36" ht="12" customHeight="1" thickBot="1" x14ac:dyDescent="0.4">
      <c r="A49" s="2"/>
      <c r="B49" s="88"/>
      <c r="C49" s="89"/>
      <c r="D49" s="90"/>
      <c r="E49" s="90"/>
      <c r="F49" s="56">
        <f>+SUM(F39:F47)</f>
        <v>0</v>
      </c>
      <c r="G49" s="2"/>
      <c r="H49" s="88"/>
      <c r="Q49" s="56">
        <f>+SUM(Q39:Q47)</f>
        <v>0</v>
      </c>
      <c r="R49" s="65"/>
      <c r="S49" s="65"/>
      <c r="T49" s="65"/>
      <c r="U49" s="65"/>
      <c r="V49" s="65"/>
      <c r="W49" s="65"/>
      <c r="X49" s="65"/>
      <c r="Y49" s="65"/>
      <c r="Z49" s="56">
        <f>+SUM(Z39:Z47)</f>
        <v>0</v>
      </c>
      <c r="AA49" s="65"/>
      <c r="AB49" s="2"/>
      <c r="AC49" s="95"/>
      <c r="AD49" s="95"/>
      <c r="AE49" s="95"/>
      <c r="AF49" s="90"/>
      <c r="AG49" s="65"/>
      <c r="AH49" s="65"/>
      <c r="AI49" s="56">
        <f t="shared" ref="AI49" si="9">+SUM(AI39:AI47)</f>
        <v>0</v>
      </c>
      <c r="AJ49" s="25"/>
    </row>
    <row r="50" spans="1:36" thickTop="1" x14ac:dyDescent="0.35">
      <c r="A50" s="2"/>
      <c r="B50" s="50"/>
      <c r="C50" s="51"/>
      <c r="D50" s="52"/>
      <c r="E50" s="52"/>
      <c r="F50" s="57" t="s">
        <v>93</v>
      </c>
      <c r="G50" s="2"/>
      <c r="H50" s="50"/>
      <c r="I50" s="50"/>
      <c r="J50" s="2"/>
      <c r="K50" s="52"/>
      <c r="L50" s="2"/>
      <c r="M50" s="53"/>
      <c r="N50" s="53"/>
      <c r="O50" s="53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2"/>
      <c r="AC50" s="2"/>
      <c r="AD50" s="2"/>
      <c r="AE50" s="2"/>
      <c r="AF50" s="52"/>
      <c r="AG50" s="55"/>
      <c r="AH50" s="55"/>
      <c r="AI50" s="55"/>
      <c r="AJ50" s="25"/>
    </row>
    <row r="51" spans="1:36" ht="12" customHeight="1" x14ac:dyDescent="0.35">
      <c r="A51" s="2"/>
      <c r="B51" s="3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2" customHeight="1" x14ac:dyDescent="0.35">
      <c r="A52" s="2"/>
      <c r="B52" s="58" t="s">
        <v>65</v>
      </c>
      <c r="C52" s="3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7" customHeight="1" x14ac:dyDescent="0.35">
      <c r="A53" s="2"/>
      <c r="B53" s="58"/>
      <c r="C53" s="3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3" customHeight="1" x14ac:dyDescent="0.35">
      <c r="A54" s="59"/>
      <c r="B54" s="31" t="s">
        <v>22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3" customHeight="1" x14ac:dyDescent="0.35">
      <c r="A55" s="59"/>
      <c r="B55" s="31" t="s">
        <v>84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3" customHeight="1" x14ac:dyDescent="0.35">
      <c r="A56" s="59"/>
      <c r="B56" s="31" t="s">
        <v>23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3" customHeight="1" x14ac:dyDescent="0.35">
      <c r="A57" s="59"/>
      <c r="B57" s="31" t="s">
        <v>24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3" customHeight="1" x14ac:dyDescent="0.35">
      <c r="A58" s="59"/>
      <c r="B58" s="31" t="s">
        <v>66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2" customHeight="1" x14ac:dyDescent="0.35">
      <c r="A59" s="25"/>
      <c r="B59" s="6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2" customHeight="1" x14ac:dyDescent="0.35">
      <c r="A60" s="25"/>
      <c r="B60" s="87" t="s">
        <v>88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7" customHeight="1" x14ac:dyDescent="0.35">
      <c r="A61" s="25"/>
      <c r="B61" s="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2" customHeight="1" x14ac:dyDescent="0.35">
      <c r="A62" s="27" t="s">
        <v>25</v>
      </c>
      <c r="B62" s="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2" customHeight="1" x14ac:dyDescent="0.35">
      <c r="A63" s="27" t="s">
        <v>26</v>
      </c>
      <c r="B63" s="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2" customHeight="1" x14ac:dyDescent="0.35">
      <c r="A64" s="27" t="s">
        <v>27</v>
      </c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2" customHeight="1" x14ac:dyDescent="0.35">
      <c r="A65" s="2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2" customHeight="1" x14ac:dyDescent="0.35">
      <c r="A66" s="28" t="s">
        <v>28</v>
      </c>
      <c r="B66" s="26" t="s">
        <v>29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7" customHeight="1" x14ac:dyDescent="0.35">
      <c r="A67" s="28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2" customHeight="1" x14ac:dyDescent="0.35">
      <c r="A68" s="27" t="s">
        <v>30</v>
      </c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2" customHeight="1" x14ac:dyDescent="0.35">
      <c r="A69" s="27" t="s">
        <v>31</v>
      </c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2" customHeight="1" x14ac:dyDescent="0.35">
      <c r="A70" s="27" t="s">
        <v>32</v>
      </c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2" customHeight="1" x14ac:dyDescent="0.35">
      <c r="A71" s="2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2" customHeight="1" x14ac:dyDescent="0.35">
      <c r="A72" s="2"/>
      <c r="B72" s="26" t="s">
        <v>33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7" customHeight="1" x14ac:dyDescent="0.35">
      <c r="A73" s="2"/>
      <c r="B73" s="2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2" customHeight="1" x14ac:dyDescent="0.35">
      <c r="A74" s="27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2" customHeight="1" x14ac:dyDescent="0.35">
      <c r="A75" s="27" t="s">
        <v>35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2" customHeight="1" x14ac:dyDescent="0.35">
      <c r="A76" s="27" t="s">
        <v>36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2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2" customHeight="1" x14ac:dyDescent="0.35">
      <c r="A78" s="2"/>
      <c r="B78" s="26" t="s">
        <v>37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7" customHeight="1" x14ac:dyDescent="0.35">
      <c r="A79" s="2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2" customHeight="1" x14ac:dyDescent="0.35">
      <c r="A80" s="2"/>
      <c r="B80" s="62" t="s">
        <v>86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2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2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2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2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2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2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2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2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2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2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2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2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2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2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2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2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2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2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2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2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2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2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2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2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2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2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2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2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2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2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2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2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2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2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2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2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2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2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2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2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2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2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2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2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2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2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2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2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2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2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2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2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2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2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2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2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2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2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2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2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2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2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2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2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2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2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2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2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2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2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2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2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2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2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2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2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2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2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2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2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2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2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2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2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2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2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2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2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2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2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2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2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2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2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2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2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2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2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2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2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2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2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2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2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2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2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2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2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2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2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2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2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2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2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2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2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2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2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2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2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2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2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2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2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2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2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2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2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2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2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2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2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2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2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2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2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2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2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2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2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2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2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2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2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2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2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2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2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2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2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2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2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2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2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2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2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2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2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2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2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2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2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2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2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2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2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2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2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2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2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2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2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2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2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2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2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2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2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2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2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2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2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2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2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2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2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2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2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2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2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2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2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2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2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2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2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2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2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2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2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2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2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2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2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2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2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2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2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2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2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2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2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2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2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2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2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2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2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2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2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2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2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2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2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2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2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2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2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2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2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2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2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2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2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2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2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2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2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2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2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2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2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2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2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2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2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2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2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2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2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2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2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2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2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2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2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2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2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2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2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2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2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2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2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2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2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2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2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2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2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2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2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2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2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2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2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2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2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2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2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2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2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2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2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2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2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2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2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2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2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2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2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2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2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2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2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2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2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2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2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2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2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2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2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2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2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2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2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2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2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2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2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2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2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2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2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2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2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2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2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2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2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2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2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2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2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2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2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2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2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2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2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2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2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2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2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2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2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2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2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2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2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2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2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2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2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2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2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2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2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2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2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2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2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2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2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2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2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2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2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2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2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2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2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2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2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2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2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2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2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2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2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2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2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2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2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2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2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2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2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2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2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2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2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2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2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2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2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2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2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2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2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2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2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2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2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2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2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2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2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2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2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2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2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2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2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2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2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2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2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2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2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2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2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2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2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2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2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2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2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2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2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2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2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2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2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2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2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2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2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2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2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2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2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2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2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2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2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2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2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2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2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2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2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2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2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2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2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2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2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2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2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2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2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2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2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2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2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2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2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2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2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2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2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2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2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2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2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2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2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2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2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2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2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2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2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2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2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2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2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2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2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2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2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2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2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2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2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2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2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2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2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2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2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2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2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2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2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2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2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2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2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2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2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2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2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2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2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2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2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2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2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2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2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2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2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2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2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2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2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2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2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2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2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2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2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2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2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2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2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2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2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2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2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2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2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2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2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2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2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2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2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2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2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2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2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2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2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2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2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2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2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2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2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2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2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2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2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2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2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2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2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2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2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2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2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2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2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2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2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2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2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2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2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2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2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2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2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2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2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2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2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2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2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2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2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2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2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2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2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2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2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2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2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2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2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2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2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2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2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2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2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2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2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2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2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2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2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2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2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2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2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2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2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2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2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2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2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2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2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2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2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2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2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2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2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2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2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2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2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2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2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2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2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2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2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2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2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2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2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2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2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2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2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2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2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2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2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2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2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2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2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2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2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2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2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2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2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2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2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2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2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2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2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2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2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2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2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2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2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2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2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2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2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2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2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2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2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2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2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2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2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2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2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2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2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2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2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2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2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2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2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2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2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2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2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2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2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2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2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2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2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2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2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2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2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2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2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2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2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2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2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2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2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2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2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2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2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2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2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2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2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2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2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2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2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2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2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2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2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2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2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2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2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2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2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2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2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2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2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2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2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2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2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2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2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2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2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2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2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2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2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2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2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2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2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2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2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2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2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2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2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2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2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2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2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2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2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2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2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2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2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2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2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2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2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2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2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2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2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2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2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2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2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2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2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2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2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2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2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2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2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2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2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2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2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2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2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2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2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2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2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2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2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2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2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2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2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2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2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2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2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2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2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2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2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2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2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2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2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2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2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2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2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2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2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2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2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2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2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2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2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2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2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2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2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2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2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2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2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2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2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2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2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2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2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2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2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2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2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2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2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2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2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2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2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2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2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2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2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2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2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2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2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2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2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2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2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2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2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2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2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2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2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2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2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2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2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2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2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2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2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2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2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2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2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2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2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2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2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2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2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2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2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2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2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2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2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2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2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2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2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2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2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2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2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2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2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2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2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2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2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2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2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2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2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</sheetData>
  <mergeCells count="11">
    <mergeCell ref="B36:F36"/>
    <mergeCell ref="H36:L36"/>
    <mergeCell ref="AC36:AI36"/>
    <mergeCell ref="B37:F37"/>
    <mergeCell ref="I37:P37"/>
    <mergeCell ref="S36:AA36"/>
    <mergeCell ref="S37:X37"/>
    <mergeCell ref="Y37:AA37"/>
    <mergeCell ref="M36:P36"/>
    <mergeCell ref="Q36:Q38"/>
    <mergeCell ref="AC37:AI37"/>
  </mergeCells>
  <dataValidations count="1">
    <dataValidation type="list" allowBlank="1" showInputMessage="1" showErrorMessage="1" sqref="H39:H47" xr:uid="{C0B8AEBE-1F14-4A85-ACED-688C27E8DE8F}">
      <formula1>$A$36:$A$37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1.05.01</vt:lpstr>
      <vt:lpstr>1.05.02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2023-05-10T16:51:37Z</dcterms:created>
  <dcterms:modified xsi:type="dcterms:W3CDTF">2026-04-17T00:40:44Z</dcterms:modified>
</cp:coreProperties>
</file>