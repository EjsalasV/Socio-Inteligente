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4. Activos por impuestos corrientes\"/>
    </mc:Choice>
  </mc:AlternateContent>
  <xr:revisionPtr revIDLastSave="0" documentId="13_ncr:1_{F110A2D7-9378-4060-9A6A-B7C2F7E2458C}" xr6:coauthVersionLast="47" xr6:coauthVersionMax="47" xr10:uidLastSave="{00000000-0000-0000-0000-000000000000}"/>
  <bookViews>
    <workbookView xWindow="-110" yWindow="-110" windowWidth="19420" windowHeight="10300" xr2:uid="{63F071BD-079B-4A99-85DF-C98AF2BF189E}"/>
  </bookViews>
  <sheets>
    <sheet name="136.07" sheetId="1" r:id="rId1"/>
    <sheet name="Listado empresas fantasmas SRI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\0">#REF!</definedName>
    <definedName name="\a">#REF!</definedName>
    <definedName name="\d">#REF!</definedName>
    <definedName name="\m">#REF!</definedName>
    <definedName name="\p">'[1]Bco. Internacional'!#REF!</definedName>
    <definedName name="__">#REF!</definedName>
    <definedName name="___A320000">#REF!</definedName>
    <definedName name="___A66000">#REF!</definedName>
    <definedName name="___A69000">#REF!</definedName>
    <definedName name="___A70000">#REF!</definedName>
    <definedName name="___A99999">#REF!</definedName>
    <definedName name="___M151060">#REF!</definedName>
    <definedName name="___M152040">#REF!</definedName>
    <definedName name="___M152050">'[2]Det. Rec. Prov. Locales {PPC}'!#REF!</definedName>
    <definedName name="___MM11055">#REF!</definedName>
    <definedName name="___MM23616">#REF!</definedName>
    <definedName name="___RSE1">#REF!</definedName>
    <definedName name="___RSE2">#REF!</definedName>
    <definedName name="__A320000">[3]CoberturaSeg!$A$32009</definedName>
    <definedName name="__A66000">[3]CoberturaSeg!$A$65009</definedName>
    <definedName name="__A69000">[3]CoberturaSeg!$A$65009</definedName>
    <definedName name="__A70000">[3]CoberturaSeg!$A$50009</definedName>
    <definedName name="__A99999">[3]CoberturaSeg!$A$32009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151060">#REF!</definedName>
    <definedName name="__M152040">#REF!</definedName>
    <definedName name="__M152050">'[2]Det. Rec. Prov. Locales {PPC}'!#REF!</definedName>
    <definedName name="__MM11055">#REF!</definedName>
    <definedName name="__MM23616">#REF!</definedName>
    <definedName name="__ND1">#REF!</definedName>
    <definedName name="__ND2" hidden="1">{#N/A,#N/A,FALSE,"Aging Summary";#N/A,#N/A,FALSE,"Ratio Analysis";#N/A,#N/A,FALSE,"Test 120 Day Accts";#N/A,#N/A,FALSE,"Tickmarks"}</definedName>
    <definedName name="__ND3" hidden="1">#REF!</definedName>
    <definedName name="__OB98008">'[4]OBB 31-dic-00'!#REF!</definedName>
    <definedName name="__OB98025">'[4]OBB 31-dic-00'!#REF!</definedName>
    <definedName name="__Pag1">#REF!</definedName>
    <definedName name="__pr1">#REF!</definedName>
    <definedName name="__RSE1">#REF!</definedName>
    <definedName name="__RSE2">#REF!</definedName>
    <definedName name="_02">#REF!</definedName>
    <definedName name="_10">#REF!</definedName>
    <definedName name="_1001">#REF!</definedName>
    <definedName name="_100101">#REF!</definedName>
    <definedName name="_10010101">#REF!</definedName>
    <definedName name="_1001010101">#REF!</definedName>
    <definedName name="_1001010102">#REF!</definedName>
    <definedName name="_10010102">#REF!</definedName>
    <definedName name="_1001010201">#REF!</definedName>
    <definedName name="_1001010202">#REF!</definedName>
    <definedName name="_10010103">#REF!</definedName>
    <definedName name="_1001010301">#REF!</definedName>
    <definedName name="_1001010302">#REF!</definedName>
    <definedName name="_10010104">#REF!</definedName>
    <definedName name="_1001010401">#REF!</definedName>
    <definedName name="_1001010402">#REF!</definedName>
    <definedName name="_100102">#REF!</definedName>
    <definedName name="_100103">#REF!</definedName>
    <definedName name="_100104">#REF!</definedName>
    <definedName name="_10010401">#REF!</definedName>
    <definedName name="_1001040101">#REF!</definedName>
    <definedName name="_1001040102">#REF!</definedName>
    <definedName name="_10010402">#REF!</definedName>
    <definedName name="_100105">#REF!</definedName>
    <definedName name="_100106">#REF!</definedName>
    <definedName name="_100107">#REF!</definedName>
    <definedName name="_100108">#REF!</definedName>
    <definedName name="_100109">#REF!</definedName>
    <definedName name="_10010901">#REF!</definedName>
    <definedName name="_1001090101">#REF!</definedName>
    <definedName name="_10010902">#REF!</definedName>
    <definedName name="_1001090201">#REF!</definedName>
    <definedName name="_1002">#REF!</definedName>
    <definedName name="_100201">#REF!</definedName>
    <definedName name="_10020101">#REF!</definedName>
    <definedName name="_1002010101">#REF!</definedName>
    <definedName name="_1002010102">#REF!</definedName>
    <definedName name="_100202">#REF!</definedName>
    <definedName name="_10020201">#REF!</definedName>
    <definedName name="_1002020101">#REF!</definedName>
    <definedName name="_1002020102">#REF!</definedName>
    <definedName name="_1002020103">#REF!</definedName>
    <definedName name="_1002020104">#REF!</definedName>
    <definedName name="_1002020105">#REF!</definedName>
    <definedName name="_10020202">#REF!</definedName>
    <definedName name="_1002020201">#REF!</definedName>
    <definedName name="_1002020202">#REF!</definedName>
    <definedName name="_1002020203">#REF!</definedName>
    <definedName name="_10020203">#REF!</definedName>
    <definedName name="_1002020301">#REF!</definedName>
    <definedName name="_10020204">#REF!</definedName>
    <definedName name="_1002020401">#REF!</definedName>
    <definedName name="_1002020402">#REF!</definedName>
    <definedName name="_1002020403">#REF!</definedName>
    <definedName name="_1002020404">#REF!</definedName>
    <definedName name="_1002020405">#REF!</definedName>
    <definedName name="_100203">#REF!</definedName>
    <definedName name="_100204">#REF!</definedName>
    <definedName name="_10020401">#REF!</definedName>
    <definedName name="_100205">#REF!</definedName>
    <definedName name="_10020501">#REF!</definedName>
    <definedName name="_1002050101">#REF!</definedName>
    <definedName name="_1002050102">#REF!</definedName>
    <definedName name="_1002050103">#REF!</definedName>
    <definedName name="_1002050104">#REF!</definedName>
    <definedName name="_1002050105">#REF!</definedName>
    <definedName name="_1002050106">#REF!</definedName>
    <definedName name="_10020502">#REF!</definedName>
    <definedName name="_1002050201">#REF!</definedName>
    <definedName name="_1002050202">#REF!</definedName>
    <definedName name="_1002050203">#REF!</definedName>
    <definedName name="_100206">#REF!</definedName>
    <definedName name="_10020601">#REF!</definedName>
    <definedName name="_1002060101">#REF!</definedName>
    <definedName name="_1002060102">#REF!</definedName>
    <definedName name="_1002060103">#REF!</definedName>
    <definedName name="_100207">#REF!</definedName>
    <definedName name="_10020701">#REF!</definedName>
    <definedName name="_1002070101">#REF!</definedName>
    <definedName name="_1002070102">#REF!</definedName>
    <definedName name="_1002070103">#REF!</definedName>
    <definedName name="_1002070104">#REF!</definedName>
    <definedName name="_1002070105">#REF!</definedName>
    <definedName name="_1002070106">#REF!</definedName>
    <definedName name="_10020702">#REF!</definedName>
    <definedName name="_1002070201">#REF!</definedName>
    <definedName name="_100208">#REF!</definedName>
    <definedName name="_11050501._Pananorte">#REF!</definedName>
    <definedName name="_15">[5]ER!$P$167</definedName>
    <definedName name="_20">#REF!</definedName>
    <definedName name="_2001">#REF!</definedName>
    <definedName name="_200101">#REF!</definedName>
    <definedName name="_20010101">#REF!</definedName>
    <definedName name="_2001010101">#REF!</definedName>
    <definedName name="_20010102">#REF!</definedName>
    <definedName name="_2001010201">#REF!</definedName>
    <definedName name="_20010103">#REF!</definedName>
    <definedName name="_2001010301">#REF!</definedName>
    <definedName name="_2001010302">#REF!</definedName>
    <definedName name="_200102">#REF!</definedName>
    <definedName name="_20010201">#REF!</definedName>
    <definedName name="_200103">#REF!</definedName>
    <definedName name="_20010301">#REF!</definedName>
    <definedName name="_2001030101">#REF!</definedName>
    <definedName name="_2001030102">#REF!</definedName>
    <definedName name="_200104">#REF!</definedName>
    <definedName name="_2002">#REF!</definedName>
    <definedName name="_200201">#REF!</definedName>
    <definedName name="_2003">#REF!</definedName>
    <definedName name="_200301">#REF!</definedName>
    <definedName name="_2004">#REF!</definedName>
    <definedName name="_200401">#REF!</definedName>
    <definedName name="_25">[5]ER!$P$166</definedName>
    <definedName name="_30">#REF!</definedName>
    <definedName name="_3001">#REF!</definedName>
    <definedName name="_300101">#REF!</definedName>
    <definedName name="_300102">#REF!</definedName>
    <definedName name="_300103">#REF!</definedName>
    <definedName name="_30010301">#REF!</definedName>
    <definedName name="_30010302">#REF!</definedName>
    <definedName name="_300104">#REF!</definedName>
    <definedName name="_300105">#REF!</definedName>
    <definedName name="_300106">#REF!</definedName>
    <definedName name="_3002">#REF!</definedName>
    <definedName name="_300201">#REF!</definedName>
    <definedName name="_30020101">#REF!</definedName>
    <definedName name="_30020102">#REF!</definedName>
    <definedName name="_30020103">#REF!</definedName>
    <definedName name="_3002010301">#REF!</definedName>
    <definedName name="_3002010302">#REF!</definedName>
    <definedName name="_3002010303">#REF!</definedName>
    <definedName name="_30020104">#REF!</definedName>
    <definedName name="_3002010401">#REF!</definedName>
    <definedName name="_30020105">#REF!</definedName>
    <definedName name="_3002010501">#REF!</definedName>
    <definedName name="_3002010502">#REF!</definedName>
    <definedName name="_3002010503">#REF!</definedName>
    <definedName name="_30020106">#REF!</definedName>
    <definedName name="_3002010601">#REF!</definedName>
    <definedName name="_3002010602">#REF!</definedName>
    <definedName name="_3002010603">#REF!</definedName>
    <definedName name="_30020107">#REF!</definedName>
    <definedName name="_3002010701">#REF!</definedName>
    <definedName name="_3002010702">#REF!</definedName>
    <definedName name="_3002010703">#REF!</definedName>
    <definedName name="_3002010704">#REF!</definedName>
    <definedName name="_300202">#REF!</definedName>
    <definedName name="_300203">#REF!</definedName>
    <definedName name="_300204">#REF!</definedName>
    <definedName name="_30020401">#REF!</definedName>
    <definedName name="_3002040101">#REF!</definedName>
    <definedName name="_3002040102">#REF!</definedName>
    <definedName name="_3002040103">#REF!</definedName>
    <definedName name="_3002040104">#REF!</definedName>
    <definedName name="_3002040105">#REF!</definedName>
    <definedName name="_3002040106">#REF!</definedName>
    <definedName name="_3002040107">#REF!</definedName>
    <definedName name="_3002040108">#REF!</definedName>
    <definedName name="_3002040109">#REF!</definedName>
    <definedName name="_3002040110">#REF!</definedName>
    <definedName name="_3002040111">#REF!</definedName>
    <definedName name="_3002040112">#REF!</definedName>
    <definedName name="_3002040113">#REF!</definedName>
    <definedName name="_3002040114">#REF!</definedName>
    <definedName name="_3002040115">#REF!</definedName>
    <definedName name="_3002040116">#REF!</definedName>
    <definedName name="_3002040117">#REF!</definedName>
    <definedName name="_3002040118">#REF!</definedName>
    <definedName name="_3002040119">#REF!</definedName>
    <definedName name="_3002040120">#REF!</definedName>
    <definedName name="_3002040121">#REF!</definedName>
    <definedName name="_3002040122">#REF!</definedName>
    <definedName name="_3002040123">#REF!</definedName>
    <definedName name="_30020402">#REF!</definedName>
    <definedName name="_3002040201">#REF!</definedName>
    <definedName name="_3002040202">#REF!</definedName>
    <definedName name="_3002040203">#REF!</definedName>
    <definedName name="_3002040204">#REF!</definedName>
    <definedName name="_3002040205">#REF!</definedName>
    <definedName name="_3002040206">#REF!</definedName>
    <definedName name="_3002040207">#REF!</definedName>
    <definedName name="_300205">#REF!</definedName>
    <definedName name="_30020501">#REF!</definedName>
    <definedName name="_3002050101">#REF!</definedName>
    <definedName name="_3002050102">#REF!</definedName>
    <definedName name="_3002050103">#REF!</definedName>
    <definedName name="_3002050104">#REF!</definedName>
    <definedName name="_300206">#REF!</definedName>
    <definedName name="_30020601">#REF!</definedName>
    <definedName name="_300207">#REF!</definedName>
    <definedName name="_30020701">#REF!</definedName>
    <definedName name="_3002070101">#REF!</definedName>
    <definedName name="_30020702">#REF!</definedName>
    <definedName name="_3002070201">#REF!</definedName>
    <definedName name="_3002070202">#REF!</definedName>
    <definedName name="_300208">#REF!</definedName>
    <definedName name="_40">[6]ER!$H$9</definedName>
    <definedName name="_4001">[5]ER!$P$9</definedName>
    <definedName name="_400101">#REF!</definedName>
    <definedName name="_40010101">#REF!</definedName>
    <definedName name="_40010102">#REF!</definedName>
    <definedName name="_400102">#REF!</definedName>
    <definedName name="_4002">[6]ER!$H$15</definedName>
    <definedName name="_400201">#REF!</definedName>
    <definedName name="_40020101">#REF!</definedName>
    <definedName name="_400202">#REF!</definedName>
    <definedName name="_40020201">#REF!</definedName>
    <definedName name="_50">[6]ER!$H$20</definedName>
    <definedName name="_5001">#REF!</definedName>
    <definedName name="_500101">#REF!</definedName>
    <definedName name="_50010101">[6]ER!$H$23</definedName>
    <definedName name="_5002">#REF!</definedName>
    <definedName name="_500201">#REF!</definedName>
    <definedName name="_50020101">#REF!</definedName>
    <definedName name="_50020102">#REF!</definedName>
    <definedName name="_50020103">#REF!</definedName>
    <definedName name="_50020104">#REF!</definedName>
    <definedName name="_50020105">#REF!</definedName>
    <definedName name="_50020106">#REF!</definedName>
    <definedName name="_50020107">#REF!</definedName>
    <definedName name="_50020108">#REF!</definedName>
    <definedName name="_50020109">#REF!</definedName>
    <definedName name="_50020110">#REF!</definedName>
    <definedName name="_50020111">#REF!</definedName>
    <definedName name="_5002011101">#REF!</definedName>
    <definedName name="_5002011102">#REF!</definedName>
    <definedName name="_50020112">#REF!</definedName>
    <definedName name="_50020113">#REF!</definedName>
    <definedName name="_50020114">#REF!</definedName>
    <definedName name="_50020115">#REF!</definedName>
    <definedName name="_50020116">#REF!</definedName>
    <definedName name="_50020117">#REF!</definedName>
    <definedName name="_50020118">#REF!</definedName>
    <definedName name="_50020119">#REF!</definedName>
    <definedName name="_50020120">#REF!</definedName>
    <definedName name="_50020121">#REF!</definedName>
    <definedName name="_50020122">#REF!</definedName>
    <definedName name="_50020123">#REF!</definedName>
    <definedName name="_5002012301">#REF!</definedName>
    <definedName name="_50020124">#REF!</definedName>
    <definedName name="_50020125">#REF!</definedName>
    <definedName name="_50020126">#REF!</definedName>
    <definedName name="_50020127">#REF!</definedName>
    <definedName name="_50020128">#REF!</definedName>
    <definedName name="_5002012801">#REF!</definedName>
    <definedName name="_5002012802">#REF!</definedName>
    <definedName name="_5002012803">#REF!</definedName>
    <definedName name="_5002012804">#REF!</definedName>
    <definedName name="_5002012805">#REF!</definedName>
    <definedName name="_5002012806">#REF!</definedName>
    <definedName name="_5002012807">#REF!</definedName>
    <definedName name="_5002012808">#REF!</definedName>
    <definedName name="_5002012809">#REF!</definedName>
    <definedName name="_5002012810">#REF!</definedName>
    <definedName name="_5002012811">#REF!</definedName>
    <definedName name="_5002012812">#REF!</definedName>
    <definedName name="_500202">#REF!</definedName>
    <definedName name="_50020201">#REF!</definedName>
    <definedName name="_50020202">#REF!</definedName>
    <definedName name="_50020203">#REF!</definedName>
    <definedName name="_50020204">#REF!</definedName>
    <definedName name="_50020205">#REF!</definedName>
    <definedName name="_50020206">#REF!</definedName>
    <definedName name="_50020207">#REF!</definedName>
    <definedName name="_50020208">#REF!</definedName>
    <definedName name="_50020209">#REF!</definedName>
    <definedName name="_50020210">#REF!</definedName>
    <definedName name="_5002021001">#REF!</definedName>
    <definedName name="_5002021002">#REF!</definedName>
    <definedName name="_5002021003">#REF!</definedName>
    <definedName name="_5002021004">#REF!</definedName>
    <definedName name="_5002021005">#REF!</definedName>
    <definedName name="_50020211">#REF!</definedName>
    <definedName name="_50020212">#REF!</definedName>
    <definedName name="_50020213">#REF!</definedName>
    <definedName name="_50020214">#REF!</definedName>
    <definedName name="_5002021401">#REF!</definedName>
    <definedName name="_5002021402">#REF!</definedName>
    <definedName name="_50020215">#REF!</definedName>
    <definedName name="_50020216">#REF!</definedName>
    <definedName name="_50020218">#REF!</definedName>
    <definedName name="_50020219">#REF!</definedName>
    <definedName name="_50020220">#REF!</definedName>
    <definedName name="_50020221">#REF!</definedName>
    <definedName name="_50020222">#REF!</definedName>
    <definedName name="_50020223">#REF!</definedName>
    <definedName name="_50020224">#REF!</definedName>
    <definedName name="_50020225">#REF!</definedName>
    <definedName name="_50020226">#REF!</definedName>
    <definedName name="_50020227">#REF!</definedName>
    <definedName name="_5002022701">#REF!</definedName>
    <definedName name="_5002022702">#REF!</definedName>
    <definedName name="_50020228">[5]ER!$P$105</definedName>
    <definedName name="_5002022801">#REF!</definedName>
    <definedName name="_5002022802">#REF!</definedName>
    <definedName name="_50020229">#REF!</definedName>
    <definedName name="_50020230">#REF!</definedName>
    <definedName name="_50020231">#REF!</definedName>
    <definedName name="_50020232">#REF!</definedName>
    <definedName name="_50020233">#REF!</definedName>
    <definedName name="_50020234">#REF!</definedName>
    <definedName name="_50020235">#REF!</definedName>
    <definedName name="_50020236">#REF!</definedName>
    <definedName name="_50020237">#REF!</definedName>
    <definedName name="_50020238">#REF!</definedName>
    <definedName name="_50020239">#REF!</definedName>
    <definedName name="_50020240">#REF!</definedName>
    <definedName name="_50020241">#REF!</definedName>
    <definedName name="_50020242">#REF!</definedName>
    <definedName name="_500203">#REF!</definedName>
    <definedName name="_50020301">#REF!</definedName>
    <definedName name="_50020302">#REF!</definedName>
    <definedName name="_50020303">#REF!</definedName>
    <definedName name="_50020304">#REF!</definedName>
    <definedName name="_50020305">#REF!</definedName>
    <definedName name="_50020306">#REF!</definedName>
    <definedName name="_50020307">#REF!</definedName>
    <definedName name="_50020308">#REF!</definedName>
    <definedName name="_50020309">#REF!</definedName>
    <definedName name="_50020310">#REF!</definedName>
    <definedName name="_5003">#REF!</definedName>
    <definedName name="_500301">#REF!</definedName>
    <definedName name="_50030101">#REF!</definedName>
    <definedName name="_50030102">#REF!</definedName>
    <definedName name="_500302">#REF!</definedName>
    <definedName name="_50030201">#REF!</definedName>
    <definedName name="_50030202">#REF!</definedName>
    <definedName name="_50030203">#REF!</definedName>
    <definedName name="_50030204">#REF!</definedName>
    <definedName name="_50030205">#REF!</definedName>
    <definedName name="_500303">[5]ER!$P$146</definedName>
    <definedName name="_500304">[5]ER!$P$147</definedName>
    <definedName name="_500305">[5]ER!$P$148</definedName>
    <definedName name="_a">#REF!</definedName>
    <definedName name="_a_1">#REF!</definedName>
    <definedName name="_a_12">#REF!</definedName>
    <definedName name="_a_13">#REF!</definedName>
    <definedName name="_a_15">#REF!</definedName>
    <definedName name="_a_16">#REF!</definedName>
    <definedName name="_a_16_1">#REF!</definedName>
    <definedName name="_a_22">#REF!</definedName>
    <definedName name="_a_8">#REF!</definedName>
    <definedName name="_A320000">[3]CoberturaSeg!$A$32009</definedName>
    <definedName name="_A66000">[3]CoberturaSeg!$A$65009</definedName>
    <definedName name="_A69000">[3]CoberturaSeg!$A$65009</definedName>
    <definedName name="_A70000">[3]CoberturaSeg!$A$50009</definedName>
    <definedName name="_A99999">[3]CoberturaSeg!$A$32009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M151060">#REF!</definedName>
    <definedName name="_M152040">#REF!</definedName>
    <definedName name="_M152050">'[2]Det. Rec. Prov. Locales {PPC}'!#REF!</definedName>
    <definedName name="_MM11055">#REF!</definedName>
    <definedName name="_MM23616">#REF!</definedName>
    <definedName name="_ND1">#REF!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B98008">'[4]OBB 31-dic-00'!#REF!</definedName>
    <definedName name="_OB98025">'[4]OBB 31-dic-00'!#REF!</definedName>
    <definedName name="_Order1" hidden="1">255</definedName>
    <definedName name="_Order2" hidden="1">255</definedName>
    <definedName name="_Pag1">#REF!</definedName>
    <definedName name="_pr1">#REF!</definedName>
    <definedName name="_RAN1">#REF!</definedName>
    <definedName name="_RAN2">#REF!</definedName>
    <definedName name="_RAN3">#REF!</definedName>
    <definedName name="_RAN4">#REF!</definedName>
    <definedName name="_Regression_Int" hidden="1">1</definedName>
    <definedName name="_RSE1">#REF!</definedName>
    <definedName name="_RSE2">#REF!</definedName>
    <definedName name="_RSE3">'[7]CMA Calculations- Figure 5440.1'!$I$201</definedName>
    <definedName name="_Sort" hidden="1">#REF!</definedName>
    <definedName name="a" hidden="1">{#N/A,#N/A,FALSE,"Aging Summary";#N/A,#N/A,FALSE,"Ratio Analysis";#N/A,#N/A,FALSE,"Test 120 Day Accts";#N/A,#N/A,FALSE,"Tickmarks"}</definedName>
    <definedName name="A_impresión_IM">#REF!</definedName>
    <definedName name="A_impresión_IM_16">#REF!</definedName>
    <definedName name="A_impresión_IM_22">#REF!</definedName>
    <definedName name="A_impresión_IM_8">#REF!</definedName>
    <definedName name="A_IMPRESIÝN_IM">#REF!</definedName>
    <definedName name="aa" hidden="1">{#N/A,#N/A,FALSE,"Aging Summary";#N/A,#N/A,FALSE,"Ratio Analysis";#N/A,#N/A,FALSE,"Test 120 Day Accts";#N/A,#N/A,FALSE,"Tickmarks"}</definedName>
    <definedName name="aaa">#REF!</definedName>
    <definedName name="AB" hidden="1">{#N/A,#N/A,FALSE,"Aging Summary";#N/A,#N/A,FALSE,"Ratio Analysis";#N/A,#N/A,FALSE,"Test 120 Day Accts";#N/A,#N/A,FALSE,"Tickmarks"}</definedName>
    <definedName name="abei">#REF!</definedName>
    <definedName name="Abr">9100</definedName>
    <definedName name="Account_Balance">#REF!</definedName>
    <definedName name="Activos">#REF!</definedName>
    <definedName name="Acum.Dol.">'[8]LISTADO 09 01'!#REF!</definedName>
    <definedName name="Acum.Suc.">'[8]LISTADO 09 01'!#REF!</definedName>
    <definedName name="ACUMUL">[9]INDICES!$A$1:$AQ$50</definedName>
    <definedName name="ADC">#REF!</definedName>
    <definedName name="ADR">#REF!</definedName>
    <definedName name="afdsafdsa" hidden="1">{#N/A,#N/A,FALSE,"Aging Summary";#N/A,#N/A,FALSE,"Ratio Analysis";#N/A,#N/A,FALSE,"Test 120 Day Accts";#N/A,#N/A,FALSE,"Tickmarks"}</definedName>
    <definedName name="Ago">11000</definedName>
    <definedName name="Ajuste_en_ventas_para_EBTIDA_20">#REF!</definedName>
    <definedName name="ALCANCE">#REF!</definedName>
    <definedName name="alex" hidden="1">[10]XREF!$3:$3</definedName>
    <definedName name="amorper">#REF!</definedName>
    <definedName name="Amortización" hidden="1">{#N/A,#N/A,FALSE,"Aging Summary";#N/A,#N/A,FALSE,"Ratio Analysis";#N/A,#N/A,FALSE,"Test 120 Day Accts";#N/A,#N/A,FALSE,"Tickmarks"}</definedName>
    <definedName name="analadic">#REF!</definedName>
    <definedName name="Analiisis">#REF!</definedName>
    <definedName name="analisis">#REF!</definedName>
    <definedName name="Análisis" hidden="1">#REF!</definedName>
    <definedName name="analisisgastos" hidden="1">#REF!</definedName>
    <definedName name="anexo1">#REF!</definedName>
    <definedName name="anexodos">#REF!</definedName>
    <definedName name="anexos" hidden="1">[11]XREF!#REF!</definedName>
    <definedName name="Año">[5]ER!$N$154</definedName>
    <definedName name="APSUMMARY">#REF!</definedName>
    <definedName name="APT" hidden="1">{#N/A,#N/A,FALSE,"Aging Summary";#N/A,#N/A,FALSE,"Ratio Analysis";#N/A,#N/A,FALSE,"Test 120 Day Accts";#N/A,#N/A,FALSE,"Tickmarks"}</definedName>
    <definedName name="aptgastos" hidden="1">{#N/A,#N/A,FALSE,"Aging Summary";#N/A,#N/A,FALSE,"Ratio Analysis";#N/A,#N/A,FALSE,"Test 120 Day Accts";#N/A,#N/A,FALSE,"Tickmarks"}</definedName>
    <definedName name="AR">#REF!</definedName>
    <definedName name="ARA_Threshold">[12]Lead!$P$2</definedName>
    <definedName name="ARA_Threshold_12">#REF!</definedName>
    <definedName name="ARA_Threshold_13">#REF!</definedName>
    <definedName name="ARA_Threshold_15">#REF!</definedName>
    <definedName name="ARA_Threshold_16">#REF!</definedName>
    <definedName name="ARA_Threshold_2">#REF!</definedName>
    <definedName name="ARA_Threshold_8">#REF!</definedName>
    <definedName name="_xlnm.Print_Area">#REF!</definedName>
    <definedName name="ARP_Threshold">[12]Lead!$O$2</definedName>
    <definedName name="ARP_Threshold_12">#REF!</definedName>
    <definedName name="ARP_Threshold_13">#REF!</definedName>
    <definedName name="ARP_Threshold_15">#REF!</definedName>
    <definedName name="ARP_Threshold_16">#REF!</definedName>
    <definedName name="ARP_Threshold_2">#REF!</definedName>
    <definedName name="ARP_Threshold_8">#REF!</definedName>
    <definedName name="as" hidden="1">12</definedName>
    <definedName name="AS2DocOpenMode" hidden="1">"AS2DocumentEdit"</definedName>
    <definedName name="AS2HasNoAutoHeaderFooter" hidden="1">" "</definedName>
    <definedName name="AS2LinkLS" hidden="1">[13]Links!A1</definedName>
    <definedName name="AS2NamedRange" hidden="1">21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>'[14]Calc. dep.'!$A$1</definedName>
    <definedName name="asd" hidden="1">{#N/A,#N/A,FALSE,"Aging Summary";#N/A,#N/A,FALSE,"Ratio Analysis";#N/A,#N/A,FALSE,"Test 120 Day Accts";#N/A,#N/A,FALSE,"Tickmarks"}</definedName>
    <definedName name="ASDF" hidden="1">'[15]Detalle gastos Sep01-Ago02'!#REF!</definedName>
    <definedName name="asdsadsafc" hidden="1">4</definedName>
    <definedName name="axdsd" hidden="1">#REF!</definedName>
    <definedName name="az" hidden="1">7</definedName>
    <definedName name="B">#REF!</definedName>
    <definedName name="BAL">#N/A</definedName>
    <definedName name="_xlnm.Database">#REF!</definedName>
    <definedName name="basic_level">'[16]Tabla del Límite'!$A$6:$C$11</definedName>
    <definedName name="bb" hidden="1">#REF!</definedName>
    <definedName name="BC">20050</definedName>
    <definedName name="BELL" hidden="1">#REF!</definedName>
    <definedName name="BG_Del" hidden="1">15</definedName>
    <definedName name="BG_Ins" hidden="1">4</definedName>
    <definedName name="BG_Mod" hidden="1">6</definedName>
    <definedName name="BGR_INFRAESTRUCTURA">#REF!</definedName>
    <definedName name="BPM_CAPACITACION">[5]ER!$O$176</definedName>
    <definedName name="BPM_Cuenta_CAPACITACION">[5]ER!$B$176</definedName>
    <definedName name="BPM_Cuenta_VIATICOS_Y_MOV">[5]ER!$B$177</definedName>
    <definedName name="BPM_VIATICOS_Y_MOV">[5]ER!$O$177</definedName>
    <definedName name="BUV">#REF!</definedName>
    <definedName name="C_">#REF!</definedName>
    <definedName name="CALL_CENTER">#REF!</definedName>
    <definedName name="CARLOS">'[17]1134'!#REF!</definedName>
    <definedName name="CASH">#REF!</definedName>
    <definedName name="cc" hidden="1">#REF!</definedName>
    <definedName name="Centro_de_Costos_BPM">[5]ER!$B$178</definedName>
    <definedName name="CFRQ">#REF!</definedName>
    <definedName name="CHE">#REF!</definedName>
    <definedName name="cia">'[18]CON.BANC '!$A$1</definedName>
    <definedName name="Cierre">37590</definedName>
    <definedName name="Cierre_01_03">37652</definedName>
    <definedName name="Cierre_01_04">38017</definedName>
    <definedName name="Cierre_02_03">37680</definedName>
    <definedName name="Cierre_02_04">38046</definedName>
    <definedName name="Cierre_03_03">37711</definedName>
    <definedName name="Cierre_03_04">38077</definedName>
    <definedName name="Cierre_04_03">37741</definedName>
    <definedName name="Cierre_04_04">38107</definedName>
    <definedName name="Cierre_05_03">37772</definedName>
    <definedName name="Cierre_05_04">38138</definedName>
    <definedName name="Cierre_06_03">37802</definedName>
    <definedName name="Cierre_06_04">38168</definedName>
    <definedName name="Cierre_07_03">37833</definedName>
    <definedName name="Cierre_07_04">38199</definedName>
    <definedName name="Cierre_08_03">37864</definedName>
    <definedName name="Cierre_08_04">38230</definedName>
    <definedName name="Cierre_09_03">37894</definedName>
    <definedName name="Cierre_09_04">38260</definedName>
    <definedName name="Cierre_10_03">37925</definedName>
    <definedName name="Cierre_10_04">38291</definedName>
    <definedName name="Cierre_11_03">37955</definedName>
    <definedName name="Cierre_12_01">37256</definedName>
    <definedName name="Cierre_12_02">37621</definedName>
    <definedName name="Cierre_12_03">37986</definedName>
    <definedName name="clave">[19]Inicio!#REF!</definedName>
    <definedName name="cld" hidden="1">#REF!</definedName>
    <definedName name="client">[6]ER!$H$156</definedName>
    <definedName name="CLIENTES">'[20]PGO 1 ABR '!#REF!</definedName>
    <definedName name="Clients_Population_Total">#REF!</definedName>
    <definedName name="Codigo">#REF!</definedName>
    <definedName name="Código">#REF!</definedName>
    <definedName name="Computed_Sample_Population_Total">#REF!</definedName>
    <definedName name="concil.iva" hidden="1">{#N/A,#N/A,FALSE,"Aging Summary";#N/A,#N/A,FALSE,"Ratio Analysis";#N/A,#N/A,FALSE,"Test 120 Day Accts";#N/A,#N/A,FALSE,"Tickmarks"}</definedName>
    <definedName name="concil.renta" hidden="1">{#N/A,#N/A,FALSE,"Aging Summary";#N/A,#N/A,FALSE,"Ratio Analysis";#N/A,#N/A,FALSE,"Test 120 Day Accts";#N/A,#N/A,FALSE,"Tickmarks"}</definedName>
    <definedName name="Consulta1">#REF!</definedName>
    <definedName name="Correcion">#REF!</definedName>
    <definedName name="cost_of_sales">[6]ER!$H$149</definedName>
    <definedName name="COSTO_CORREGIDO">'[8]LISTADO 09 01'!#REF!</definedName>
    <definedName name="Costos">#REF!</definedName>
    <definedName name="costoss" hidden="1">{#N/A,#N/A,FALSE,"Aging Summary";#N/A,#N/A,FALSE,"Ratio Analysis";#N/A,#N/A,FALSE,"Test 120 Day Accts";#N/A,#N/A,FALSE,"Tickmarks"}</definedName>
    <definedName name="cris">#REF!</definedName>
    <definedName name="cs">#REF!</definedName>
    <definedName name="CT">'[21]CREDITO TRIBUTARIO'!$1:$1048576</definedName>
    <definedName name="CxCVARIOS">#REF!</definedName>
    <definedName name="CY_Accounts_Receivable">[22]Balance!$C$8</definedName>
    <definedName name="CY_Administration">'[22]Estado de Resultados'!$B$11</definedName>
    <definedName name="CY_Cash">[22]Balance!$C$6</definedName>
    <definedName name="CY_Cash_Div_Dec">'[23]Income Statement'!#REF!</definedName>
    <definedName name="CY_CASH_DIVIDENDS_DECLARED__per_common_share">'[23]Income Statement'!#REF!</definedName>
    <definedName name="CY_Common_Equity">[22]Balance!$C$32</definedName>
    <definedName name="CY_Cost_of_Sales">'[22]Estado de Resultados'!$B$7</definedName>
    <definedName name="CY_Current_Liabilities">[22]Balance!$C$24</definedName>
    <definedName name="CY_Depreciation">'[22]Estado de Resultados'!$B$15</definedName>
    <definedName name="CY_Disc._Ops.">'[24]Income Statement'!$C$28</definedName>
    <definedName name="CY_Earnings_per_share">[23]Ratios!#REF!</definedName>
    <definedName name="CY_Extraord.">'[24]Income Statement'!$C$32</definedName>
    <definedName name="CY_Gross_Profit">'[22]Estado de Resultados'!$B$9</definedName>
    <definedName name="CY_INC_AFT_TAX">'[24]Income Statement'!$C$26</definedName>
    <definedName name="CY_INC_BEF_EXTRAORD">'[24]Income Statement'!$C$30</definedName>
    <definedName name="CY_Inc_Bef_Tax">'[22]Estado de Resultados'!$B$22</definedName>
    <definedName name="CY_Intangible_Assets">[22]Balance!$C$18</definedName>
    <definedName name="CY_Interest_Expense">'[22]Estado de Resultados'!$B$19</definedName>
    <definedName name="CY_Inventory">[22]Balance!$C$12</definedName>
    <definedName name="CY_LIABIL_EQUITY">[22]Balance!$C$37</definedName>
    <definedName name="CY_lik_Equity">#REF!</definedName>
    <definedName name="CY_lik_Income">#REF!</definedName>
    <definedName name="CY_lik_Liabs">#REF!</definedName>
    <definedName name="CY_lik_RetEarn_bf">#REF!</definedName>
    <definedName name="CY_Long_term_Debt__excl_Dfd_Taxes">'[24]Balance Sheet'!$C$29</definedName>
    <definedName name="CY_LT_Debt">[22]Balance!$C$25</definedName>
    <definedName name="CY_Market_Value_of_Equity">'[22]Estado de Resultados'!$B$31</definedName>
    <definedName name="CY_Marketable_Sec">[22]Balance!$C$7</definedName>
    <definedName name="CY_NET_INCOME">'[24]Income Statement'!$C$34</definedName>
    <definedName name="CY_NET_PROFIT">'[22]Estado de Resultados'!$B$26</definedName>
    <definedName name="CY_Net_Revenue">'[22]Estado de Resultados'!$B$6</definedName>
    <definedName name="CY_Operating_Income">'[22]Estado de Resultados'!$B$17</definedName>
    <definedName name="CY_Other">'[22]Estado de Resultados'!$B$14</definedName>
    <definedName name="CY_Other_Curr_Assets">[22]Balance!$C$13</definedName>
    <definedName name="CY_Other_LT_Assets">[22]Balance!$C$19</definedName>
    <definedName name="CY_Other_LT_Liabilities">[22]Balance!$C$26</definedName>
    <definedName name="CY_Preferred_Stock">[22]Balance!$C$31</definedName>
    <definedName name="CY_QUICK_ASSETS">[22]Balance!$C$10</definedName>
    <definedName name="CY_Retained_Earnings">[22]Balance!$C$33</definedName>
    <definedName name="CY_Selling">'[22]Estado de Resultados'!$B$12</definedName>
    <definedName name="CY_Tangible_Assets">[22]Balance!$C$17</definedName>
    <definedName name="CY_Tangible_Net_Worth">'[22]Estado de Resultados'!$B$33</definedName>
    <definedName name="CY_Taxes">'[22]Estado de Resultados'!$B$24</definedName>
    <definedName name="CY_TOTAL_ASSETS">[22]Balance!$C$22</definedName>
    <definedName name="CY_TOTAL_CURR_ASSETS">[22]Balance!$C$15</definedName>
    <definedName name="CY_TOTAL_DEBT">[22]Balance!$C$29</definedName>
    <definedName name="CY_TOTAL_EQUITY">[22]Balance!$C$35</definedName>
    <definedName name="CY_Trade_Payables">'[24]Balance Sheet'!$C$27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'[23]Income Statement'!#REF!</definedName>
    <definedName name="CY_Working_Capital">'[22]Estado de Resultados'!$B$32</definedName>
    <definedName name="CY_Year_Income_Statement">'[24]Income Statement'!$C$3</definedName>
    <definedName name="D">#REF!</definedName>
    <definedName name="daara" hidden="1">#REF!</definedName>
    <definedName name="Dac">[25]Lead!$K$1:$K$95</definedName>
    <definedName name="dads">[26]CMA_Calculations!$H$10</definedName>
    <definedName name="dasdfdsafsa">[14]Costo!#REF!</definedName>
    <definedName name="Database_MI">#REF!</definedName>
    <definedName name="dc" hidden="1">#REF!</definedName>
    <definedName name="dd" hidden="1">#REF!</definedName>
    <definedName name="dddd">#REF!</definedName>
    <definedName name="ddfdf" hidden="1">{#N/A,#N/A,FALSE,"Aging Summary";#N/A,#N/A,FALSE,"Ratio Analysis";#N/A,#N/A,FALSE,"Test 120 Day Accts";#N/A,#N/A,FALSE,"Tickmarks"}</definedName>
    <definedName name="deae" hidden="1">#REF!</definedName>
    <definedName name="deg">#REF!</definedName>
    <definedName name="deloi" hidden="1">2</definedName>
    <definedName name="DEP">#REF!</definedName>
    <definedName name="Dep." hidden="1">[27]XREF!$3:$3</definedName>
    <definedName name="Dep.S_.">'[8]LISTADO 09 01'!#REF!</definedName>
    <definedName name="Dep.U_.">'[8]LISTADO 09 01'!#REF!</definedName>
    <definedName name="Depósitos">TextRefCopy43</definedName>
    <definedName name="DEPRECIACION_CORREGIDA">'[8]LISTADO 09 01'!#REF!</definedName>
    <definedName name="depreciaciones">[6]ER!$H$157</definedName>
    <definedName name="Descripcion">#REF!</definedName>
    <definedName name="DESDE" hidden="1">#REF!</definedName>
    <definedName name="DESS" hidden="1">#REF!</definedName>
    <definedName name="DEVOL_INFLACIÓN">#REF!</definedName>
    <definedName name="dfd" hidden="1">[28]XREF!$4:$4</definedName>
    <definedName name="dfdfd" hidden="1">3</definedName>
    <definedName name="dfdfdgdg" hidden="1">7</definedName>
    <definedName name="dfdff" hidden="1">[29]Detalle!#REF!</definedName>
    <definedName name="dfdkf" hidden="1">[28]XREF!$3:$3</definedName>
    <definedName name="Día_de_Cierre">#REF!</definedName>
    <definedName name="diana">'[30]Costo+Reexp'!#REF!</definedName>
    <definedName name="Dic">20050</definedName>
    <definedName name="dieg">#REF!</definedName>
    <definedName name="Diego">[25]Lead!$H$1:$H$95</definedName>
    <definedName name="diferences">#REF!</definedName>
    <definedName name="Diferenciaresidual">#REF!</definedName>
    <definedName name="Difference">#REF!</definedName>
    <definedName name="Disaggregations">#REF!</definedName>
    <definedName name="disgregadas">#REF!</definedName>
    <definedName name="djfiefj" hidden="1">2</definedName>
    <definedName name="dkfdk" hidden="1">[28]XREF!$2:$2</definedName>
    <definedName name="dkfie" hidden="1">11</definedName>
    <definedName name="DME_BeforeCloseCompleted" hidden="1">"Falso"</definedName>
    <definedName name="DME_Dirty" hidden="1">"Falso"</definedName>
    <definedName name="DME_DocumentFlags" hidden="1">"1"</definedName>
    <definedName name="DME_DocumentID" hidden="1">"::ODMA\DME-MSE\ECU1-33373"</definedName>
    <definedName name="DME_DocumentOpened" hidden="1">"Verdadero"</definedName>
    <definedName name="DME_DocumentTitle" hidden="1">"ECU1-33373 - Clientes y Deudores agosto-03"</definedName>
    <definedName name="DME_LocalFile" hidden="1">"Verdadero"</definedName>
    <definedName name="DME_NextWindowNumber" hidden="1">"2"</definedName>
    <definedName name="DME_ODMALinks1" hidden="1">"::ODMA\DME-MSE\ECU1-1176=C:\DOCUME~1\ec00065\CONFIG~1\Temp\Dme\ECU1-1176.xls"</definedName>
    <definedName name="DME_ODMALinks2" hidden="1">"::ODMA\DME-MSE\ECU1-4961=C:\WINDOWS\TEMP\Dme\ECU1-4961.xls"</definedName>
    <definedName name="DME_ODMALinks3" hidden="1">"::ODMA\DME-MSE\ECU1-41787=C:\DOCUME~1\ec00007\CONFIG~1\Temp\Dme\ECU1-41787.xls"</definedName>
    <definedName name="DME_ODMALinksCount" hidden="1">"1"</definedName>
    <definedName name="Dolares">'[8]LISTADO 09 01'!#REF!</definedName>
    <definedName name="Dollar_Threshold">[22]Balance!$F$3</definedName>
    <definedName name="dore" hidden="1">3</definedName>
    <definedName name="dsad" hidden="1">'[31]Balance Gral.'!#REF!</definedName>
    <definedName name="dsfsdf">#REF!</definedName>
    <definedName name="DTT">'[23]Income Statement'!#REF!</definedName>
    <definedName name="dvdve">#REF!</definedName>
    <definedName name="e">#REF!</definedName>
    <definedName name="ed">#REF!</definedName>
    <definedName name="EDYTH">#REF!</definedName>
    <definedName name="ee">#REF!</definedName>
    <definedName name="eere" hidden="1">[32]XREF!$A$2</definedName>
    <definedName name="ef">#REF!</definedName>
    <definedName name="efe">#REF!</definedName>
    <definedName name="efefe">#REF!</definedName>
    <definedName name="efefed" hidden="1">'[32]Seg.Act.Fijos (Prel.)'!#REF!</definedName>
    <definedName name="eggr">#REF!</definedName>
    <definedName name="eifjeifje">#REF!</definedName>
    <definedName name="electricity">[6]ER!$H$158</definedName>
    <definedName name="eli">#REF!</definedName>
    <definedName name="ELY">'[17]1134'!#REF!</definedName>
    <definedName name="Empresa">'[33]Datos Iniciales'!$C$12</definedName>
    <definedName name="Ene">25000</definedName>
    <definedName name="Ene00">25000</definedName>
    <definedName name="ENLACES">#REF!</definedName>
    <definedName name="er">'[34]Detalle Gtos.'!$J$60</definedName>
    <definedName name="erer" hidden="1">5</definedName>
    <definedName name="Excel_BuiltIn__FilterDatabase_12">'[35]Anexo 9'!#REF!</definedName>
    <definedName name="Excel_BuiltIn_Database">#REF!</definedName>
    <definedName name="Excel_BuiltIn_Database_15">#REF!</definedName>
    <definedName name="Excel_BuiltIn_Database_8">#REF!</definedName>
    <definedName name="Excel_BuiltIn_Print_Area">#REF!</definedName>
    <definedName name="Excel_BuiltIn_Print_Area_24">#REF!</definedName>
    <definedName name="Expected_balance">#REF!</definedName>
    <definedName name="FABY">'[17]1134'!#REF!</definedName>
    <definedName name="FactorR">#REF!</definedName>
    <definedName name="FEB">7300</definedName>
    <definedName name="fecha">#REF!</definedName>
    <definedName name="Fecha_Inicial">[19]Inicio!#REF!</definedName>
    <definedName name="fefe">#REF!</definedName>
    <definedName name="fefef">#REF!</definedName>
    <definedName name="FERDONOSO">'[17]1134'!#REF!</definedName>
    <definedName name="FERMUÑOZ">'[17]1134'!#REF!</definedName>
    <definedName name="ff">[36]Lead!$I$1:$I$371</definedName>
    <definedName name="FINANCIERO_PERU">#REF!</definedName>
    <definedName name="fkefief" hidden="1">[10]XREF!$2:$2</definedName>
    <definedName name="fr" hidden="1">#REF!</definedName>
    <definedName name="fs" hidden="1">18</definedName>
    <definedName name="funa">#REF!</definedName>
    <definedName name="funad">#REF!</definedName>
    <definedName name="fundagro">#REF!</definedName>
    <definedName name="fv" hidden="1">#REF!</definedName>
    <definedName name="fy" hidden="1">1</definedName>
    <definedName name="g">#REF!</definedName>
    <definedName name="Gast._.">'[8]LISTADO 09 01'!#REF!</definedName>
    <definedName name="Gast.S_.">'[8]LISTADO 09 01'!#REF!</definedName>
    <definedName name="GASTO_1995">'[8]LISTADO 09 01'!#REF!</definedName>
    <definedName name="gasto1">'[37]Det. Gastos'!$I$82</definedName>
    <definedName name="Gastos" hidden="1">[38]XREF!#REF!</definedName>
    <definedName name="gb" hidden="1">[39]XREF!#REF!</definedName>
    <definedName name="gbg" hidden="1">[39]XREF!#REF!</definedName>
    <definedName name="ge">#REF!</definedName>
    <definedName name="gfadg">[40]Dep.Consol!$R$11</definedName>
    <definedName name="GFHT">#REF!</definedName>
    <definedName name="gg" hidden="1">[10]XREF!$A$11</definedName>
    <definedName name="gggrr">#REF!</definedName>
    <definedName name="GILBER">'[17]1134'!#REF!</definedName>
    <definedName name="gn" hidden="1">#REF!</definedName>
    <definedName name="goofie">[41]Intercompany!#REF!</definedName>
    <definedName name="_xlnm.Recorder">#REF!</definedName>
    <definedName name="h" hidden="1">17</definedName>
    <definedName name="HERNAN">'[17]1134'!#REF!</definedName>
    <definedName name="hh" hidden="1">5</definedName>
    <definedName name="hm">#REF!</definedName>
    <definedName name="hoja">#REF!</definedName>
    <definedName name="Hola">[25]Lead!$J$1:$J$95</definedName>
    <definedName name="HOLAÑALKW">#REF!</definedName>
    <definedName name="HORAS_DESARROLLO">#REF!</definedName>
    <definedName name="HTML_CodePage" hidden="1">1252</definedName>
    <definedName name="HTML_Control" hidden="1">{"'Borrador 30.11.2000'!$A$1:$BB$61"}</definedName>
    <definedName name="HTML_Description" hidden="1">""</definedName>
    <definedName name="HTML_Email" hidden="1">""</definedName>
    <definedName name="HTML_Header" hidden="1">"Borrador 30.11.2000"</definedName>
    <definedName name="HTML_LastUpdate" hidden="1">"05-12-2000"</definedName>
    <definedName name="HTML_LineAfter" hidden="1">FALSE</definedName>
    <definedName name="HTML_LineBefore" hidden="1">FALSE</definedName>
    <definedName name="HTML_Name" hidden="1">"Hernan Avalos"</definedName>
    <definedName name="HTML_OBDlg2" hidden="1">TRUE</definedName>
    <definedName name="HTML_OBDlg4" hidden="1">TRUE</definedName>
    <definedName name="HTML_OS" hidden="1">0</definedName>
    <definedName name="HTML_PathFile" hidden="1">"C:\Datos Hernan\BORRADOR\HTML.htm"</definedName>
    <definedName name="HTML_Title" hidden="1">"ADC_Dic_2000"</definedName>
    <definedName name="i">#REF!</definedName>
    <definedName name="ii">#REF!</definedName>
    <definedName name="iii">#REF!</definedName>
    <definedName name="imp">[6]ER!$H$161</definedName>
    <definedName name="importaciones">#REF!</definedName>
    <definedName name="importraciones" hidden="1">3</definedName>
    <definedName name="imprtacionsa" hidden="1">#REF!</definedName>
    <definedName name="IMPTRANSITO" hidden="1">#REF!</definedName>
    <definedName name="INCOME">#REF!</definedName>
    <definedName name="INCREMENTO_ENLACES">#REF!</definedName>
    <definedName name="Incremento_Sueldos">#REF!</definedName>
    <definedName name="Indice">'[8]LISTADO 09 01'!#REF!</definedName>
    <definedName name="insurance">[6]ER!$H$164</definedName>
    <definedName name="interm_level">'[16]Tabla del Límite'!$D$6:$F$11</definedName>
    <definedName name="Interval">#REF!</definedName>
    <definedName name="INV">[42]A!$H$25</definedName>
    <definedName name="INVENT">#REF!</definedName>
    <definedName name="Inventarios">[43]Selecc.!#REF!</definedName>
    <definedName name="j" hidden="1">{#N/A,#N/A,FALSE,"Aging Summary";#N/A,#N/A,FALSE,"Ratio Analysis";#N/A,#N/A,FALSE,"Test 120 Day Accts";#N/A,#N/A,FALSE,"Tickmarks"}</definedName>
    <definedName name="jaime">#REF!</definedName>
    <definedName name="jfrusa">#REF!</definedName>
    <definedName name="JHONNY">'[17]1134'!#REF!</definedName>
    <definedName name="jj" hidden="1">[10]XREF!$4:$4</definedName>
    <definedName name="jsdhcj" hidden="1">'[37]Det. Gastos'!$J:$J</definedName>
    <definedName name="juan" hidden="1">'[37]Det. Gastos'!$E$70</definedName>
    <definedName name="juju">[41]Intercompany!$J$24</definedName>
    <definedName name="Jul">11800</definedName>
    <definedName name="Jun">9600</definedName>
    <definedName name="jy">[44]Detalle!#REF!</definedName>
    <definedName name="k" hidden="1">{#N/A,#N/A,FALSE,"Aging Summary";#N/A,#N/A,FALSE,"Ratio Analysis";#N/A,#N/A,FALSE,"Test 120 Day Accts";#N/A,#N/A,FALSE,"Tickmarks"}</definedName>
    <definedName name="karla">#REF!</definedName>
    <definedName name="kjhlkhggjhj">#REF!</definedName>
    <definedName name="kk" hidden="1">[10]XREF!$5:$5</definedName>
    <definedName name="kkdf">#REF!</definedName>
    <definedName name="kkkkk" hidden="1">68</definedName>
    <definedName name="kl" hidden="1">3</definedName>
    <definedName name="kmkcd" hidden="1">[39]XREF!#REF!</definedName>
    <definedName name="KOKJ">#REF!</definedName>
    <definedName name="KSFJÑDSKF" hidden="1">{#N/A,#N/A,FALSE,"Aging Summary";#N/A,#N/A,FALSE,"Ratio Analysis";#N/A,#N/A,FALSE,"Test 120 Day Accts";#N/A,#N/A,FALSE,"Tickmarks"}</definedName>
    <definedName name="l">#REF!</definedName>
    <definedName name="L_AcctDes">[13]Links!$E:$E</definedName>
    <definedName name="L_Adjust">[12]Links!$H:$H</definedName>
    <definedName name="L_Adjust_15">NA()</definedName>
    <definedName name="L_Adjust_8">NA()</definedName>
    <definedName name="L_Adjust_GT">[13]Links!$H$19</definedName>
    <definedName name="L_AJE_Tot">[12]Links!$G:$G</definedName>
    <definedName name="L_AJE_Tot_15">NA()</definedName>
    <definedName name="L_AJE_Tot_8">NA()</definedName>
    <definedName name="L_AJE_Tot_GT">[13]Links!$G$19</definedName>
    <definedName name="L_CompNum">[13]Links!$B:$B</definedName>
    <definedName name="L_CY_Beg">[12]Links!$F:$F</definedName>
    <definedName name="L_CY_Beg_15">NA()</definedName>
    <definedName name="L_CY_Beg_8">NA()</definedName>
    <definedName name="L_CY_Beg_GT">[13]Links!$F$19</definedName>
    <definedName name="L_CY_End">[12]Links!$J:$J</definedName>
    <definedName name="L_CY_End_15">NA()</definedName>
    <definedName name="L_CY_End_8">NA()</definedName>
    <definedName name="L_CY_End_GT">[13]Links!$J$19</definedName>
    <definedName name="L_GrpNum">[13]Links!$C:$C</definedName>
    <definedName name="L_Headings">[13]Links!$1:$1</definedName>
    <definedName name="L_KeyValue">[13]Links!$A:$A</definedName>
    <definedName name="L_PY_End">[12]Links!$K:$K</definedName>
    <definedName name="L_PY_End_15">NA()</definedName>
    <definedName name="L_PY_End_8">NA()</definedName>
    <definedName name="L_PY_End_GT">[13]Links!$K$19</definedName>
    <definedName name="L_RJE_Tot">[12]Links!$I:$I</definedName>
    <definedName name="L_RJE_Tot_15">NA()</definedName>
    <definedName name="L_RJE_Tot_8">NA()</definedName>
    <definedName name="L_RJE_Tot_GT">[13]Links!$I$19</definedName>
    <definedName name="L_RowNum">[13]Links!$D:$D</definedName>
    <definedName name="le">[44]Detalle!$E$81</definedName>
    <definedName name="legal">[6]ER!$H$155</definedName>
    <definedName name="lekfeof">'[45]Reex.'!#REF!</definedName>
    <definedName name="limite">#REF!</definedName>
    <definedName name="ll" hidden="1">#REF!</definedName>
    <definedName name="lldoe" hidden="1">[39]XREF!#REF!</definedName>
    <definedName name="LLIOMAR">'[17]1134'!#REF!</definedName>
    <definedName name="lo" hidden="1">10</definedName>
    <definedName name="loja">#REF!</definedName>
    <definedName name="lore" hidden="1">3</definedName>
    <definedName name="lorena">#REF!</definedName>
    <definedName name="LUIS">#REF!</definedName>
    <definedName name="LYN">#REF!</definedName>
    <definedName name="m">'[45]Dep.Costo.'!#REF!</definedName>
    <definedName name="M.Dolares">'[8]LISTADO 09 01'!#REF!</definedName>
    <definedName name="M.Sucres">#REF!</definedName>
    <definedName name="M115105020">#REF!</definedName>
    <definedName name="M115202020">#REF!</definedName>
    <definedName name="M1155010">#REF!</definedName>
    <definedName name="M1189940">#REF!</definedName>
    <definedName name="M1262050">#REF!</definedName>
    <definedName name="M1262060">#REF!</definedName>
    <definedName name="M1262090">#REF!</definedName>
    <definedName name="M2311010">'[2]Det. Rec. Prov. Locales {PPC}'!#REF!</definedName>
    <definedName name="M2311030">'[2]Det. Rec. Prov. Locales {PPC}'!#REF!</definedName>
    <definedName name="M2311050">#REF!</definedName>
    <definedName name="M2312020">#REF!</definedName>
    <definedName name="M2351020">#REF!</definedName>
    <definedName name="M2395020">#REF!</definedName>
    <definedName name="mar">#REF!</definedName>
    <definedName name="margen">[19]Inicio!#REF!</definedName>
    <definedName name="MARTHY">'[17]1134'!#REF!</definedName>
    <definedName name="Materiality">#REF!</definedName>
    <definedName name="May">9200</definedName>
    <definedName name="menso" hidden="1">[39]XREF!#REF!</definedName>
    <definedName name="Mes_Final">[5]ER!$N$156</definedName>
    <definedName name="Mes_Inicial">[5]ER!$N$155</definedName>
    <definedName name="metro">#REF!</definedName>
    <definedName name="metrod">#REF!</definedName>
    <definedName name="mio">#REF!</definedName>
    <definedName name="mis">[6]ER!$H$151</definedName>
    <definedName name="mm" hidden="1">[10]XREF!$10:$10</definedName>
    <definedName name="MM1105010">#REF!</definedName>
    <definedName name="MM115202010">'[2]Det. Rec. Prov. Locales {PPC}'!#REF!</definedName>
    <definedName name="MM115202020">#REF!</definedName>
    <definedName name="MM1152050">'[2]Det. Rec. Prov. Locales {PPC}'!#REF!</definedName>
    <definedName name="MM1155010">#REF!</definedName>
    <definedName name="MM1183530">#REF!</definedName>
    <definedName name="MM118993060">'[2]Det. Rec. Prov. Locales {PPC}'!#REF!</definedName>
    <definedName name="MM1263030">#REF!</definedName>
    <definedName name="MMA" hidden="1">{#N/A,#N/A,FALSE,"Aging Summary";#N/A,#N/A,FALSE,"Ratio Analysis";#N/A,#N/A,FALSE,"Test 120 Day Accts";#N/A,#N/A,FALSE,"Tickmarks"}</definedName>
    <definedName name="MMAChGiradosDic" hidden="1">{#N/A,#N/A,FALSE,"Aging Summary";#N/A,#N/A,FALSE,"Ratio Analysis";#N/A,#N/A,FALSE,"Test 120 Day Accts";#N/A,#N/A,FALSE,"Tickmarks"}</definedName>
    <definedName name="MMADepósitosDic" hidden="1">{#N/A,#N/A,FALSE,"Aging Summary";#N/A,#N/A,FALSE,"Ratio Analysis";#N/A,#N/A,FALSE,"Test 120 Day Accts";#N/A,#N/A,FALSE,"Tickmarks"}</definedName>
    <definedName name="moderate_level">'[46]Threshold Table'!$E$11:$G$23</definedName>
    <definedName name="Monetary_Precision">#REF!</definedName>
    <definedName name="MONTO_CALL_CENTER">#REF!</definedName>
    <definedName name="MONTO_ENLACES">#REF!</definedName>
    <definedName name="MONTO_INCREMENTO">#REF!</definedName>
    <definedName name="motor">[6]ER!$H$159</definedName>
    <definedName name="Mov.Inv.Lecocem2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MP">#REF!</definedName>
    <definedName name="Murrin">#REF!</definedName>
    <definedName name="MYR_TEC">#REF!</definedName>
    <definedName name="n">#REF!</definedName>
    <definedName name="nada">#REF!</definedName>
    <definedName name="nada2">#REF!</definedName>
    <definedName name="name">[36]Links!$F:$F</definedName>
    <definedName name="ND" hidden="1">{#N/A,#N/A,FALSE,"Aging Summary";#N/A,#N/A,FALSE,"Ratio Analysis";#N/A,#N/A,FALSE,"Test 120 Day Accts";#N/A,#N/A,FALSE,"Tickmarks"}</definedName>
    <definedName name="new">'[47]Proveed. Loc.'!$D$63</definedName>
    <definedName name="nmm" hidden="1">#REF!</definedName>
    <definedName name="nn" hidden="1">[10]XREF!$9:$9</definedName>
    <definedName name="NNK" hidden="1">34</definedName>
    <definedName name="no" hidden="1">#REF!</definedName>
    <definedName name="NonTop_Stratum_Value">#REF!</definedName>
    <definedName name="Nov">18000</definedName>
    <definedName name="NSProjectionMethodIndex">'[48]Non-Statistical Sampling Master'!$C$63</definedName>
    <definedName name="NSRequiredLevelOfEvidenceItems">'[48]Non-Statistical Sampling Master'!$C$50:$C$53</definedName>
    <definedName name="NSTargetedTestingItems">'[48]Two Step Revenue Testing Master'!$E$47</definedName>
    <definedName name="NUEVO">#REF!</definedName>
    <definedName name="NUEVO_VALOR_COSTO">'[8]LISTADO 09 01'!#REF!</definedName>
    <definedName name="Number_of_Selections">#REF!</definedName>
    <definedName name="Numero_del_Activo">#REF!</definedName>
    <definedName name="NvsASD">"V1998-04-30"</definedName>
    <definedName name="NvsAutoDrillOk">"VN"</definedName>
    <definedName name="NvsElapsedTime">0.0000418981508119032</definedName>
    <definedName name="NvsEndTime">35929.4692549769</definedName>
    <definedName name="NvsInstSpec">"%,LREAL_S/,SYTD,FCURRENCY_CD,VECS,FDEPTID,TCENTROS_DE_COSTOS,NCOMERCIAL,FACCOUNT,TNIVELES_DE_CUENTAS,NGASTOS"</definedName>
    <definedName name="NvsLayoutType">"M3"</definedName>
    <definedName name="NvsNplSpec">"%,XZF.ACCOUNT.PSDetail"</definedName>
    <definedName name="NvsPanelEffdt">"V1992-12-10"</definedName>
    <definedName name="NvsPanelSetid">"VNEWGN"</definedName>
    <definedName name="NvsParentRef">[49]INCOME!$E$31</definedName>
    <definedName name="NvsReqBU">"VOTCEL"</definedName>
    <definedName name="NvsReqBUOnly">"VY"</definedName>
    <definedName name="NvsTransLed">"VN"</definedName>
    <definedName name="NvsTreeASD">"V1998-04-30"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"DEPARTMENT_TBL"</definedName>
    <definedName name="ñ" hidden="1">#REF!</definedName>
    <definedName name="ññ" hidden="1">[10]XREF!$6:$6</definedName>
    <definedName name="o">#REF!</definedName>
    <definedName name="Oct">16000</definedName>
    <definedName name="office">[6]ER!$H$153</definedName>
    <definedName name="OI">'[50]Payment 02_06_2006'!$A$2:$R$21</definedName>
    <definedName name="ojo" hidden="1">[51]Costo!#REF!</definedName>
    <definedName name="oleoducto">#REF!</definedName>
    <definedName name="oo" hidden="1">22</definedName>
    <definedName name="OPER_SUC">#REF!</definedName>
    <definedName name="orellana">#REF!</definedName>
    <definedName name="otros" hidden="1">{#N/A,#N/A,FALSE,"Aging Summary";#N/A,#N/A,FALSE,"Ratio Analysis";#N/A,#N/A,FALSE,"Test 120 Day Accts";#N/A,#N/A,FALSE,"Tickmarks"}</definedName>
    <definedName name="p">#REF!</definedName>
    <definedName name="Pagos">#REF!</definedName>
    <definedName name="PalAndes">#REF!</definedName>
    <definedName name="PalEcuador">#REF!</definedName>
    <definedName name="passwd">[19]Inicio!#REF!</definedName>
    <definedName name="Pat" hidden="1">{#N/A,#N/A,FALSE,"Aging Summary";#N/A,#N/A,FALSE,"Ratio Analysis";#N/A,#N/A,FALSE,"Test 120 Day Accts";#N/A,#N/A,FALSE,"Tickmarks"}</definedName>
    <definedName name="pato">#REF!</definedName>
    <definedName name="peralta">#REF!</definedName>
    <definedName name="Percent_Threshold">[22]Balance!$E$3</definedName>
    <definedName name="periodo">[19]Inicio!#REF!</definedName>
    <definedName name="PG" hidden="1">{#N/A,#N/A,FALSE,"Aging Summary";#N/A,#N/A,FALSE,"Ratio Analysis";#N/A,#N/A,FALSE,"Test 120 Day Accts";#N/A,#N/A,FALSE,"Tickmarks"}</definedName>
    <definedName name="PhasePercentage">[52]MasterTables!$B$2:$B$14</definedName>
    <definedName name="PIE">'[48]Two Step Revenue Testing Master'!$C$87</definedName>
    <definedName name="PL_Dollar_Threshold">'[22]Estado de Resultados'!$H$3</definedName>
    <definedName name="PL_Percent_Threshold">'[22]Estado de Resultados'!$G$3</definedName>
    <definedName name="pp" hidden="1">{#N/A,#N/A,FALSE,"Aging Summary";#N/A,#N/A,FALSE,"Ratio Analysis";#N/A,#N/A,FALSE,"Test 120 Day Accts";#N/A,#N/A,FALSE,"Tickmarks"}</definedName>
    <definedName name="Pre_tax_materiality">#REF!</definedName>
    <definedName name="Precisionmonetaria">#REF!</definedName>
    <definedName name="PRINT_AREA_MI">#REF!</definedName>
    <definedName name="Provis" hidden="1">{#N/A,#N/A,FALSE,"Aging Summary";#N/A,#N/A,FALSE,"Ratio Analysis";#N/A,#N/A,FALSE,"Test 120 Day Accts";#N/A,#N/A,FALSE,"Tickmarks"}</definedName>
    <definedName name="PY_Accounts_Receivable">[22]Balance!$D$8</definedName>
    <definedName name="PY_Administration">'[22]Estado de Resultados'!$C$11</definedName>
    <definedName name="PY_all_Equity">#REF!</definedName>
    <definedName name="PY_all_Income">#REF!</definedName>
    <definedName name="PY_all_RetEarn">#REF!</definedName>
    <definedName name="PY_Cash">[22]Balance!$D$6</definedName>
    <definedName name="PY_Cash_Div_Dec">'[23]Income Statement'!#REF!</definedName>
    <definedName name="PY_CASH_DIVIDENDS_DECLARED__per_common_share">'[23]Income Statement'!#REF!</definedName>
    <definedName name="PY_Common_Equity">[22]Balance!$D$32</definedName>
    <definedName name="PY_Cost_of_Sales">'[22]Estado de Resultados'!$C$7</definedName>
    <definedName name="PY_Current_Liabilities">[22]Balance!$D$24</definedName>
    <definedName name="PY_Depreciation">'[22]Estado de Resultados'!$C$15</definedName>
    <definedName name="PY_Disc._Ops.">'[24]Income Statement'!$E$28</definedName>
    <definedName name="PY_Earnings_per_share">[23]Ratios!#REF!</definedName>
    <definedName name="PY_Extraord.">'[24]Income Statement'!$E$32</definedName>
    <definedName name="PY_Gross_Profit">'[22]Estado de Resultados'!$C$9</definedName>
    <definedName name="PY_INC_AFT_TAX">'[24]Income Statement'!$E$26</definedName>
    <definedName name="PY_INC_BEF_EXTRAORD">'[24]Income Statement'!$E$30</definedName>
    <definedName name="PY_Inc_Bef_Tax">'[22]Estado de Resultados'!$C$22</definedName>
    <definedName name="PY_Intangible_Assets">[22]Balance!$D$18</definedName>
    <definedName name="PY_Interest_Expense">'[22]Estado de Resultados'!$C$19</definedName>
    <definedName name="PY_Inventory">[22]Balance!$D$12</definedName>
    <definedName name="PY_knw_Income">#REF!</definedName>
    <definedName name="PY_knw_RetEarn">#REF!</definedName>
    <definedName name="PY_LIABIL_EQUITY">[22]Balance!$D$37</definedName>
    <definedName name="PY_lik_Income">#REF!</definedName>
    <definedName name="PY_lik_RetEarn">#REF!</definedName>
    <definedName name="PY_Long_term_Debt__excl_Dfd_Taxes">'[24]Balance Sheet'!$D$29</definedName>
    <definedName name="PY_LT_Debt">[22]Balance!$D$25</definedName>
    <definedName name="PY_Market_Value_of_Equity">'[22]Estado de Resultados'!$C$31</definedName>
    <definedName name="PY_Marketable_Sec">[22]Balance!$D$7</definedName>
    <definedName name="PY_NET_INCOME">'[24]Income Statement'!$E$34</definedName>
    <definedName name="PY_NET_PROFIT">'[22]Estado de Resultados'!$C$26</definedName>
    <definedName name="PY_Net_Revenue">'[22]Estado de Resultados'!$C$6</definedName>
    <definedName name="PY_Operating_Inc">'[22]Estado de Resultados'!$C$17</definedName>
    <definedName name="PY_Operating_Income">'[22]Estado de Resultados'!$C$17</definedName>
    <definedName name="PY_Other_Curr_Assets">[22]Balance!$D$13</definedName>
    <definedName name="PY_Other_Exp">'[22]Estado de Resultados'!$C$14</definedName>
    <definedName name="PY_Other_LT_Assets">[22]Balance!$D$19</definedName>
    <definedName name="PY_Other_LT_Liabilities">[22]Balance!$D$26</definedName>
    <definedName name="PY_Preferred_Stock">[22]Balance!$D$31</definedName>
    <definedName name="PY_QUICK_ASSETS">[22]Balance!$D$10</definedName>
    <definedName name="PY_Retained_Earnings">[22]Balance!$D$33</definedName>
    <definedName name="PY_Selling">'[22]Estado de Resultados'!$C$12</definedName>
    <definedName name="PY_Tangible_Assets">[22]Balance!$D$17</definedName>
    <definedName name="PY_Tangible_Net_Worth">'[22]Estado de Resultados'!$C$33</definedName>
    <definedName name="PY_Taxes">'[22]Estado de Resultados'!$C$24</definedName>
    <definedName name="PY_tot_knw_Xfoot">#REF!</definedName>
    <definedName name="PY_tot_lik_Xfoot">#REF!</definedName>
    <definedName name="PY_TOTAL_ASSETS">[22]Balance!$D$22</definedName>
    <definedName name="PY_TOTAL_CURR_ASSETS">[22]Balance!$D$15</definedName>
    <definedName name="PY_TOTAL_DEBT">[22]Balance!$D$29</definedName>
    <definedName name="PY_TOTAL_EQUITY">[22]Balance!$D$35</definedName>
    <definedName name="PY_Trade_Payables">'[24]Balance Sheet'!$D$27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'[23]Income Statement'!#REF!</definedName>
    <definedName name="PY_Working_Capital">'[22]Estado de Resultados'!$C$32</definedName>
    <definedName name="PY_Year_Income_Statement">'[24]Income Statement'!$E$3</definedName>
    <definedName name="PY2_Accounts_Receivable">[22]Balance!$G$8</definedName>
    <definedName name="PY2_Administration">'[22]Estado de Resultados'!$I$11</definedName>
    <definedName name="PY2_Cash">[22]Balance!$G$6</definedName>
    <definedName name="PY2_Cash_Div_Dec">'[23]Income Statement'!#REF!</definedName>
    <definedName name="PY2_CASH_DIVIDENDS_DECLARED__per_common_share">'[23]Income Statement'!#REF!</definedName>
    <definedName name="PY2_Common_Equity">[22]Balance!$G$32</definedName>
    <definedName name="PY2_Cost_of_Sales">'[22]Estado de Resultados'!$I$7</definedName>
    <definedName name="PY2_Current_Liabilities">[22]Balance!$G$24</definedName>
    <definedName name="PY2_Depreciation">'[22]Estado de Resultados'!$I$15</definedName>
    <definedName name="PY2_Disc._Ops.">'[24]Income Statement'!$L$28</definedName>
    <definedName name="PY2_Earnings_per_share">[23]Ratios!#REF!</definedName>
    <definedName name="PY2_Extraord.">'[24]Income Statement'!$L$32</definedName>
    <definedName name="PY2_Gross_Profit">'[22]Estado de Resultados'!$I$9</definedName>
    <definedName name="PY2_INC_AFT_TAX">'[24]Income Statement'!$L$26</definedName>
    <definedName name="PY2_INC_BEF_EXTRAORD">'[24]Income Statement'!$L$30</definedName>
    <definedName name="PY2_Inc_Bef_Tax">'[22]Estado de Resultados'!$I$22</definedName>
    <definedName name="PY2_Intangible_Assets">[22]Balance!$G$18</definedName>
    <definedName name="PY2_Interest_Expense">'[22]Estado de Resultados'!$I$19</definedName>
    <definedName name="PY2_Inventory">[22]Balance!$G$12</definedName>
    <definedName name="PY2_LIABIL_EQUITY">[22]Balance!$G$37</definedName>
    <definedName name="PY2_Long_term_Debt__excl_Dfd_Taxes">'[24]Balance Sheet'!$J$29</definedName>
    <definedName name="PY2_LT_Debt">[22]Balance!$G$25</definedName>
    <definedName name="PY2_Market_Value_of_Equity">'[23]Income Statement'!#REF!</definedName>
    <definedName name="PY2_Marketable_Sec">[22]Balance!$G$7</definedName>
    <definedName name="PY2_NET_INCOME">'[24]Income Statement'!$L$34</definedName>
    <definedName name="PY2_NET_PROFIT">'[22]Estado de Resultados'!$I$26</definedName>
    <definedName name="PY2_Net_Revenue">'[22]Estado de Resultados'!$I$6</definedName>
    <definedName name="PY2_Operating_Inc">'[22]Estado de Resultados'!$I$17</definedName>
    <definedName name="PY2_Operating_Income">'[22]Estado de Resultados'!$I$17</definedName>
    <definedName name="PY2_Other_Curr_Assets">[22]Balance!$G$13</definedName>
    <definedName name="PY2_Other_Exp.">'[22]Estado de Resultados'!$I$14</definedName>
    <definedName name="PY2_Other_LT_Assets">[22]Balance!$G$19</definedName>
    <definedName name="PY2_Other_LT_Liabilities">[22]Balance!$G$26</definedName>
    <definedName name="PY2_Preferred_Stock">[22]Balance!$G$31</definedName>
    <definedName name="PY2_QUICK_ASSETS">[22]Balance!$G$10</definedName>
    <definedName name="PY2_Retained_Earnings">[22]Balance!$G$33</definedName>
    <definedName name="PY2_Selling">'[22]Estado de Resultados'!$I$12</definedName>
    <definedName name="PY2_Tangible_Assets">[22]Balance!$G$17</definedName>
    <definedName name="PY2_Tangible_Net_Worth">'[22]Estado de Resultados'!$I$33</definedName>
    <definedName name="PY2_Taxes">'[22]Estado de Resultados'!$I$24</definedName>
    <definedName name="PY2_TOTAL_ASSETS">[22]Balance!$G$22</definedName>
    <definedName name="PY2_TOTAL_CURR_ASSETS">[22]Balance!$G$15</definedName>
    <definedName name="PY2_TOTAL_DEBT">[22]Balance!$G$29</definedName>
    <definedName name="PY2_TOTAL_EQUITY">[22]Balance!$G$35</definedName>
    <definedName name="PY2_Trade_Payables">'[24]Balance Sheet'!$J$27</definedName>
    <definedName name="PY2_Weighted_Average">'[23]Income Statement'!#REF!</definedName>
    <definedName name="PY2_Working_Capital">'[22]Estado de Resultados'!$I$32</definedName>
    <definedName name="PY2_Year_Income_Statement">'[24]Income Statement'!$L$3</definedName>
    <definedName name="PY3_Administration">'[24]Income Statement'!$N$13</definedName>
    <definedName name="PY3_Cash">'[24]Balance Sheet'!$K$8</definedName>
    <definedName name="PY3_Common_Equity">'[24]Balance Sheet'!$K$35</definedName>
    <definedName name="PY3_Cost_of_Sales">'[24]Income Statement'!$N$9</definedName>
    <definedName name="PY3_Current_Liabilities">'[24]Balance Sheet'!$K$28</definedName>
    <definedName name="PY3_Depreciation">'[24]Income Statement'!$N$16</definedName>
    <definedName name="PY3_Disc._Ops.">'[24]Income Statement'!$N$28</definedName>
    <definedName name="PY3_Extraord.">'[24]Income Statement'!$N$32</definedName>
    <definedName name="PY3_Gross_Profit">'[24]Income Statement'!$N$11</definedName>
    <definedName name="PY3_INC_AFT_TAX">'[24]Income Statement'!$N$26</definedName>
    <definedName name="PY3_INC_BEF_EXTRAORD">'[24]Income Statement'!$N$30</definedName>
    <definedName name="PY3_Inc_Bef_Tax">'[24]Income Statement'!$N$22</definedName>
    <definedName name="PY3_Interest_Expense">'[24]Income Statement'!$N$20</definedName>
    <definedName name="PY3_LIABIL_EQUITY">'[24]Balance Sheet'!$K$40</definedName>
    <definedName name="PY3_Long_term_Debt__excl_Dfd_Taxes">'[24]Balance Sheet'!$K$29</definedName>
    <definedName name="PY3_NET_INCOME">'[24]Income Statement'!$N$34</definedName>
    <definedName name="PY3_Net_Revenue">'[24]Income Statement'!$N$8</definedName>
    <definedName name="PY3_Operating_Inc">'[24]Income Statement'!$N$18</definedName>
    <definedName name="PY3_Other_Exp.">'[24]Income Statement'!$N$15</definedName>
    <definedName name="PY3_QUICK_ASSETS">'[24]Balance Sheet'!$K$12</definedName>
    <definedName name="PY3_Selling">'[24]Income Statement'!$N$14</definedName>
    <definedName name="PY3_Taxes">'[24]Income Statement'!$N$24</definedName>
    <definedName name="PY3_TOTAL_ASSETS">'[24]Balance Sheet'!$K$25</definedName>
    <definedName name="PY3_TOTAL_CURR_ASSETS">'[24]Balance Sheet'!$K$18</definedName>
    <definedName name="PY3_TOTAL_DEBT">'[24]Balance Sheet'!$K$32</definedName>
    <definedName name="PY3_TOTAL_EQUITY">'[24]Balance Sheet'!$K$38</definedName>
    <definedName name="PY3_Trade_Payables">'[24]Balance Sheet'!$K$27</definedName>
    <definedName name="PY3_Year_Income_Statement">'[24]Income Statement'!$N$3</definedName>
    <definedName name="PY4_Administration">'[24]Income Statement'!#REF!</definedName>
    <definedName name="PY4_Common_Equity">'[24]Balance Sheet'!$L$35</definedName>
    <definedName name="PY4_Cost_of_Sales">'[24]Income Statement'!#REF!</definedName>
    <definedName name="PY4_Depreciation">'[24]Income Statement'!#REF!</definedName>
    <definedName name="PY4_Disc._Ops.">'[24]Income Statement'!#REF!</definedName>
    <definedName name="PY4_Extraord.">'[24]Income Statement'!#REF!</definedName>
    <definedName name="PY4_Gross_Profit">'[24]Income Statement'!#REF!</definedName>
    <definedName name="PY4_INC_AFT_TAX">'[24]Income Statement'!#REF!</definedName>
    <definedName name="PY4_INC_BEF_EXTRAORD">'[24]Income Statement'!#REF!</definedName>
    <definedName name="PY4_Inc_Bef_Tax">'[24]Income Statement'!#REF!</definedName>
    <definedName name="PY4_Interest_Expense">'[24]Income Statement'!#REF!</definedName>
    <definedName name="PY4_LIABIL_EQUITY">'[24]Balance Sheet'!$L$40</definedName>
    <definedName name="PY4_NET_INCOME">'[24]Income Statement'!#REF!</definedName>
    <definedName name="PY4_Net_Revenue">'[24]Income Statement'!#REF!</definedName>
    <definedName name="PY4_Operating_Inc">'[24]Income Statement'!#REF!</definedName>
    <definedName name="PY4_Other_Exp.">'[24]Income Statement'!#REF!</definedName>
    <definedName name="PY4_Selling">'[24]Income Statement'!#REF!</definedName>
    <definedName name="PY4_Taxes">'[24]Income Statement'!#REF!</definedName>
    <definedName name="PY4_TOTAL_ASSETS">'[24]Balance Sheet'!$L$25</definedName>
    <definedName name="PY4_TOTAL_DEBT">'[24]Balance Sheet'!$L$32</definedName>
    <definedName name="PY4_TOTAL_EQUITY">'[24]Balance Sheet'!$L$38</definedName>
    <definedName name="PY4_Year_Income_Statement">'[24]Income Statement'!#REF!</definedName>
    <definedName name="PY5_Accounts_Receivable">'[24]Balance Sheet'!#REF!</definedName>
    <definedName name="PY5_Administration">'[24]Income Statement'!#REF!</definedName>
    <definedName name="PY5_Cash">'[24]Balance Sheet'!#REF!</definedName>
    <definedName name="PY5_Common_Equity">'[24]Balance Sheet'!#REF!</definedName>
    <definedName name="PY5_Cost_of_Sales">'[24]Income Statement'!#REF!</definedName>
    <definedName name="PY5_Current_Liabilities">'[24]Balance Sheet'!#REF!</definedName>
    <definedName name="PY5_Depreciation">'[24]Income Statement'!#REF!</definedName>
    <definedName name="PY5_Disc._Ops.">'[24]Income Statement'!#REF!</definedName>
    <definedName name="PY5_Extraord.">'[24]Income Statement'!#REF!</definedName>
    <definedName name="PY5_Gross_Profit">'[24]Income Statement'!#REF!</definedName>
    <definedName name="PY5_INC_AFT_TAX">'[24]Income Statement'!#REF!</definedName>
    <definedName name="PY5_INC_BEF_EXTRAORD">'[24]Income Statement'!#REF!</definedName>
    <definedName name="PY5_Inc_Bef_Tax">'[24]Income Statement'!#REF!</definedName>
    <definedName name="PY5_Intangible_Assets">'[24]Balance Sheet'!#REF!</definedName>
    <definedName name="PY5_Interest_Expense">'[24]Income Statement'!#REF!</definedName>
    <definedName name="PY5_Inventory">'[24]Balance Sheet'!#REF!</definedName>
    <definedName name="PY5_LIABIL_EQUITY">'[24]Balance Sheet'!#REF!</definedName>
    <definedName name="PY5_Long_term_Debt__excl_Dfd_Taxes">'[24]Balance Sheet'!#REF!</definedName>
    <definedName name="PY5_Marketable_Sec">'[24]Balance Sheet'!#REF!</definedName>
    <definedName name="PY5_NET_INCOME">'[24]Income Statement'!#REF!</definedName>
    <definedName name="PY5_Net_Revenue">'[24]Income Statement'!#REF!</definedName>
    <definedName name="PY5_Operating_Inc">'[24]Income Statement'!#REF!</definedName>
    <definedName name="PY5_Other_Curr_Assets">'[24]Balance Sheet'!#REF!</definedName>
    <definedName name="PY5_Other_Exp.">'[24]Income Statement'!#REF!</definedName>
    <definedName name="PY5_Other_LT_Assets">'[24]Balance Sheet'!#REF!</definedName>
    <definedName name="PY5_Other_LT_Liabilities">'[24]Balance Sheet'!#REF!</definedName>
    <definedName name="PY5_Preferred_Stock">'[24]Balance Sheet'!#REF!</definedName>
    <definedName name="PY5_QUICK_ASSETS">'[24]Balance Sheet'!#REF!</definedName>
    <definedName name="PY5_Retained_Earnings">'[24]Balance Sheet'!#REF!</definedName>
    <definedName name="PY5_Selling">'[24]Income Statement'!#REF!</definedName>
    <definedName name="PY5_Tangible_Assets">'[24]Balance Sheet'!#REF!</definedName>
    <definedName name="PY5_Taxes">'[24]Income Statement'!#REF!</definedName>
    <definedName name="PY5_TOTAL_ASSETS">'[24]Balance Sheet'!#REF!</definedName>
    <definedName name="PY5_TOTAL_CURR_ASSETS">'[24]Balance Sheet'!#REF!</definedName>
    <definedName name="PY5_TOTAL_DEBT">'[24]Balance Sheet'!#REF!</definedName>
    <definedName name="PY5_TOTAL_EQUITY">'[24]Balance Sheet'!#REF!</definedName>
    <definedName name="PY5_Trade_Payables">'[24]Balance Sheet'!#REF!</definedName>
    <definedName name="PY5_Year_Income_Statement">'[24]Income Statement'!#REF!</definedName>
    <definedName name="Q">#REF!</definedName>
    <definedName name="qq">#REF!</definedName>
    <definedName name="R_Factor">#REF!</definedName>
    <definedName name="re">'[53]S4201-AP CO'!$A$2:$A$33</definedName>
    <definedName name="rebe">#REF!</definedName>
    <definedName name="Reemplazos">#REF!</definedName>
    <definedName name="Ref_1">#REF!</definedName>
    <definedName name="Ref_1_16">#REF!</definedName>
    <definedName name="Ref_1_22">#REF!</definedName>
    <definedName name="Ref_1_4">NA()</definedName>
    <definedName name="Ref_1_5">NA()</definedName>
    <definedName name="Ref_1_8">#REF!</definedName>
    <definedName name="Ref_10">'[30]Costo+Reexp'!#REF!</definedName>
    <definedName name="Ref_10_12">NA()</definedName>
    <definedName name="Ref_10_13">NA()</definedName>
    <definedName name="Ref_10_15">NA()</definedName>
    <definedName name="Ref_10_16">NA()</definedName>
    <definedName name="Ref_10_2">NA()</definedName>
    <definedName name="Ref_10_22">#REF!</definedName>
    <definedName name="Ref_100">#REF!</definedName>
    <definedName name="Ref_100_22">#REF!</definedName>
    <definedName name="Ref_101">#REF!</definedName>
    <definedName name="Ref_101_22">#REF!</definedName>
    <definedName name="Ref_102">#REF!</definedName>
    <definedName name="Ref_102_22">#REF!</definedName>
    <definedName name="Ref_103">#REF!</definedName>
    <definedName name="Ref_103_22">#REF!</definedName>
    <definedName name="Ref_104">#REF!</definedName>
    <definedName name="Ref_104_22">#REF!</definedName>
    <definedName name="Ref_105">#REF!</definedName>
    <definedName name="Ref_105_22">#REF!</definedName>
    <definedName name="Ref_106">#REF!</definedName>
    <definedName name="Ref_106_22">#REF!</definedName>
    <definedName name="Ref_107">#REF!</definedName>
    <definedName name="Ref_107_22">#REF!</definedName>
    <definedName name="Ref_108">#REF!</definedName>
    <definedName name="Ref_109">#REF!</definedName>
    <definedName name="Ref_109_22">#REF!</definedName>
    <definedName name="Ref_11">#REF!</definedName>
    <definedName name="Ref_11_16">#REF!</definedName>
    <definedName name="Ref_11_22">#REF!</definedName>
    <definedName name="Ref_11_8">#REF!</definedName>
    <definedName name="Ref_110">#REF!</definedName>
    <definedName name="Ref_111">#REF!</definedName>
    <definedName name="Ref_111_22">#REF!</definedName>
    <definedName name="Ref_112">#REF!</definedName>
    <definedName name="Ref_113">#REF!</definedName>
    <definedName name="Ref_113_22">#REF!</definedName>
    <definedName name="Ref_114">#REF!</definedName>
    <definedName name="Ref_114_22">#REF!</definedName>
    <definedName name="Ref_115">#REF!</definedName>
    <definedName name="Ref_116">#REF!</definedName>
    <definedName name="Ref_116_22">#REF!</definedName>
    <definedName name="Ref_117">#REF!</definedName>
    <definedName name="Ref_117_22">#REF!</definedName>
    <definedName name="Ref_118">#REF!</definedName>
    <definedName name="Ref_118_22">#REF!</definedName>
    <definedName name="Ref_119">#REF!</definedName>
    <definedName name="Ref_12">'[30]Costo+Reexp'!#REF!</definedName>
    <definedName name="Ref_12_12">NA()</definedName>
    <definedName name="Ref_12_13">NA()</definedName>
    <definedName name="Ref_12_15">NA()</definedName>
    <definedName name="Ref_12_16">NA()</definedName>
    <definedName name="Ref_12_2">NA()</definedName>
    <definedName name="Ref_12_22">#REF!</definedName>
    <definedName name="Ref_120">#REF!</definedName>
    <definedName name="Ref_120_22">#REF!</definedName>
    <definedName name="Ref_121">#REF!</definedName>
    <definedName name="Ref_122">#REF!</definedName>
    <definedName name="Ref_122_22">#REF!</definedName>
    <definedName name="Ref_123">#REF!</definedName>
    <definedName name="Ref_123_22">#REF!</definedName>
    <definedName name="Ref_124">#REF!</definedName>
    <definedName name="Ref_124_22">#REF!</definedName>
    <definedName name="Ref_125">#REF!</definedName>
    <definedName name="Ref_125_22">#REF!</definedName>
    <definedName name="Ref_126">#REF!</definedName>
    <definedName name="Ref_126_22">#REF!</definedName>
    <definedName name="Ref_127">#REF!</definedName>
    <definedName name="Ref_127_22">#REF!</definedName>
    <definedName name="Ref_128">#REF!</definedName>
    <definedName name="Ref_128_22">#REF!</definedName>
    <definedName name="Ref_129">#REF!</definedName>
    <definedName name="Ref_129_22">#REF!</definedName>
    <definedName name="Ref_13">#REF!</definedName>
    <definedName name="Ref_13_16">#REF!</definedName>
    <definedName name="Ref_13_22">#REF!</definedName>
    <definedName name="Ref_13_8">#REF!</definedName>
    <definedName name="Ref_130">#REF!</definedName>
    <definedName name="Ref_130_22">#REF!</definedName>
    <definedName name="Ref_131">#REF!</definedName>
    <definedName name="Ref_131_22">#REF!</definedName>
    <definedName name="Ref_132">#REF!</definedName>
    <definedName name="Ref_132_22">#REF!</definedName>
    <definedName name="Ref_133">#REF!</definedName>
    <definedName name="Ref_133_22">#REF!</definedName>
    <definedName name="Ref_134">#REF!</definedName>
    <definedName name="Ref_134_22">#REF!</definedName>
    <definedName name="Ref_135">#REF!</definedName>
    <definedName name="Ref_135_22">#REF!</definedName>
    <definedName name="Ref_136">#REF!</definedName>
    <definedName name="Ref_136_22">#REF!</definedName>
    <definedName name="Ref_137">#REF!</definedName>
    <definedName name="Ref_14">#REF!</definedName>
    <definedName name="Ref_14_16">#REF!</definedName>
    <definedName name="Ref_14_22">#REF!</definedName>
    <definedName name="Ref_14_8">#REF!</definedName>
    <definedName name="Ref_15">#REF!</definedName>
    <definedName name="Ref_15_16">#REF!</definedName>
    <definedName name="Ref_15_22">#REF!</definedName>
    <definedName name="Ref_15_8">#REF!</definedName>
    <definedName name="Ref_150">NA()</definedName>
    <definedName name="Ref_151">NA()</definedName>
    <definedName name="Ref_152">NA()</definedName>
    <definedName name="Ref_153">#REF!</definedName>
    <definedName name="Ref_154">NA()</definedName>
    <definedName name="Ref_155">NA()</definedName>
    <definedName name="Ref_156">#REF!</definedName>
    <definedName name="Ref_157">#REF!</definedName>
    <definedName name="Ref_158">#REF!</definedName>
    <definedName name="Ref_159">#REF!</definedName>
    <definedName name="Ref_16">#REF!</definedName>
    <definedName name="Ref_16_16">#REF!</definedName>
    <definedName name="Ref_16_22">#REF!</definedName>
    <definedName name="Ref_16_8">#REF!</definedName>
    <definedName name="Ref_160">#REF!</definedName>
    <definedName name="Ref_161">#REF!</definedName>
    <definedName name="Ref_162">#REF!</definedName>
    <definedName name="Ref_17">#REF!</definedName>
    <definedName name="Ref_17_16">#REF!</definedName>
    <definedName name="Ref_17_22">#REF!</definedName>
    <definedName name="Ref_17_8">#REF!</definedName>
    <definedName name="Ref_18">'[30]Costo+Reexp'!#REF!</definedName>
    <definedName name="Ref_18_12">NA()</definedName>
    <definedName name="Ref_18_13">NA()</definedName>
    <definedName name="Ref_18_15">NA()</definedName>
    <definedName name="Ref_18_16">NA()</definedName>
    <definedName name="Ref_18_2">NA()</definedName>
    <definedName name="Ref_18_22">#REF!</definedName>
    <definedName name="Ref_19">#REF!</definedName>
    <definedName name="Ref_19_16">#REF!</definedName>
    <definedName name="Ref_19_22">#REF!</definedName>
    <definedName name="Ref_19_8">#REF!</definedName>
    <definedName name="Ref_2">#REF!</definedName>
    <definedName name="Ref_2_16">#REF!</definedName>
    <definedName name="Ref_2_22">#REF!</definedName>
    <definedName name="Ref_2_8">#REF!</definedName>
    <definedName name="Ref_20">#REF!</definedName>
    <definedName name="Ref_20_16">#REF!</definedName>
    <definedName name="Ref_20_8">#REF!</definedName>
    <definedName name="Ref_21">'[30]Costo+Reexp'!#REF!</definedName>
    <definedName name="Ref_21_12">NA()</definedName>
    <definedName name="Ref_21_13">NA()</definedName>
    <definedName name="Ref_21_15">NA()</definedName>
    <definedName name="Ref_21_16">NA()</definedName>
    <definedName name="Ref_21_2">NA()</definedName>
    <definedName name="Ref_22">#REF!</definedName>
    <definedName name="Ref_22_16">#REF!</definedName>
    <definedName name="Ref_22_8">#REF!</definedName>
    <definedName name="Ref_23">#REF!</definedName>
    <definedName name="Ref_23_15">#REF!</definedName>
    <definedName name="Ref_23_8">#REF!</definedName>
    <definedName name="Ref_24">#REF!</definedName>
    <definedName name="Ref_24_16">#REF!</definedName>
    <definedName name="Ref_24_8">#REF!</definedName>
    <definedName name="Ref_25">'[30]Costo+Reexp'!#REF!</definedName>
    <definedName name="Ref_25_12">NA()</definedName>
    <definedName name="Ref_25_13">NA()</definedName>
    <definedName name="Ref_25_15">NA()</definedName>
    <definedName name="Ref_25_16">NA()</definedName>
    <definedName name="Ref_25_2">NA()</definedName>
    <definedName name="Ref_26">#REF!</definedName>
    <definedName name="Ref_26_16">#REF!</definedName>
    <definedName name="Ref_26_8">#REF!</definedName>
    <definedName name="Ref_27">'[30]Costo+Reexp'!#REF!</definedName>
    <definedName name="Ref_27_12">NA()</definedName>
    <definedName name="Ref_27_13">NA()</definedName>
    <definedName name="Ref_27_15">NA()</definedName>
    <definedName name="Ref_27_16">NA()</definedName>
    <definedName name="Ref_27_2">NA()</definedName>
    <definedName name="Ref_28">#REF!</definedName>
    <definedName name="Ref_28_16">#REF!</definedName>
    <definedName name="Ref_28_8">#REF!</definedName>
    <definedName name="Ref_29">#REF!</definedName>
    <definedName name="Ref_29_16">#REF!</definedName>
    <definedName name="Ref_29_8">#REF!</definedName>
    <definedName name="Ref_3">#REF!</definedName>
    <definedName name="Ref_3_15">#REF!</definedName>
    <definedName name="Ref_3_2">#REF!</definedName>
    <definedName name="Ref_3_22">#REF!</definedName>
    <definedName name="Ref_3_3">#REF!</definedName>
    <definedName name="Ref_3_8">#REF!</definedName>
    <definedName name="Ref_30">#REF!</definedName>
    <definedName name="Ref_30_16">#REF!</definedName>
    <definedName name="Ref_30_8">#REF!</definedName>
    <definedName name="Ref_31">#REF!</definedName>
    <definedName name="Ref_31_16">#REF!</definedName>
    <definedName name="Ref_31_8">#REF!</definedName>
    <definedName name="Ref_32">#REF!</definedName>
    <definedName name="Ref_32_16">#REF!</definedName>
    <definedName name="Ref_32_8">#REF!</definedName>
    <definedName name="Ref_33">#REF!</definedName>
    <definedName name="Ref_33_16">#REF!</definedName>
    <definedName name="Ref_33_8">#REF!</definedName>
    <definedName name="Ref_34">#REF!</definedName>
    <definedName name="Ref_34_16">#REF!</definedName>
    <definedName name="Ref_34_8">#REF!</definedName>
    <definedName name="Ref_35">#REF!</definedName>
    <definedName name="Ref_35_16">#REF!</definedName>
    <definedName name="Ref_35_8">#REF!</definedName>
    <definedName name="Ref_36">#REF!</definedName>
    <definedName name="Ref_36_16">#REF!</definedName>
    <definedName name="Ref_36_8">#REF!</definedName>
    <definedName name="Ref_37">'[30]Costo+Reexp'!#REF!</definedName>
    <definedName name="Ref_37_12">NA()</definedName>
    <definedName name="Ref_37_13">NA()</definedName>
    <definedName name="Ref_37_15">NA()</definedName>
    <definedName name="Ref_37_16">NA()</definedName>
    <definedName name="Ref_37_2">NA()</definedName>
    <definedName name="Ref_38">'[54]Dep.Costo.'!#REF!</definedName>
    <definedName name="Ref_38_15">#REF!</definedName>
    <definedName name="Ref_38_8">#REF!</definedName>
    <definedName name="Ref_39">#REF!</definedName>
    <definedName name="Ref_39_16">#REF!</definedName>
    <definedName name="Ref_39_8">#REF!</definedName>
    <definedName name="Ref_4">#REF!</definedName>
    <definedName name="Ref_4_16">#REF!</definedName>
    <definedName name="Ref_4_22">#REF!</definedName>
    <definedName name="Ref_4_8">#REF!</definedName>
    <definedName name="Ref_40">'[30]Costo+Reexp'!#REF!</definedName>
    <definedName name="Ref_40_12">NA()</definedName>
    <definedName name="Ref_40_13">NA()</definedName>
    <definedName name="Ref_40_15">NA()</definedName>
    <definedName name="Ref_40_16">NA()</definedName>
    <definedName name="Ref_40_2">NA()</definedName>
    <definedName name="Ref_41">#REF!</definedName>
    <definedName name="Ref_41_16">#REF!</definedName>
    <definedName name="Ref_41_8">#REF!</definedName>
    <definedName name="Ref_42">#REF!</definedName>
    <definedName name="Ref_42_16">#REF!</definedName>
    <definedName name="Ref_42_8">#REF!</definedName>
    <definedName name="Ref_43">#REF!</definedName>
    <definedName name="Ref_43_16">#REF!</definedName>
    <definedName name="Ref_43_8">#REF!</definedName>
    <definedName name="Ref_44">#REF!</definedName>
    <definedName name="Ref_44_16">#REF!</definedName>
    <definedName name="Ref_44_8">#REF!</definedName>
    <definedName name="Ref_45">#REF!</definedName>
    <definedName name="Ref_45_16">#REF!</definedName>
    <definedName name="Ref_45_8">#REF!</definedName>
    <definedName name="Ref_46">'[30]Costo+Reexp'!#REF!</definedName>
    <definedName name="Ref_46_12">NA()</definedName>
    <definedName name="Ref_46_13">NA()</definedName>
    <definedName name="Ref_46_15">NA()</definedName>
    <definedName name="Ref_46_16">NA()</definedName>
    <definedName name="Ref_46_2">NA()</definedName>
    <definedName name="Ref_47">'[30]Costo+Reexp'!#REF!</definedName>
    <definedName name="Ref_47_12">NA()</definedName>
    <definedName name="Ref_47_13">NA()</definedName>
    <definedName name="Ref_47_15">NA()</definedName>
    <definedName name="Ref_47_16">NA()</definedName>
    <definedName name="Ref_47_2">NA()</definedName>
    <definedName name="Ref_48">'[30]Costo+Reexp'!#REF!</definedName>
    <definedName name="Ref_48_12">NA()</definedName>
    <definedName name="Ref_48_13">NA()</definedName>
    <definedName name="Ref_48_15">NA()</definedName>
    <definedName name="Ref_48_16">NA()</definedName>
    <definedName name="Ref_48_2">NA()</definedName>
    <definedName name="Ref_49">#REF!</definedName>
    <definedName name="Ref_49_16">#REF!</definedName>
    <definedName name="Ref_49_8">#REF!</definedName>
    <definedName name="Ref_5">#REF!</definedName>
    <definedName name="Ref_5_16">#REF!</definedName>
    <definedName name="Ref_5_22">#REF!</definedName>
    <definedName name="Ref_5_8">#REF!</definedName>
    <definedName name="Ref_50">#REF!</definedName>
    <definedName name="Ref_50_16">#REF!</definedName>
    <definedName name="Ref_50_8">#REF!</definedName>
    <definedName name="Ref_51">#REF!</definedName>
    <definedName name="Ref_51_16">#REF!</definedName>
    <definedName name="Ref_51_8">#REF!</definedName>
    <definedName name="Ref_52">#REF!</definedName>
    <definedName name="Ref_52_16">#REF!</definedName>
    <definedName name="Ref_52_8">#REF!</definedName>
    <definedName name="Ref_53">#REF!</definedName>
    <definedName name="Ref_53_16">#REF!</definedName>
    <definedName name="Ref_53_8">#REF!</definedName>
    <definedName name="Ref_54">#REF!</definedName>
    <definedName name="Ref_54_16">#REF!</definedName>
    <definedName name="Ref_54_8">#REF!</definedName>
    <definedName name="Ref_55">#REF!</definedName>
    <definedName name="Ref_55_16">#REF!</definedName>
    <definedName name="Ref_55_8">#REF!</definedName>
    <definedName name="Ref_56">#REF!</definedName>
    <definedName name="Ref_56_16">#REF!</definedName>
    <definedName name="Ref_56_8">#REF!</definedName>
    <definedName name="Ref_57">#REF!</definedName>
    <definedName name="Ref_57_16">#REF!</definedName>
    <definedName name="Ref_57_8">#REF!</definedName>
    <definedName name="Ref_58">#REF!</definedName>
    <definedName name="Ref_58_16">#REF!</definedName>
    <definedName name="Ref_58_8">#REF!</definedName>
    <definedName name="Ref_59">#REF!</definedName>
    <definedName name="Ref_59_16">#REF!</definedName>
    <definedName name="Ref_59_8">#REF!</definedName>
    <definedName name="Ref_6">'[30]Costo+Reexp'!#REF!</definedName>
    <definedName name="Ref_6_12">NA()</definedName>
    <definedName name="Ref_6_13">NA()</definedName>
    <definedName name="Ref_6_15">NA()</definedName>
    <definedName name="Ref_6_16">NA()</definedName>
    <definedName name="Ref_6_2">NA()</definedName>
    <definedName name="Ref_6_22">#REF!</definedName>
    <definedName name="Ref_60">#REF!</definedName>
    <definedName name="Ref_60_16">#REF!</definedName>
    <definedName name="Ref_60_8">#REF!</definedName>
    <definedName name="Ref_61">#REF!</definedName>
    <definedName name="Ref_61_16">#REF!</definedName>
    <definedName name="Ref_61_8">#REF!</definedName>
    <definedName name="Ref_62">'[30]Costo+Reexp'!#REF!</definedName>
    <definedName name="Ref_62_12">NA()</definedName>
    <definedName name="Ref_62_13">NA()</definedName>
    <definedName name="Ref_62_15">NA()</definedName>
    <definedName name="Ref_62_16">NA()</definedName>
    <definedName name="Ref_62_2">NA()</definedName>
    <definedName name="Ref_63">'[30]Costo+Reexp'!#REF!</definedName>
    <definedName name="Ref_63_12">NA()</definedName>
    <definedName name="Ref_63_13">NA()</definedName>
    <definedName name="Ref_63_15">NA()</definedName>
    <definedName name="Ref_63_16">NA()</definedName>
    <definedName name="Ref_63_2">NA()</definedName>
    <definedName name="Ref_64">#REF!</definedName>
    <definedName name="Ref_64_16">#REF!</definedName>
    <definedName name="Ref_64_8">#REF!</definedName>
    <definedName name="Ref_65">#REF!</definedName>
    <definedName name="Ref_65_16">#REF!</definedName>
    <definedName name="Ref_65_8">#REF!</definedName>
    <definedName name="Ref_66">'[30]Costo+Reexp'!#REF!</definedName>
    <definedName name="Ref_66_12">NA()</definedName>
    <definedName name="Ref_66_13">NA()</definedName>
    <definedName name="Ref_66_15">NA()</definedName>
    <definedName name="Ref_66_16">NA()</definedName>
    <definedName name="Ref_66_2">NA()</definedName>
    <definedName name="Ref_67">#REF!</definedName>
    <definedName name="Ref_67_16">#REF!</definedName>
    <definedName name="Ref_67_8">#REF!</definedName>
    <definedName name="Ref_68">#REF!</definedName>
    <definedName name="Ref_68_16">#REF!</definedName>
    <definedName name="Ref_68_8">#REF!</definedName>
    <definedName name="Ref_69">#REF!</definedName>
    <definedName name="Ref_69_16">#REF!</definedName>
    <definedName name="Ref_69_8">#REF!</definedName>
    <definedName name="Ref_7">#REF!</definedName>
    <definedName name="Ref_7_16">#REF!</definedName>
    <definedName name="Ref_7_22">#REF!</definedName>
    <definedName name="Ref_7_8">#REF!</definedName>
    <definedName name="Ref_70">#REF!</definedName>
    <definedName name="Ref_70_16">#REF!</definedName>
    <definedName name="Ref_70_8">#REF!</definedName>
    <definedName name="Ref_71">#REF!</definedName>
    <definedName name="Ref_71_16">#REF!</definedName>
    <definedName name="Ref_71_8">#REF!</definedName>
    <definedName name="Ref_72">#REF!</definedName>
    <definedName name="Ref_72_16">#REF!</definedName>
    <definedName name="Ref_72_8">#REF!</definedName>
    <definedName name="Ref_73">#REF!</definedName>
    <definedName name="Ref_73_16">#REF!</definedName>
    <definedName name="Ref_73_8">#REF!</definedName>
    <definedName name="Ref_74">#REF!</definedName>
    <definedName name="Ref_74_16">#REF!</definedName>
    <definedName name="Ref_74_8">#REF!</definedName>
    <definedName name="Ref_75">#REF!</definedName>
    <definedName name="Ref_75_16">#REF!</definedName>
    <definedName name="Ref_75_8">#REF!</definedName>
    <definedName name="Ref_76">#REF!</definedName>
    <definedName name="Ref_76_16">#REF!</definedName>
    <definedName name="Ref_76_8">#REF!</definedName>
    <definedName name="Ref_77">#REF!</definedName>
    <definedName name="Ref_77_16">#REF!</definedName>
    <definedName name="Ref_77_22">NA()</definedName>
    <definedName name="Ref_77_8">#REF!</definedName>
    <definedName name="Ref_78">#REF!</definedName>
    <definedName name="Ref_78_16">#REF!</definedName>
    <definedName name="Ref_78_8">#REF!</definedName>
    <definedName name="Ref_79">'[30]Costo+Reexp'!#REF!</definedName>
    <definedName name="Ref_79_12">NA()</definedName>
    <definedName name="Ref_79_13">NA()</definedName>
    <definedName name="Ref_79_15">NA()</definedName>
    <definedName name="Ref_79_16">NA()</definedName>
    <definedName name="Ref_79_2">NA()</definedName>
    <definedName name="Ref_8">#REF!</definedName>
    <definedName name="Ref_8_16">#REF!</definedName>
    <definedName name="Ref_8_22">#REF!</definedName>
    <definedName name="Ref_8_8">#REF!</definedName>
    <definedName name="Ref_80">'[30]Costo+Reexp'!#REF!</definedName>
    <definedName name="Ref_80_12">NA()</definedName>
    <definedName name="Ref_80_13">NA()</definedName>
    <definedName name="Ref_80_15">NA()</definedName>
    <definedName name="Ref_80_16">NA()</definedName>
    <definedName name="Ref_80_2">NA()</definedName>
    <definedName name="Ref_81">#REF!</definedName>
    <definedName name="Ref_82">#REF!</definedName>
    <definedName name="Ref_83">#REF!</definedName>
    <definedName name="Ref_84">#REF!</definedName>
    <definedName name="Ref_84_22">#REF!</definedName>
    <definedName name="Ref_85">#REF!</definedName>
    <definedName name="Ref_85_15">#REF!</definedName>
    <definedName name="Ref_85_22">#REF!</definedName>
    <definedName name="Ref_85_8">#REF!</definedName>
    <definedName name="Ref_86">#REF!</definedName>
    <definedName name="Ref_86_15">#REF!</definedName>
    <definedName name="Ref_86_22">#REF!</definedName>
    <definedName name="Ref_86_8">#REF!</definedName>
    <definedName name="Ref_87">#REF!</definedName>
    <definedName name="Ref_87_15">#REF!</definedName>
    <definedName name="Ref_87_22">#REF!</definedName>
    <definedName name="Ref_87_8">#REF!</definedName>
    <definedName name="Ref_88">#REF!</definedName>
    <definedName name="Ref_88_22">#REF!</definedName>
    <definedName name="Ref_89">#REF!</definedName>
    <definedName name="Ref_89_22">#REF!</definedName>
    <definedName name="Ref_9">#REF!</definedName>
    <definedName name="Ref_9_16">#REF!</definedName>
    <definedName name="Ref_9_22">#REF!</definedName>
    <definedName name="Ref_9_8">#REF!</definedName>
    <definedName name="Ref_90">#REF!</definedName>
    <definedName name="Ref_91">#REF!</definedName>
    <definedName name="Ref_92">#REF!</definedName>
    <definedName name="Ref_93">#REF!</definedName>
    <definedName name="Ref_93_22">#REF!</definedName>
    <definedName name="Ref_94">#REF!</definedName>
    <definedName name="Ref_94_22">#REF!</definedName>
    <definedName name="Ref_95">#REF!</definedName>
    <definedName name="Ref_95_22">#REF!</definedName>
    <definedName name="Ref_96">#REF!</definedName>
    <definedName name="Ref_96_22">#REF!</definedName>
    <definedName name="Ref_97">#REF!</definedName>
    <definedName name="Ref_97_22">#REF!</definedName>
    <definedName name="Ref_98">#REF!</definedName>
    <definedName name="Ref_98_22">#REF!</definedName>
    <definedName name="Ref_99">#REF!</definedName>
    <definedName name="Ref_99_22">#REF!</definedName>
    <definedName name="Referencia">#REF!</definedName>
    <definedName name="rent">[6]ER!$H$154</definedName>
    <definedName name="Resid.S_.">'[8]LISTADO 09 01'!#REF!</definedName>
    <definedName name="Resid.U_.">'[8]LISTADO 09 01'!#REF!</definedName>
    <definedName name="Residual_difference">#REF!</definedName>
    <definedName name="resumen">#REF!</definedName>
    <definedName name="Retroactivo_A_MAYO">#REF!</definedName>
    <definedName name="REV._COSTO">'[8]LISTADO 09 01'!#REF!</definedName>
    <definedName name="REV._DEP.">'[8]LISTADO 09 01'!#REF!</definedName>
    <definedName name="RID">#REF!</definedName>
    <definedName name="ROCIO">'[17]1134'!#REF!</definedName>
    <definedName name="rr">#REF!</definedName>
    <definedName name="s">#REF!</definedName>
    <definedName name="S_AcctDes">#REF!</definedName>
    <definedName name="S_AcctDes_16">#REF!</definedName>
    <definedName name="S_AcctDes_8">#REF!</definedName>
    <definedName name="S_AcctNum">#REF!</definedName>
    <definedName name="S_AcctNum_16">#REF!</definedName>
    <definedName name="S_AcctNum_8">#REF!</definedName>
    <definedName name="S_Adjust">'[55]Costos y Gastos - final'!#REF!</definedName>
    <definedName name="S_Adjust_15">#REF!</definedName>
    <definedName name="S_Adjust_8">#REF!</definedName>
    <definedName name="S_Adjust_Data">[12]Lead!$I$1:$I$7</definedName>
    <definedName name="S_Adjust_Data_15">NA()</definedName>
    <definedName name="S_Adjust_Data_8">NA()</definedName>
    <definedName name="S_Adjust_GT">'[55]Costos y Gastos - final'!#REF!</definedName>
    <definedName name="S_Adjust_GT_15">#REF!</definedName>
    <definedName name="S_Adjust_GT_8">#REF!</definedName>
    <definedName name="S_AJE_Tot">'[55]Costos y Gastos - final'!#REF!</definedName>
    <definedName name="S_AJE_Tot_15">#REF!</definedName>
    <definedName name="S_AJE_Tot_8">#REF!</definedName>
    <definedName name="S_AJE_Tot_Data">[12]Lead!$H$1:$H$7</definedName>
    <definedName name="S_AJE_Tot_Data_15">NA()</definedName>
    <definedName name="S_AJE_Tot_Data_8">NA()</definedName>
    <definedName name="S_AJE_Tot_GT">'[55]Costos y Gastos - final'!#REF!</definedName>
    <definedName name="S_AJE_Tot_GT_15">#REF!</definedName>
    <definedName name="S_AJE_Tot_GT_8">#REF!</definedName>
    <definedName name="S_CompNum">'[55]Costos y Gastos - final'!#REF!</definedName>
    <definedName name="S_CompNum_15">#REF!</definedName>
    <definedName name="S_CompNum_8">#REF!</definedName>
    <definedName name="S_CY_Beg">#REF!</definedName>
    <definedName name="S_CY_Beg_16">#REF!</definedName>
    <definedName name="S_CY_Beg_8">#REF!</definedName>
    <definedName name="S_CY_Beg_Data">[12]Lead!$F$1:$F$7</definedName>
    <definedName name="S_CY_Beg_Data_15">NA()</definedName>
    <definedName name="S_CY_Beg_Data_8">NA()</definedName>
    <definedName name="S_CY_Beg_GT">#REF!</definedName>
    <definedName name="S_CY_Beg_GT_15">#REF!</definedName>
    <definedName name="S_CY_Beg_GT_8">#REF!</definedName>
    <definedName name="S_CY_End">#REF!</definedName>
    <definedName name="S_CY_End_12">#REF!</definedName>
    <definedName name="S_CY_End_13">#REF!</definedName>
    <definedName name="S_CY_End_15">#REF!</definedName>
    <definedName name="S_CY_End_16">#REF!</definedName>
    <definedName name="S_CY_End_2">#REF!</definedName>
    <definedName name="S_CY_End_8">#REF!</definedName>
    <definedName name="S_CY_End_Data">[12]Lead!$K$1:$K$7</definedName>
    <definedName name="S_CY_End_Data_15">NA()</definedName>
    <definedName name="S_CY_End_Data_8">NA()</definedName>
    <definedName name="S_CY_End_GT">'[55]Costos y Gastos - final'!#REF!</definedName>
    <definedName name="S_CY_End_GT_15">#REF!</definedName>
    <definedName name="S_CY_End_GT_8">#REF!</definedName>
    <definedName name="S_Diff_Amt">#REF!</definedName>
    <definedName name="S_Diff_Amt_12">#REF!</definedName>
    <definedName name="S_Diff_Amt_13">#REF!</definedName>
    <definedName name="S_Diff_Amt_15">#REF!</definedName>
    <definedName name="S_Diff_Amt_16">#REF!</definedName>
    <definedName name="S_Diff_Amt_2">#REF!</definedName>
    <definedName name="S_Diff_Amt_8">#REF!</definedName>
    <definedName name="S_Diff_Pct">#REF!</definedName>
    <definedName name="S_Diff_Pct_12">#REF!</definedName>
    <definedName name="S_Diff_Pct_13">#REF!</definedName>
    <definedName name="S_Diff_Pct_15">#REF!</definedName>
    <definedName name="S_Diff_Pct_16">#REF!</definedName>
    <definedName name="S_Diff_Pct_2">#REF!</definedName>
    <definedName name="S_Diff_Pct_8">#REF!</definedName>
    <definedName name="S_GrpNum">'[55]Costos y Gastos - final'!#REF!</definedName>
    <definedName name="S_GrpNum_15">#REF!</definedName>
    <definedName name="S_GrpNum_8">#REF!</definedName>
    <definedName name="S_Headings">#REF!</definedName>
    <definedName name="S_Headings_16">#REF!</definedName>
    <definedName name="S_Headings_8">#REF!</definedName>
    <definedName name="S_KeyValue">#REF!</definedName>
    <definedName name="S_KeyValue_15">#REF!</definedName>
    <definedName name="S_KeyValue_8">#REF!</definedName>
    <definedName name="S_LSRange1">#REF!</definedName>
    <definedName name="S_LSRange1_16">#REF!</definedName>
    <definedName name="S_LSRange1_8">#REF!</definedName>
    <definedName name="S_LSRange1Balance">#REF!</definedName>
    <definedName name="S_LSRange1Balance_16">#REF!</definedName>
    <definedName name="S_LSRange1Balance_8">#REF!</definedName>
    <definedName name="S_LSRange1Balance1">#REF!</definedName>
    <definedName name="S_LSRange1Balance1_16">#REF!</definedName>
    <definedName name="S_LSRange1Balance1_8">#REF!</definedName>
    <definedName name="S_LSRange1Balance2">#REF!</definedName>
    <definedName name="S_LSRange1Balance2_12">#REF!</definedName>
    <definedName name="S_LSRange1Balance2_13">#REF!</definedName>
    <definedName name="S_LSRange1Balance2_15">#REF!</definedName>
    <definedName name="S_LSRange1Balance2_16">#REF!</definedName>
    <definedName name="S_LSRange1Balance2_2">#REF!</definedName>
    <definedName name="S_LSRange1Balance2_8">#REF!</definedName>
    <definedName name="S_LSRange1Balance3">#REF!</definedName>
    <definedName name="S_LSRange1Balance3_12">#REF!</definedName>
    <definedName name="S_LSRange1Balance3_13">#REF!</definedName>
    <definedName name="S_LSRange1Balance3_15">#REF!</definedName>
    <definedName name="S_LSRange1Balance3_16">#REF!</definedName>
    <definedName name="S_LSRange1Balance3_2">#REF!</definedName>
    <definedName name="S_LSRange1Balance3_8">#REF!</definedName>
    <definedName name="S_LSRange2">#REF!</definedName>
    <definedName name="S_LSRange2_16">#REF!</definedName>
    <definedName name="S_LSRange2_8">#REF!</definedName>
    <definedName name="S_LSRange2Balance">#REF!</definedName>
    <definedName name="S_LSRange2Balance_16">#REF!</definedName>
    <definedName name="S_LSRange2Balance_8">#REF!</definedName>
    <definedName name="S_LSRange2Balance1">#REF!</definedName>
    <definedName name="S_LSRange2Balance1_16">#REF!</definedName>
    <definedName name="S_LSRange2Balance1_8">#REF!</definedName>
    <definedName name="S_LSRange2Balance2">#REF!</definedName>
    <definedName name="S_LSRange2Balance2_12">#REF!</definedName>
    <definedName name="S_LSRange2Balance2_13">#REF!</definedName>
    <definedName name="S_LSRange2Balance2_15">#REF!</definedName>
    <definedName name="S_LSRange2Balance2_16">#REF!</definedName>
    <definedName name="S_LSRange2Balance2_2">#REF!</definedName>
    <definedName name="S_LSRange2Balance2_8">#REF!</definedName>
    <definedName name="S_LSRange2Balance3">#REF!</definedName>
    <definedName name="S_LSRange2Balance3_12">#REF!</definedName>
    <definedName name="S_LSRange2Balance3_13">#REF!</definedName>
    <definedName name="S_LSRange2Balance3_15">#REF!</definedName>
    <definedName name="S_LSRange2Balance3_16">#REF!</definedName>
    <definedName name="S_LSRange2Balance3_2">#REF!</definedName>
    <definedName name="S_LSRange2Balance3_8">#REF!</definedName>
    <definedName name="S_LSRange3">#REF!</definedName>
    <definedName name="S_LSRange3_16">#REF!</definedName>
    <definedName name="S_LSRange3_8">#REF!</definedName>
    <definedName name="S_LSRange3Balance">#REF!</definedName>
    <definedName name="S_LSRange3Balance_16">#REF!</definedName>
    <definedName name="S_LSRange3Balance_8">#REF!</definedName>
    <definedName name="S_LSRange3Balance1">#REF!</definedName>
    <definedName name="S_LSRange3Balance1_16">#REF!</definedName>
    <definedName name="S_LSRange3Balance1_8">#REF!</definedName>
    <definedName name="S_LSRange3Balance2">#REF!</definedName>
    <definedName name="S_LSRange3Balance2_12">#REF!</definedName>
    <definedName name="S_LSRange3Balance2_13">#REF!</definedName>
    <definedName name="S_LSRange3Balance2_15">#REF!</definedName>
    <definedName name="S_LSRange3Balance2_16">#REF!</definedName>
    <definedName name="S_LSRange3Balance2_2">#REF!</definedName>
    <definedName name="S_LSRange3Balance2_8">#REF!</definedName>
    <definedName name="S_LSRange3Balance3">#REF!</definedName>
    <definedName name="S_LSRange3Balance3_12">#REF!</definedName>
    <definedName name="S_LSRange3Balance3_13">#REF!</definedName>
    <definedName name="S_LSRange3Balance3_15">#REF!</definedName>
    <definedName name="S_LSRange3Balance3_16">#REF!</definedName>
    <definedName name="S_LSRange3Balance3_2">#REF!</definedName>
    <definedName name="S_LSRange3Balance3_8">#REF!</definedName>
    <definedName name="S_LSRange4">#REF!</definedName>
    <definedName name="S_LSRange4_16">#REF!</definedName>
    <definedName name="S_LSRange4_8">#REF!</definedName>
    <definedName name="S_LSRange4Balance">#REF!</definedName>
    <definedName name="S_LSRange4Balance_16">#REF!</definedName>
    <definedName name="S_LSRange4Balance_8">#REF!</definedName>
    <definedName name="S_LSRange4Balance1">#REF!</definedName>
    <definedName name="S_LSRange4Balance1_16">#REF!</definedName>
    <definedName name="S_LSRange4Balance1_8">#REF!</definedName>
    <definedName name="S_LSRange4Balance2">#REF!</definedName>
    <definedName name="S_LSRange4Balance2_12">#REF!</definedName>
    <definedName name="S_LSRange4Balance2_13">#REF!</definedName>
    <definedName name="S_LSRange4Balance2_15">#REF!</definedName>
    <definedName name="S_LSRange4Balance2_16">#REF!</definedName>
    <definedName name="S_LSRange4Balance2_2">#REF!</definedName>
    <definedName name="S_LSRange4Balance2_8">#REF!</definedName>
    <definedName name="S_LSRange4Balance3">#REF!</definedName>
    <definedName name="S_LSRange4Balance3_12">#REF!</definedName>
    <definedName name="S_LSRange4Balance3_13">#REF!</definedName>
    <definedName name="S_LSRange4Balance3_15">#REF!</definedName>
    <definedName name="S_LSRange4Balance3_16">#REF!</definedName>
    <definedName name="S_LSRange4Balance3_2">#REF!</definedName>
    <definedName name="S_LSRange4Balance3_8">#REF!</definedName>
    <definedName name="S_LSRange5">#REF!</definedName>
    <definedName name="S_LSRange5_16">#REF!</definedName>
    <definedName name="S_LSRange5_8">#REF!</definedName>
    <definedName name="S_LSRange5Balance">#REF!</definedName>
    <definedName name="S_LSRange5Balance_16">#REF!</definedName>
    <definedName name="S_LSRange5Balance_8">#REF!</definedName>
    <definedName name="S_LSRange5Balance1">#REF!</definedName>
    <definedName name="S_LSRange5Balance1_16">#REF!</definedName>
    <definedName name="S_LSRange5Balance1_8">#REF!</definedName>
    <definedName name="S_LSRange5Balance2">#REF!</definedName>
    <definedName name="S_LSRange5Balance2_12">#REF!</definedName>
    <definedName name="S_LSRange5Balance2_13">#REF!</definedName>
    <definedName name="S_LSRange5Balance2_15">#REF!</definedName>
    <definedName name="S_LSRange5Balance2_16">#REF!</definedName>
    <definedName name="S_LSRange5Balance2_2">#REF!</definedName>
    <definedName name="S_LSRange5Balance2_8">#REF!</definedName>
    <definedName name="S_LSRange5Balance3">#REF!</definedName>
    <definedName name="S_LSRange5Balance3_12">#REF!</definedName>
    <definedName name="S_LSRange5Balance3_13">#REF!</definedName>
    <definedName name="S_LSRange5Balance3_15">#REF!</definedName>
    <definedName name="S_LSRange5Balance3_16">#REF!</definedName>
    <definedName name="S_LSRange5Balance3_2">#REF!</definedName>
    <definedName name="S_LSRange5Balance3_8">#REF!</definedName>
    <definedName name="S_LSRange6">#REF!</definedName>
    <definedName name="S_LSRange6_16">#REF!</definedName>
    <definedName name="S_LSRange6_8">#REF!</definedName>
    <definedName name="S_LSRange6Balance">#REF!</definedName>
    <definedName name="S_LSRange6Balance_16">#REF!</definedName>
    <definedName name="S_LSRange6Balance_8">#REF!</definedName>
    <definedName name="S_LSRange6Balance1">#REF!</definedName>
    <definedName name="S_LSRange6Balance1_16">#REF!</definedName>
    <definedName name="S_LSRange6Balance1_8">#REF!</definedName>
    <definedName name="S_LSRange6Balance2">#REF!</definedName>
    <definedName name="S_LSRange6Balance2_12">#REF!</definedName>
    <definedName name="S_LSRange6Balance2_13">#REF!</definedName>
    <definedName name="S_LSRange6Balance2_15">#REF!</definedName>
    <definedName name="S_LSRange6Balance2_16">#REF!</definedName>
    <definedName name="S_LSRange6Balance2_2">#REF!</definedName>
    <definedName name="S_LSRange6Balance2_8">#REF!</definedName>
    <definedName name="S_LSRange6Balance3">#REF!</definedName>
    <definedName name="S_LSRange6Balance3_12">#REF!</definedName>
    <definedName name="S_LSRange6Balance3_13">#REF!</definedName>
    <definedName name="S_LSRange6Balance3_15">#REF!</definedName>
    <definedName name="S_LSRange6Balance3_16">#REF!</definedName>
    <definedName name="S_LSRange6Balance3_2">#REF!</definedName>
    <definedName name="S_LSRange6Balance3_8">#REF!</definedName>
    <definedName name="S_LSRange7">#REF!</definedName>
    <definedName name="S_LSRange7_16">#REF!</definedName>
    <definedName name="S_LSRange7_8">#REF!</definedName>
    <definedName name="S_LSRange7Balance">#REF!</definedName>
    <definedName name="S_LSRange7Balance_16">#REF!</definedName>
    <definedName name="S_LSRange7Balance_8">#REF!</definedName>
    <definedName name="S_LSRange7Balance1">#REF!</definedName>
    <definedName name="S_LSRange7Balance1_16">#REF!</definedName>
    <definedName name="S_LSRange7Balance1_8">#REF!</definedName>
    <definedName name="S_LSRange7Balance2">#REF!</definedName>
    <definedName name="S_LSRange7Balance2_12">#REF!</definedName>
    <definedName name="S_LSRange7Balance2_13">#REF!</definedName>
    <definedName name="S_LSRange7Balance2_15">#REF!</definedName>
    <definedName name="S_LSRange7Balance2_16">#REF!</definedName>
    <definedName name="S_LSRange7Balance2_2">#REF!</definedName>
    <definedName name="S_LSRange7Balance2_8">#REF!</definedName>
    <definedName name="S_LSRange7Balance3">#REF!</definedName>
    <definedName name="S_LSRange7Balance3_12">#REF!</definedName>
    <definedName name="S_LSRange7Balance3_13">#REF!</definedName>
    <definedName name="S_LSRange7Balance3_15">#REF!</definedName>
    <definedName name="S_LSRange7Balance3_16">#REF!</definedName>
    <definedName name="S_LSRange7Balance3_2">#REF!</definedName>
    <definedName name="S_LSRange7Balance3_8">#REF!</definedName>
    <definedName name="S_LSRange8">#REF!</definedName>
    <definedName name="S_LSRange8_16">#REF!</definedName>
    <definedName name="S_LSRange8_8">#REF!</definedName>
    <definedName name="S_LSRange8Balance">#REF!</definedName>
    <definedName name="S_LSRange8Balance_16">#REF!</definedName>
    <definedName name="S_LSRange8Balance_8">#REF!</definedName>
    <definedName name="S_LSRange8Balance1">#REF!</definedName>
    <definedName name="S_LSRange8Balance1_16">#REF!</definedName>
    <definedName name="S_LSRange8Balance1_8">#REF!</definedName>
    <definedName name="S_LSRange8Balance2">#REF!</definedName>
    <definedName name="S_LSRange8Balance2_12">#REF!</definedName>
    <definedName name="S_LSRange8Balance2_13">#REF!</definedName>
    <definedName name="S_LSRange8Balance2_15">#REF!</definedName>
    <definedName name="S_LSRange8Balance2_16">#REF!</definedName>
    <definedName name="S_LSRange8Balance2_2">#REF!</definedName>
    <definedName name="S_LSRange8Balance2_8">#REF!</definedName>
    <definedName name="S_LSRange8Balance3">#REF!</definedName>
    <definedName name="S_LSRange8Balance3_12">#REF!</definedName>
    <definedName name="S_LSRange8Balance3_13">#REF!</definedName>
    <definedName name="S_LSRange8Balance3_15">#REF!</definedName>
    <definedName name="S_LSRange8Balance3_16">#REF!</definedName>
    <definedName name="S_LSRange8Balance3_2">#REF!</definedName>
    <definedName name="S_LSRange8Balance3_8">#REF!</definedName>
    <definedName name="S_PY_End">#REF!</definedName>
    <definedName name="S_PY_End_12">#REF!</definedName>
    <definedName name="S_PY_End_13">#REF!</definedName>
    <definedName name="S_PY_End_15">#REF!</definedName>
    <definedName name="S_PY_End_16">#REF!</definedName>
    <definedName name="S_PY_End_2">#REF!</definedName>
    <definedName name="S_PY_End_8">#REF!</definedName>
    <definedName name="S_PY_End_Data">[12]Lead!$N$1:$N$7</definedName>
    <definedName name="S_PY_End_Data_15">NA()</definedName>
    <definedName name="S_PY_End_Data_8">NA()</definedName>
    <definedName name="S_PY_End_GT">'[55]Costos y Gastos - final'!#REF!</definedName>
    <definedName name="S_PY_End_GT_15">#REF!</definedName>
    <definedName name="S_PY_End_GT_8">#REF!</definedName>
    <definedName name="S_RJE_Tot">'[55]Costos y Gastos - final'!#REF!</definedName>
    <definedName name="S_RJE_Tot_15">#REF!</definedName>
    <definedName name="S_RJE_Tot_8">#REF!</definedName>
    <definedName name="S_RJE_Tot_Data">[12]Lead!$J$1:$J$7</definedName>
    <definedName name="S_RJE_Tot_Data_15">NA()</definedName>
    <definedName name="S_RJE_Tot_Data_8">NA()</definedName>
    <definedName name="S_RJE_Tot_GT">'[55]Costos y Gastos - final'!#REF!</definedName>
    <definedName name="S_RJE_Tot_GT_15">#REF!</definedName>
    <definedName name="S_RJE_Tot_GT_8">#REF!</definedName>
    <definedName name="S_RowNum">#REF!</definedName>
    <definedName name="S_RowNum_15">#REF!</definedName>
    <definedName name="S_RowNum_8">#REF!</definedName>
    <definedName name="S_Total">#REF!</definedName>
    <definedName name="S_Total_16">#REF!</definedName>
    <definedName name="S_Total_8">#REF!</definedName>
    <definedName name="S_Total1">#REF!</definedName>
    <definedName name="S_Total1_16">#REF!</definedName>
    <definedName name="S_Total1_8">#REF!</definedName>
    <definedName name="S_Total2">#REF!</definedName>
    <definedName name="S_Total2_12">#REF!</definedName>
    <definedName name="S_Total2_13">#REF!</definedName>
    <definedName name="S_Total2_15">#REF!</definedName>
    <definedName name="S_Total2_16">#REF!</definedName>
    <definedName name="S_Total2_2">#REF!</definedName>
    <definedName name="S_Total2_8">#REF!</definedName>
    <definedName name="S_Total3">#REF!</definedName>
    <definedName name="S_Total3_12">#REF!</definedName>
    <definedName name="S_Total3_13">#REF!</definedName>
    <definedName name="S_Total3_15">#REF!</definedName>
    <definedName name="S_Total3_16">#REF!</definedName>
    <definedName name="S_Total3_2">#REF!</definedName>
    <definedName name="S_Total3_8">#REF!</definedName>
    <definedName name="SA">#REF!</definedName>
    <definedName name="safdsdafasf" hidden="1">{#N/A,#N/A,FALSE,"Aging Summary";#N/A,#N/A,FALSE,"Ratio Analysis";#N/A,#N/A,FALSE,"Test 120 Day Accts";#N/A,#N/A,FALSE,"Tickmarks"}</definedName>
    <definedName name="salaries">[6]ER!$H$150</definedName>
    <definedName name="saldocontable">#REF!</definedName>
    <definedName name="saldoesperado">#REF!</definedName>
    <definedName name="SALESAGU">#REF!</definedName>
    <definedName name="SALESM">#REF!</definedName>
    <definedName name="SANDRY">'[17]1134'!#REF!</definedName>
    <definedName name="sasa" hidden="1">#REF!</definedName>
    <definedName name="sdas">'[56]APT Compras de Inventario'!#REF!</definedName>
    <definedName name="sdf">#REF!</definedName>
    <definedName name="SE">#REF!</definedName>
    <definedName name="SEGUROS">#REF!</definedName>
    <definedName name="Selec.APT.Junio" hidden="1">{#N/A,#N/A,FALSE,"Aging Summary";#N/A,#N/A,FALSE,"Ratio Analysis";#N/A,#N/A,FALSE,"Test 120 Day Accts";#N/A,#N/A,FALSE,"Tickmarks"}</definedName>
    <definedName name="Selection_Remainder">#REF!</definedName>
    <definedName name="Sep">11400</definedName>
    <definedName name="ser_ban">[6]ER!$H$160</definedName>
    <definedName name="sjav">'[32]Cobertura de Seguros Prel.'!$A$1</definedName>
    <definedName name="spo">'[57]119 - SPO'!#REF!</definedName>
    <definedName name="SS">#REF!</definedName>
    <definedName name="sss">NA()</definedName>
    <definedName name="Starting_Point">#REF!</definedName>
    <definedName name="Sucres">#REF!</definedName>
    <definedName name="Sueldos">#REF!</definedName>
    <definedName name="SUPERAVIT">'[8]LISTADO 09 01'!#REF!</definedName>
    <definedName name="sx" hidden="1">#REF!</definedName>
    <definedName name="sxs" hidden="1">11</definedName>
    <definedName name="t">#REF!</definedName>
    <definedName name="TABLA">'[58]BAL SEPTIEMBRE'!$E$9:$S$469</definedName>
    <definedName name="TableName">"Dummy"</definedName>
    <definedName name="taryn" hidden="1">{#N/A,#N/A,FALSE,"Aging Summary";#N/A,#N/A,FALSE,"Ratio Analysis";#N/A,#N/A,FALSE,"Test 120 Day Accts";#N/A,#N/A,FALSE,"Tickmarks"}</definedName>
    <definedName name="tatiana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25000</definedName>
    <definedName name="TCS_URUGUAY">#REF!</definedName>
    <definedName name="TEST0">[59]SAP!$A$2:$E$88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Ref">[54]Costo!#REF!</definedName>
    <definedName name="TextRefCopy1">#REF!</definedName>
    <definedName name="TextRefCopy1_12">NA()</definedName>
    <definedName name="TextRefCopy1_13">NA()</definedName>
    <definedName name="TextRefCopy1_15">NA()</definedName>
    <definedName name="TextRefCopy1_16">NA()</definedName>
    <definedName name="TextRefCopy1_22">#REF!</definedName>
    <definedName name="TextRefCopy1_4">#REF!</definedName>
    <definedName name="TextRefCopy1_5">#REF!</definedName>
    <definedName name="TextRefCopy10">#REF!</definedName>
    <definedName name="TextRefCopy10_16">#REF!</definedName>
    <definedName name="TextRefCopy10_22">#REF!</definedName>
    <definedName name="TextRefCopy10_25">#REF!</definedName>
    <definedName name="TextRefCopy10_4">#REF!</definedName>
    <definedName name="TextRefCopy10_5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_16">#REF!</definedName>
    <definedName name="TextRefCopy11_22">#REF!</definedName>
    <definedName name="TextRefCopy11_4">#REF!</definedName>
    <definedName name="TextRefCopy11_5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'[29]Revisión conc. bancarias'!#REF!</definedName>
    <definedName name="TextRefCopy12_16">#REF!</definedName>
    <definedName name="TextRefCopy12_22">#REF!</definedName>
    <definedName name="TextRefCopy12_4">#REF!</definedName>
    <definedName name="TextRefCopy12_5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_16">#REF!</definedName>
    <definedName name="TextRefCopy13_22">#REF!</definedName>
    <definedName name="TextRefCopy13_4">#REF!</definedName>
    <definedName name="TextRefCopy13_5">#REF!</definedName>
    <definedName name="TextRefCopy13_8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_2">NA()</definedName>
    <definedName name="TextRefCopy14_22">#REF!</definedName>
    <definedName name="TextRefCopy14_3">NA()</definedName>
    <definedName name="TextRefCopy14_8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[60]Detalle!$Q$301</definedName>
    <definedName name="TextRefCopy15_12">NA()</definedName>
    <definedName name="TextRefCopy15_13">NA()</definedName>
    <definedName name="TextRefCopy15_16">NA()</definedName>
    <definedName name="TextRefCopy15_2">NA()</definedName>
    <definedName name="TextRefCopy15_22">#REF!</definedName>
    <definedName name="TextRefCopy15_4">#REF!</definedName>
    <definedName name="TextRefCopy15_5">#REF!</definedName>
    <definedName name="TextRefCopy15_8">NA()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6">[61]APT!#REF!</definedName>
    <definedName name="TextRefCopy16_13">NA()</definedName>
    <definedName name="TextRefCopy16_15">NA()</definedName>
    <definedName name="TextRefCopy16_16">#REF!</definedName>
    <definedName name="TextRefCopy16_2">NA()</definedName>
    <definedName name="TextRefCopy16_22">#REF!</definedName>
    <definedName name="TextRefCopy166">#REF!</definedName>
    <definedName name="TextRefCopy168">'[62]Detalle G.Ad.Vta'!#REF!</definedName>
    <definedName name="TextRefCopy169">'[62]Detalle G.Ad.Vta'!#REF!</definedName>
    <definedName name="TextRefCopy17">#REF!</definedName>
    <definedName name="TextRefCopy17_12">NA()</definedName>
    <definedName name="TextRefCopy17_13">NA()</definedName>
    <definedName name="TextRefCopy17_16">#REF!</definedName>
    <definedName name="TextRefCopy17_2">NA()</definedName>
    <definedName name="TextRefCopy17_22">#REF!</definedName>
    <definedName name="TextRefCopy170">'[62]Detalle G.Ad.Vta'!#REF!</definedName>
    <definedName name="TextRefCopy171">'[62]Detalle G.Ad.Vta'!#REF!</definedName>
    <definedName name="TextRefCopy18">'[63]Detalle de Costos'!#REF!</definedName>
    <definedName name="TextRefCopy18_12">NA()</definedName>
    <definedName name="TextRefCopy18_13">NA()</definedName>
    <definedName name="TextRefCopy18_15">NA()</definedName>
    <definedName name="TextRefCopy18_16">NA()</definedName>
    <definedName name="TextRefCopy18_2">NA()</definedName>
    <definedName name="TextRefCopy18_22">#REF!</definedName>
    <definedName name="TextRefCopy18_3">NA()</definedName>
    <definedName name="TextRefCopy186">'[64]Cálculo sueldos'!#REF!</definedName>
    <definedName name="TextRefCopy19">#REF!</definedName>
    <definedName name="TextRefCopy19_16">#REF!</definedName>
    <definedName name="TextRefCopy2">#REF!</definedName>
    <definedName name="TextRefCopy2_12">NA()</definedName>
    <definedName name="TextRefCopy2_13">NA()</definedName>
    <definedName name="TextRefCopy2_15">NA()</definedName>
    <definedName name="TextRefCopy2_16">NA()</definedName>
    <definedName name="TextRefCopy2_22">#REF!</definedName>
    <definedName name="TextRefCopy2_4">#REF!</definedName>
    <definedName name="TextRefCopy2_5">#REF!</definedName>
    <definedName name="TextRefCopy20">#REF!</definedName>
    <definedName name="TextRefCopy20_12">NA()</definedName>
    <definedName name="TextRefCopy20_13">NA()</definedName>
    <definedName name="TextRefCopy20_15">NA()</definedName>
    <definedName name="TextRefCopy20_16">#REF!</definedName>
    <definedName name="TextRefCopy20_2">NA()</definedName>
    <definedName name="TextRefCopy20_3">NA()</definedName>
    <definedName name="TextRefCopy200">#REF!</definedName>
    <definedName name="TextRefCopy201">#REF!</definedName>
    <definedName name="TextRefCopy204">'[65]Cálculo sueldos'!#REF!</definedName>
    <definedName name="TextRefCopy205">'[65]Cálculo sueldos'!#REF!</definedName>
    <definedName name="TextRefCopy206">'[65]Cálculo sueldos'!#REF!</definedName>
    <definedName name="TextRefCopy21">[54]Costo!#REF!</definedName>
    <definedName name="TextRefCopy21_12">NA()</definedName>
    <definedName name="TextRefCopy21_13">NA()</definedName>
    <definedName name="TextRefCopy21_15">NA()</definedName>
    <definedName name="TextRefCopy21_16">NA()</definedName>
    <definedName name="TextRefCopy21_2">NA()</definedName>
    <definedName name="TextRefCopy22">#REF!</definedName>
    <definedName name="TextRefCopy22_12">NA()</definedName>
    <definedName name="TextRefCopy22_13">NA()</definedName>
    <definedName name="TextRefCopy22_15">NA()</definedName>
    <definedName name="TextRefCopy22_16">NA()</definedName>
    <definedName name="TextRefCopy22_2">NA()</definedName>
    <definedName name="TextRefCopy22_22">#REF!</definedName>
    <definedName name="TextRefCopy23">'[54]Calc.global deprec'!#REF!</definedName>
    <definedName name="TextRefCopy23_22">#REF!</definedName>
    <definedName name="TextRefCopy233">[66]Detalle!$E$299</definedName>
    <definedName name="TextRefCopy24">#REF!</definedName>
    <definedName name="TextRefCopy24_22">#REF!</definedName>
    <definedName name="TextRefCopy25">#REF!</definedName>
    <definedName name="TextRefCopy25_22">#REF!</definedName>
    <definedName name="TextRefCopy26">#REF!</definedName>
    <definedName name="TextRefCopy26_22">#REF!</definedName>
    <definedName name="TextRefCopy27">#REF!</definedName>
    <definedName name="TextRefCopy27_22">#REF!</definedName>
    <definedName name="TextRefCopy28">#REF!</definedName>
    <definedName name="TextRefCopy28_22">#REF!</definedName>
    <definedName name="TextRefCopy29">#REF!</definedName>
    <definedName name="TextRefCopy29_22">#REF!</definedName>
    <definedName name="TextRefCopy3">#REF!</definedName>
    <definedName name="TextRefCopy3_12">NA()</definedName>
    <definedName name="TextRefCopy3_13">NA()</definedName>
    <definedName name="TextRefCopy3_15">NA()</definedName>
    <definedName name="TextRefCopy3_16">NA()</definedName>
    <definedName name="TextRefCopy3_22">#REF!</definedName>
    <definedName name="TextRefCopy3_4">#REF!</definedName>
    <definedName name="TextRefCopy3_5">#REF!</definedName>
    <definedName name="TextRefCopy30">#REF!</definedName>
    <definedName name="TextRefCopy30_22">#REF!</definedName>
    <definedName name="TextRefCopy31">[67]Detalle!#REF!</definedName>
    <definedName name="TextRefCopy31_22">#REF!</definedName>
    <definedName name="TextRefCopy32">#REF!</definedName>
    <definedName name="TextRefCopy32_12">NA()</definedName>
    <definedName name="TextRefCopy32_13">NA()</definedName>
    <definedName name="TextRefCopy32_15">NA()</definedName>
    <definedName name="TextRefCopy32_16">NA()</definedName>
    <definedName name="TextRefCopy32_2">NA()</definedName>
    <definedName name="TextRefCopy33">#REF!</definedName>
    <definedName name="TextRefCopy34">[67]Detalle!#REF!</definedName>
    <definedName name="TextRefCopy34_2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39_16">#REF!</definedName>
    <definedName name="TextRefCopy39_22">#REF!</definedName>
    <definedName name="TextRefCopy39_8">#REF!</definedName>
    <definedName name="TextRefCopy4">#REF!</definedName>
    <definedName name="TextRefCopy4_12">NA()</definedName>
    <definedName name="TextRefCopy4_13">NA()</definedName>
    <definedName name="TextRefCopy4_15">NA()</definedName>
    <definedName name="TextRefCopy4_16">NA()</definedName>
    <definedName name="TextRefCopy4_2">NA()</definedName>
    <definedName name="TextRefCopy4_22">#REF!</definedName>
    <definedName name="TextRefCopy4_4">#REF!</definedName>
    <definedName name="TextRefCopy4_5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3_15">#REF!</definedName>
    <definedName name="TextRefCopy43_8">#REF!</definedName>
    <definedName name="TextRefCopy44">#REF!</definedName>
    <definedName name="TextRefCopy44___0">NA()</definedName>
    <definedName name="TextRefCopy44_12">#REF!</definedName>
    <definedName name="TextRefCopy44_13">NA()</definedName>
    <definedName name="TextRefCopy44_15">NA()</definedName>
    <definedName name="TextRefCopy44_16">NA()</definedName>
    <definedName name="TextRefCopy44_2">#REF!</definedName>
    <definedName name="TextRefCopy44_22">#REF!</definedName>
    <definedName name="TextRefCopy44_4">#REF!</definedName>
    <definedName name="TextRefCopy44_5">#REF!</definedName>
    <definedName name="TextRefCopy45">#REF!</definedName>
    <definedName name="TextRefCopy45_12">NA()</definedName>
    <definedName name="TextRefCopy45_13">NA()</definedName>
    <definedName name="TextRefCopy45_15">NA()</definedName>
    <definedName name="TextRefCopy45_16">NA()</definedName>
    <definedName name="TextRefCopy45_2">NA()</definedName>
    <definedName name="TextRefCopy45_3">NA()</definedName>
    <definedName name="TextRefCopy45_8">NA()</definedName>
    <definedName name="TextRefCopy46">#REF!</definedName>
    <definedName name="TextRefCopy47">#REF!</definedName>
    <definedName name="TextRefCopy47_16">#REF!</definedName>
    <definedName name="TextRefCopy47_8">#REF!</definedName>
    <definedName name="TextRefCopy48">#REF!</definedName>
    <definedName name="TextRefCopy49">[67]Detalle!$A$1</definedName>
    <definedName name="TextRefCopy49_12">NA()</definedName>
    <definedName name="TextRefCopy49_13">NA()</definedName>
    <definedName name="TextRefCopy49_15">NA()</definedName>
    <definedName name="TextRefCopy49_16">NA()</definedName>
    <definedName name="TextRefCopy49_2">NA()</definedName>
    <definedName name="TextRefCopy49_3">NA()</definedName>
    <definedName name="TextRefCopy49_8">NA()</definedName>
    <definedName name="TextRefCopy5">#REF!</definedName>
    <definedName name="TextRefCopy5_15">#REF!</definedName>
    <definedName name="TextRefCopy5_2">#REF!</definedName>
    <definedName name="TextRefCopy5_22">#REF!</definedName>
    <definedName name="TextRefCopy5_3">#REF!</definedName>
    <definedName name="TextRefCopy50">#REF!</definedName>
    <definedName name="TextRefCopy50_12">NA()</definedName>
    <definedName name="TextRefCopy50_13">NA()</definedName>
    <definedName name="TextRefCopy50_15">NA()</definedName>
    <definedName name="TextRefCopy50_16">NA()</definedName>
    <definedName name="TextRefCopy50_2">NA()</definedName>
    <definedName name="TextRefCopy51">#REF!</definedName>
    <definedName name="TextRefCopy51_16">#REF!</definedName>
    <definedName name="TextRefCopy51_8">#REF!</definedName>
    <definedName name="TextRefCopy52">#REF!</definedName>
    <definedName name="TextRefCopy52_12">NA()</definedName>
    <definedName name="TextRefCopy52_13">NA()</definedName>
    <definedName name="TextRefCopy52_15">NA()</definedName>
    <definedName name="TextRefCopy52_16">NA()</definedName>
    <definedName name="TextRefCopy52_2">NA()</definedName>
    <definedName name="TextRefCopy53">[67]Detalle!#REF!</definedName>
    <definedName name="TextRefCopy53_12">NA()</definedName>
    <definedName name="TextRefCopy53_13">NA()</definedName>
    <definedName name="TextRefCopy53_15">NA()</definedName>
    <definedName name="TextRefCopy53_16">NA()</definedName>
    <definedName name="TextRefCopy53_2">NA()</definedName>
    <definedName name="TextRefCopy54">TextRefCopy49</definedName>
    <definedName name="TextRefCopy55">#REF!</definedName>
    <definedName name="TextRefCopy56">#REF!</definedName>
    <definedName name="TextRefCopy56_15">#REF!</definedName>
    <definedName name="TextRefCopy56_8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_16">#REF!</definedName>
    <definedName name="TextRefCopy6_22">#REF!</definedName>
    <definedName name="TextRefCopy6_4">#REF!</definedName>
    <definedName name="TextRefCopy6_5">#REF!</definedName>
    <definedName name="TextRefCopy60">#REF!</definedName>
    <definedName name="TextRefCopy61">#REF!</definedName>
    <definedName name="TextRefCopy62">#REF!</definedName>
    <definedName name="TextRefCopy62_15">#REF!</definedName>
    <definedName name="TextRefCopy62_8">#REF!</definedName>
    <definedName name="TextRefCopy63">#REF!</definedName>
    <definedName name="TextRefCopy64">'[40]Prueba de Corte'!#REF!</definedName>
    <definedName name="TextRefCopy65">#REF!</definedName>
    <definedName name="TextRefCopy67">#REF!</definedName>
    <definedName name="TextRefCopy68">'[67]Cálculo Interes Sponsors'!#REF!</definedName>
    <definedName name="TextRefCopy69">#REF!</definedName>
    <definedName name="TextRefCopy7">#REF!</definedName>
    <definedName name="TextRefCopy7_15">#REF!</definedName>
    <definedName name="TextRefCopy7_16">#REF!</definedName>
    <definedName name="TextRefCopy7_2">#REF!</definedName>
    <definedName name="TextRefCopy7_22">#REF!</definedName>
    <definedName name="TextRefCopy7_3">#REF!</definedName>
    <definedName name="TextRefCopy7_4">#REF!</definedName>
    <definedName name="TextRefCopy7_5">#REF!</definedName>
    <definedName name="TextRefCopy70">'[67]Cálculo Interes Sponsors'!#REF!</definedName>
    <definedName name="TextRefCopy71">'[67]Cálculo Interes Sponsors'!#REF!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_12">NA()</definedName>
    <definedName name="TextRefCopy8_13">NA()</definedName>
    <definedName name="TextRefCopy8_15">NA()</definedName>
    <definedName name="TextRefCopy8_16">NA()</definedName>
    <definedName name="TextRefCopy8_2">NA()</definedName>
    <definedName name="TextRefCopy8_22">#REF!</definedName>
    <definedName name="TextRefCopy8_3">NA()</definedName>
    <definedName name="TextRefCopy8_4">#REF!</definedName>
    <definedName name="TextRefCopy8_5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'[68]Detalle G. Adm.'!#REF!</definedName>
    <definedName name="TextRefCopy9">#REF!</definedName>
    <definedName name="TextRefCopy9_16">#REF!</definedName>
    <definedName name="TextRefCopy9_22">#REF!</definedName>
    <definedName name="TextRefCopy9_4">#REF!</definedName>
    <definedName name="TextRefCopy9_5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16</definedName>
    <definedName name="Threshold">#REF!</definedName>
    <definedName name="ticmarks" hidden="1">4</definedName>
    <definedName name="TITULOS">#REF!</definedName>
    <definedName name="_xlnm.Print_Titles">#N/A</definedName>
    <definedName name="Títulos_a_imprimir_IM">#REF!</definedName>
    <definedName name="todo">#REF!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">#REF!</definedName>
    <definedName name="Total_Amount">#REF!</definedName>
    <definedName name="Total_Number_Selections">#REF!</definedName>
    <definedName name="Total_Population2">'[7]CMA Calculations- Figure 5440.1'!$D$201</definedName>
    <definedName name="TOTAL2">#REF!</definedName>
    <definedName name="Transito" hidden="1">{#N/A,#N/A,FALSE,"Aging Summary";#N/A,#N/A,FALSE,"Ratio Analysis";#N/A,#N/A,FALSE,"Test 120 Day Accts";#N/A,#N/A,FALSE,"Tickmarks"}</definedName>
    <definedName name="trave">[6]ER!$H$152</definedName>
    <definedName name="tt">#REF!</definedName>
    <definedName name="TTDesiredLevelOfEvidenceItems">'[48]Global Data'!$B$92:$B$95</definedName>
    <definedName name="tttttt">'[69]Cálculo Correción Costo Plant'!#REF!</definedName>
    <definedName name="TwoStepMisstatementIdentified">'[48]Two Step Revenue Testing Master'!$C$85</definedName>
    <definedName name="TwoStepTolerableEstMisstmtCalc">'[48]Two Step Revenue Testing Master'!$T$45</definedName>
    <definedName name="u">#REF!</definedName>
    <definedName name="ummm">'[70]Detalle Ant comp terr'!#REF!</definedName>
    <definedName name="usuario">[19]Inicio!#REF!</definedName>
    <definedName name="uu">#REF!</definedName>
    <definedName name="v">#REF!</definedName>
    <definedName name="VALOR_RESIDUAL">'[8]LISTADO 09 01'!#REF!</definedName>
    <definedName name="values">'[71]Determinación del Limite'!$B$3,'[71]Determinación del Limite'!$B$4,'[71]Determinación del Limite'!$B$15</definedName>
    <definedName name="verito" hidden="1">2</definedName>
    <definedName name="vero" hidden="1">2</definedName>
    <definedName name="vv" hidden="1">[10]XREF!$8:$8</definedName>
    <definedName name="vvvvv" hidden="1">'[69]Mov.Costo y Reexp Plant.'!$F$46</definedName>
    <definedName name="w">#REF!</definedName>
    <definedName name="war">#REF!</definedName>
    <definedName name="wdasdfsadfas" hidden="1">{#N/A,#N/A,FALSE,"Aging Summary";#N/A,#N/A,FALSE,"Ratio Analysis";#N/A,#N/A,FALSE,"Test 120 Day Accts";#N/A,#N/A,FALSE,"Tickmarks"}</definedName>
    <definedName name="we">#REF!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hidden="1">{#N/A,#N/A,FALSE,"1998";#N/A,#N/A,FALSE,"1998"}</definedName>
    <definedName name="wrn.Datos._.Input." hidden="1">{"volúmenes",#N/A,FALSE,"Consolidado";"precios",#N/A,FALSE,"Consolidado";"costo producto",#N/A,FALSE,"Consolidado";"costos fijos",#N/A,FALSE,"Consolidado";"invesiones",#N/A,FALSE,"Consolidado"}</definedName>
    <definedName name="wrtt3" hidden="1">2</definedName>
    <definedName name="ww">#REF!</definedName>
    <definedName name="x">#REF!</definedName>
    <definedName name="xre" hidden="1">#REF!</definedName>
    <definedName name="Xref">#REF!</definedName>
    <definedName name="XREF_COLUMN_1" hidden="1">#REF!</definedName>
    <definedName name="XREF_COLUMN_10" hidden="1">[29]Detalle!#REF!</definedName>
    <definedName name="XREF_COLUMN_11" hidden="1">[29]Detalle!#REF!</definedName>
    <definedName name="XREF_COLUMN_12" hidden="1">#REF!</definedName>
    <definedName name="XREF_COLUMN_13" hidden="1">[29]Detalle!#REF!</definedName>
    <definedName name="XREF_COLUMN_14" hidden="1">[29]Detalle!#REF!</definedName>
    <definedName name="XREF_COLUMN_15" hidden="1">[29]Detalle!#REF!</definedName>
    <definedName name="XREF_COLUMN_16" hidden="1">[29]Detalle!#REF!</definedName>
    <definedName name="XREF_COLUMN_17" hidden="1">[29]Detalle!#REF!</definedName>
    <definedName name="XREF_COLUMN_18" hidden="1">#REF!</definedName>
    <definedName name="XREF_COLUMN_19" hidden="1">[29]Detalle!#REF!</definedName>
    <definedName name="XREF_COLUMN_2" hidden="1">#REF!</definedName>
    <definedName name="XREF_COLUMN_20" hidden="1">[29]Detalle!#REF!</definedName>
    <definedName name="XREF_COLUMN_21" hidden="1">#REF!</definedName>
    <definedName name="XREF_COLUMN_22" hidden="1">'[72]Mvto. Costo'!#REF!</definedName>
    <definedName name="XREF_COLUMN_23" hidden="1">[73]Detalle!#REF!</definedName>
    <definedName name="XREF_COLUMN_24" hidden="1">#REF!</definedName>
    <definedName name="XREF_COLUMN_25" hidden="1">#REF!</definedName>
    <definedName name="XREF_COLUMN_26" hidden="1">[73]Detalle!#REF!</definedName>
    <definedName name="XREF_COLUMN_27" hidden="1">#REF!</definedName>
    <definedName name="XREF_COLUMN_28" hidden="1">[73]Detalle!#REF!</definedName>
    <definedName name="XREF_COLUMN_29" hidden="1">[73]Detalle!#REF!</definedName>
    <definedName name="XREF_COLUMN_3" hidden="1">#REF!</definedName>
    <definedName name="XREF_COLUMN_30" hidden="1">#REF!</definedName>
    <definedName name="XREF_COLUMN_31" hidden="1">[74]Detalle!#REF!</definedName>
    <definedName name="XREF_COLUMN_32" hidden="1">'[62]Detalle G.Ad.Vta'!#REF!</definedName>
    <definedName name="XREF_COLUMN_33" hidden="1">#REF!</definedName>
    <definedName name="XREF_COLUMN_34" hidden="1">'[75]1000 '!#REF!</definedName>
    <definedName name="XREF_COLUMN_35" hidden="1">#REF!</definedName>
    <definedName name="XREF_COLUMN_36" hidden="1">'[75]1000 '!#REF!</definedName>
    <definedName name="XREF_COLUMN_37" hidden="1">'[75]1000 '!#REF!</definedName>
    <definedName name="XREF_COLUMN_38" hidden="1">'[75]1000 '!#REF!</definedName>
    <definedName name="XREF_COLUMN_39" hidden="1">'[75]1000 '!#REF!</definedName>
    <definedName name="XREF_COLUMN_4" hidden="1">#REF!</definedName>
    <definedName name="XREF_COLUMN_40" hidden="1">'[75]1000 '!#REF!</definedName>
    <definedName name="XREF_COLUMN_41" hidden="1">'[75]1000 '!#REF!</definedName>
    <definedName name="XREF_COLUMN_42" hidden="1">'[75]1000 '!#REF!</definedName>
    <definedName name="XREF_COLUMN_43" hidden="1">'[75]1000 '!#REF!</definedName>
    <definedName name="XREF_COLUMN_44" hidden="1">[76]Detalle!#REF!</definedName>
    <definedName name="XREF_COLUMN_45" hidden="1">[76]Detalle!#REF!</definedName>
    <definedName name="XREF_COLUMN_46" hidden="1">[76]Detalle!#REF!</definedName>
    <definedName name="XREF_COLUMN_47" hidden="1">[76]Detalle!#REF!</definedName>
    <definedName name="XREF_COLUMN_48" hidden="1">'[75]5000'!#REF!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'[75]8000'!#REF!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'[77]Arriend.Prep.'!#REF!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[29]Detalle!#REF!</definedName>
    <definedName name="XREF_COLUMN_9" hidden="1">[29]Detalle!#REF!</definedName>
    <definedName name="XRefActiveRow" hidden="1">#REF!</definedName>
    <definedName name="xrefcolumnscou" hidden="1">2</definedName>
    <definedName name="XRefColumnsCount" hidden="1">7</definedName>
    <definedName name="XREFCOPY" hidden="1">#REF!</definedName>
    <definedName name="XRefCopy1" hidden="1">#REF!</definedName>
    <definedName name="XRefCopy10" hidden="1">[12]Detalle!#REF!</definedName>
    <definedName name="XRefCopy100" hidden="1">#REF!</definedName>
    <definedName name="XRefCopy101" hidden="1">[75]Resumen!#REF!</definedName>
    <definedName name="XRefCopy102" hidden="1">[78]Resultados!#REF!</definedName>
    <definedName name="XRefCopy104" hidden="1">[75]Resumen!#REF!</definedName>
    <definedName name="XRefCopy104Row" hidden="1">[75]XREF!#REF!</definedName>
    <definedName name="XRefCopy105" hidden="1">[65]Detalle!#REF!</definedName>
    <definedName name="XRefCopy106" hidden="1">[65]Detalle!#REF!</definedName>
    <definedName name="XRefCopy107" hidden="1">'[44]Cálculo sueldos'!#REF!</definedName>
    <definedName name="XRefCopy109" hidden="1">#REF!</definedName>
    <definedName name="XRefCopy10Row" hidden="1">#REF!</definedName>
    <definedName name="XRefCopy11" hidden="1">#REF!</definedName>
    <definedName name="XRefCopy110" hidden="1">[65]Detalle!#REF!</definedName>
    <definedName name="XRefCopy111" hidden="1">#REF!</definedName>
    <definedName name="XRefCopy112" hidden="1">[65]Detalle!#REF!</definedName>
    <definedName name="XRefCopy113" hidden="1">[65]Detalle!#REF!</definedName>
    <definedName name="XRefCopy114" hidden="1">#REF!</definedName>
    <definedName name="XRefCopy115" hidden="1">#REF!</definedName>
    <definedName name="XRefCopy116" hidden="1">[65]Detalle!#REF!</definedName>
    <definedName name="XRefCopy117" hidden="1">[65]Detalle!#REF!</definedName>
    <definedName name="XRefCopy118" hidden="1">'[44]Cálculo sueldos'!#REF!</definedName>
    <definedName name="XRefCopy119" hidden="1">[65]Detalle!#REF!</definedName>
    <definedName name="XRefCopy11Row" hidden="1">#REF!</definedName>
    <definedName name="XRefCopy12" hidden="1">[12]Detalle!#REF!</definedName>
    <definedName name="XRefCopy120" hidden="1">[65]Detalle!#REF!</definedName>
    <definedName name="XRefCopy122" hidden="1">[65]Detalle!#REF!</definedName>
    <definedName name="XRefCopy123" hidden="1">[65]Detalle!#REF!</definedName>
    <definedName name="XRefCopy124" hidden="1">[65]Detalle!#REF!</definedName>
    <definedName name="XRefCopy125" hidden="1">#REF!</definedName>
    <definedName name="XRefCopy126" hidden="1">#REF!</definedName>
    <definedName name="XRefCopy128" hidden="1">#REF!</definedName>
    <definedName name="XRefCopy12Row" hidden="1">#REF!</definedName>
    <definedName name="XRefCopy13" hidden="1">[12]Detalle!#REF!</definedName>
    <definedName name="XRefCopy13Row" hidden="1">#REF!</definedName>
    <definedName name="XRefCopy14" hidden="1">[12]Detalle!#REF!</definedName>
    <definedName name="XRefCopy14Row" hidden="1">#REF!</definedName>
    <definedName name="XRefCopy15" hidden="1">[12]Detalle!#REF!</definedName>
    <definedName name="XRefCopy15Row" hidden="1">#REF!</definedName>
    <definedName name="XRefCopy16" hidden="1">[79]Detalle!#REF!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[29]Detalle!#REF!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Row" hidden="1">#REF!</definedName>
    <definedName name="XRefCopy184Row" hidden="1">#REF!</definedName>
    <definedName name="XRefCopy185Row" hidden="1">#REF!</definedName>
    <definedName name="XRefCopy186Row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[80]Detalle!#REF!</definedName>
    <definedName name="XRefCopy210Row" hidden="1">[81]XREF!#REF!</definedName>
    <definedName name="XRefCopy211" hidden="1">#REF!</definedName>
    <definedName name="XRefCopy211Row" hidden="1">[81]XREF!#REF!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[82]Detalle!#REF!</definedName>
    <definedName name="XRefCopy28Row" hidden="1">#REF!</definedName>
    <definedName name="XRefCopy29" hidden="1">#REF!</definedName>
    <definedName name="XRefCopy29Row" hidden="1">[83]XREF!#REF!</definedName>
    <definedName name="XRefCopy2Row" hidden="1">#REF!</definedName>
    <definedName name="XRefCopy3" hidden="1">#REF!</definedName>
    <definedName name="XRefCopy30" hidden="1">[29]Detalle!#REF!</definedName>
    <definedName name="XRefCopy30Row" hidden="1">#REF!</definedName>
    <definedName name="XRefCopy31" hidden="1">[29]Detalle!#REF!</definedName>
    <definedName name="XRefCopy31Row" hidden="1">#REF!</definedName>
    <definedName name="XRefCopy32" hidden="1">[29]Detalle!#REF!</definedName>
    <definedName name="XRefCopy32Row" hidden="1">#REF!</definedName>
    <definedName name="XRefCopy33" hidden="1">[29]Detalle!#REF!</definedName>
    <definedName name="XRefCopy33Row" hidden="1">#REF!</definedName>
    <definedName name="XRefCopy34" hidden="1">#REF!</definedName>
    <definedName name="XRefCopy34Row" hidden="1">#REF!</definedName>
    <definedName name="XRefCopy35" hidden="1">[67]Detalle!#REF!</definedName>
    <definedName name="XRefCopy35Row" hidden="1">[60]XREF!#REF!</definedName>
    <definedName name="XRefCopy36" hidden="1">[29]Detalle!#REF!</definedName>
    <definedName name="XRefCopy36Row" hidden="1">#REF!</definedName>
    <definedName name="XRefCopy37" hidden="1">[29]Detalle!#REF!</definedName>
    <definedName name="XRefCopy37Row" hidden="1">#REF!</definedName>
    <definedName name="XRefCopy38" hidden="1">[29]Detalle!#REF!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'[84]2130-1 Conciliación Bancaria'!#REF!</definedName>
    <definedName name="XRefCopy4_8">#REF!</definedName>
    <definedName name="XRefCopy40" hidden="1">[29]Detalle!#REF!</definedName>
    <definedName name="XRefCopy40Row" hidden="1">#REF!</definedName>
    <definedName name="XRefCopy41" hidden="1">[29]Detalle!#REF!</definedName>
    <definedName name="XRefCopy41Row" hidden="1">#REF!</definedName>
    <definedName name="XRefCopy42" hidden="1">#REF!</definedName>
    <definedName name="XRefCopy42Row" hidden="1">[85]XREF!#REF!</definedName>
    <definedName name="XRefCopy43" hidden="1">#REF!</definedName>
    <definedName name="XRefCopy43Row" hidden="1">#REF!</definedName>
    <definedName name="XRefCopy44" hidden="1">[67]Detalle!#REF!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[60]XREF!#REF!</definedName>
    <definedName name="XRefCopy51" hidden="1">#REF!</definedName>
    <definedName name="XRefCopy51Row" hidden="1">#REF!</definedName>
    <definedName name="XRefCopy52" hidden="1">[67]Detalle!#REF!</definedName>
    <definedName name="XRefCopy52Row" hidden="1">#REF!</definedName>
    <definedName name="XRefCopy53" hidden="1">[29]Detalle!#REF!</definedName>
    <definedName name="XRefCopy53Row" hidden="1">#REF!</definedName>
    <definedName name="XRefCopy54" hidden="1">[29]Detalle!#REF!</definedName>
    <definedName name="XRefCopy54Row" hidden="1">#REF!</definedName>
    <definedName name="XRefCopy55" hidden="1">[29]Detalle!#REF!</definedName>
    <definedName name="XRefCopy55Row" hidden="1">#REF!</definedName>
    <definedName name="XRefCopy56" hidden="1">[29]Detalle!#REF!</definedName>
    <definedName name="XRefCopy56Row" hidden="1">#REF!</definedName>
    <definedName name="XRefCopy57" hidden="1">[29]Detalle!#REF!</definedName>
    <definedName name="XRefCopy57Row" hidden="1">#REF!</definedName>
    <definedName name="XRefCopy58" hidden="1">[29]Detalle!#REF!</definedName>
    <definedName name="XRefCopy58Row" hidden="1">#REF!</definedName>
    <definedName name="XRefCopy59" hidden="1">[29]Detalle!#REF!</definedName>
    <definedName name="XRefCopy59Row" hidden="1">#REF!</definedName>
    <definedName name="XRefCopy5Row" hidden="1">#REF!</definedName>
    <definedName name="XRefCopy6" hidden="1">#REF!</definedName>
    <definedName name="XRefCopy60" hidden="1">[29]Detalle!#REF!</definedName>
    <definedName name="XRefCopy60Row" hidden="1">#REF!</definedName>
    <definedName name="XRefCopy61" hidden="1">[29]Detalle!#REF!</definedName>
    <definedName name="XRefCopy61Row" hidden="1">#REF!</definedName>
    <definedName name="XRefCopy62" hidden="1">[29]Detalle!#REF!</definedName>
    <definedName name="XRefCopy62Row" hidden="1">#REF!</definedName>
    <definedName name="XRefCopy63" hidden="1">[86]Detalle!#REF!</definedName>
    <definedName name="XRefCopy63Row" hidden="1">#REF!</definedName>
    <definedName name="XRefCopy64" hidden="1">[67]Detalle!#REF!</definedName>
    <definedName name="XRefCopy64Row" hidden="1">#REF!</definedName>
    <definedName name="XRefCopy65" hidden="1">[29]Detalle!#REF!</definedName>
    <definedName name="XRefCopy65Row" hidden="1">#REF!</definedName>
    <definedName name="XRefCopy66" hidden="1">[29]Detalle!#REF!</definedName>
    <definedName name="XRefCopy66Row" hidden="1">#REF!</definedName>
    <definedName name="XRefCopy67" hidden="1">[87]Movdep!#REF!</definedName>
    <definedName name="XRefCopy67Row" hidden="1">[87]XREF!#REF!</definedName>
    <definedName name="XRefCopy68" hidden="1">[29]Detalle!#REF!</definedName>
    <definedName name="XRefCopy68Row" hidden="1">#REF!</definedName>
    <definedName name="XRefCopy69" hidden="1">[29]Detalle!#REF!</definedName>
    <definedName name="XRefCopy69Row" hidden="1">#REF!</definedName>
    <definedName name="XRefCopy6Row" hidden="1">#REF!</definedName>
    <definedName name="XRefCopy7" hidden="1">#REF!</definedName>
    <definedName name="XRefCopy70" hidden="1">[29]Detalle!#REF!</definedName>
    <definedName name="XRefCopy70Row" hidden="1">#REF!</definedName>
    <definedName name="XRefCopy71" hidden="1">#REF!</definedName>
    <definedName name="XRefCopy71Row" hidden="1">[88]XREF!#REF!</definedName>
    <definedName name="XRefCopy72" hidden="1">#REF!</definedName>
    <definedName name="XRefCopy72Row" hidden="1">[66]XREF!#REF!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[89]XREF!#REF!</definedName>
    <definedName name="XRefCopy76" hidden="1">'[67]Cálculo Interes Sponsors'!#REF!</definedName>
    <definedName name="XRefCopy76Row" hidden="1">#REF!</definedName>
    <definedName name="XRefCopy77" hidden="1">'[67]Cálculo Interes Sponsors'!#REF!</definedName>
    <definedName name="XRefCopy77Row" hidden="1">#REF!</definedName>
    <definedName name="XRefCopy78" hidden="1">#REF!</definedName>
    <definedName name="XRefCopy78Row" hidden="1">#REF!</definedName>
    <definedName name="XRefCopy79" hidden="1">[67]Detalle!#REF!</definedName>
    <definedName name="XRefCopy79Row" hidden="1">#REF!</definedName>
    <definedName name="XRefCopy7Row" hidden="1">#REF!</definedName>
    <definedName name="XRefCopy8" hidden="1">#REF!</definedName>
    <definedName name="XRefCopy80" hidden="1">[67]Detalle!#REF!</definedName>
    <definedName name="XRefCopy80Row" hidden="1">#REF!</definedName>
    <definedName name="XRefCopy81" hidden="1">#REF!</definedName>
    <definedName name="XRefCopy82" hidden="1">#REF!</definedName>
    <definedName name="XRefCopy82Row" hidden="1">[90]XREF!#REF!</definedName>
    <definedName name="XRefCopy83" hidden="1">#REF!</definedName>
    <definedName name="XRefCopy85" hidden="1">'[31]Balance Gral.'!#REF!</definedName>
    <definedName name="XRefCopy86" hidden="1">'[31]Balance Gral.'!#REF!</definedName>
    <definedName name="XRefCopy87" hidden="1">'[31]Balance Gral.'!#REF!</definedName>
    <definedName name="XRefCopy88" hidden="1">'[91]Saldos iniciales'!#REF!</definedName>
    <definedName name="XRefCopy89" hidden="1">'[31]Balance Gral.'!#REF!</definedName>
    <definedName name="XRefCopy8Row" hidden="1">#REF!</definedName>
    <definedName name="XRefCopy9" hidden="1">[29]Detalle!#REF!</definedName>
    <definedName name="XRefCopy90" hidden="1">#REF!</definedName>
    <definedName name="XRefCopy91" hidden="1">'[92]Est. Result.'!#REF!</definedName>
    <definedName name="XRefCopy92" hidden="1">[93]Detalle!#REF!</definedName>
    <definedName name="XRefCopy94" hidden="1">[93]Detalle!#REF!</definedName>
    <definedName name="XRefCopy98" hidden="1">#REF!</definedName>
    <definedName name="XRefCopy99" hidden="1">#REF!</definedName>
    <definedName name="XRefCopy9Row" hidden="1">#REF!</definedName>
    <definedName name="XRefCopy9Row_8">#REF!</definedName>
    <definedName name="XRefCopyRangeCount" hidden="1">8</definedName>
    <definedName name="XRefPaste1" hidden="1">#REF!</definedName>
    <definedName name="XRefPaste10" hidden="1">#REF!</definedName>
    <definedName name="XRefPaste100" hidden="1">'[31]Balance Gral.'!#REF!</definedName>
    <definedName name="XRefPaste101" hidden="1">'[31]Balance Gral.'!#REF!</definedName>
    <definedName name="XRefPaste102" hidden="1">'[31]Balance Gral.'!#REF!</definedName>
    <definedName name="XRefPaste104" hidden="1">'[31]Balance Gral.'!#REF!</definedName>
    <definedName name="XRefPaste108" hidden="1">'[31]Balance Gral.'!#REF!</definedName>
    <definedName name="XRefPaste109" hidden="1">'[31]Balance Gral.'!#REF!</definedName>
    <definedName name="XRefPaste10Row" hidden="1">#REF!</definedName>
    <definedName name="XRefPaste11" hidden="1">[29]Detalle!#REF!</definedName>
    <definedName name="XRefPaste110" hidden="1">'[31]Balance Gral.'!#REF!</definedName>
    <definedName name="XRefPaste111" hidden="1">'[31]Balance Gral.'!#REF!</definedName>
    <definedName name="XRefPaste113" hidden="1">'[31]Balance Gral.'!#REF!</definedName>
    <definedName name="XRefPaste114" hidden="1">'[31]Balance Gral.'!#REF!</definedName>
    <definedName name="XRefPaste115" hidden="1">'[31]Balance Gral.'!#REF!</definedName>
    <definedName name="XRefPaste116" hidden="1">'[31]Balance Gral.'!#REF!</definedName>
    <definedName name="XRefPaste117" hidden="1">'[92]Est. Result.'!#REF!</definedName>
    <definedName name="XRefPaste118" hidden="1">[78]Resultados!#REF!</definedName>
    <definedName name="XRefPaste118Row" hidden="1">#REF!</definedName>
    <definedName name="XRefPaste119" hidden="1">[78]Resultados!#REF!</definedName>
    <definedName name="XRefPaste119Row" hidden="1">#REF!</definedName>
    <definedName name="XRefPaste11Row" hidden="1">#REF!</definedName>
    <definedName name="XRefPaste12" hidden="1">[29]Detalle!#REF!</definedName>
    <definedName name="XRefPaste12Row" hidden="1">#REF!</definedName>
    <definedName name="XRefPaste13" hidden="1">[29]Detalle!#REF!</definedName>
    <definedName name="XRefPaste13Row" hidden="1">#REF!</definedName>
    <definedName name="XRefPaste14" hidden="1">[29]Detalle!#REF!</definedName>
    <definedName name="XRefPaste14Row" hidden="1">#REF!</definedName>
    <definedName name="XRefPaste15" hidden="1">[29]Detalle!#REF!</definedName>
    <definedName name="XRefPaste15Row" hidden="1">#REF!</definedName>
    <definedName name="XRefPaste16" hidden="1">[29]Detalle!#REF!</definedName>
    <definedName name="XRefPaste16Row" hidden="1">#REF!</definedName>
    <definedName name="XRefPaste17" hidden="1">[29]Detalle!#REF!</definedName>
    <definedName name="XRefPaste17Row" hidden="1">#REF!</definedName>
    <definedName name="XRefPaste18" hidden="1">[29]Detalle!#REF!</definedName>
    <definedName name="XRefPaste18Row" hidden="1">#REF!</definedName>
    <definedName name="XRefPaste19" hidden="1">[29]Detalle!#REF!</definedName>
    <definedName name="XRefPaste19Row" hidden="1">#REF!</definedName>
    <definedName name="XRefPaste1Row" hidden="1">#REF!</definedName>
    <definedName name="XRefPaste2" hidden="1">#REF!</definedName>
    <definedName name="XRefPaste20" hidden="1">[29]Detalle!#REF!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[29]Detalle!#REF!</definedName>
    <definedName name="XRefPaste260Row" hidden="1">#REF!</definedName>
    <definedName name="XRefPaste261Row" hidden="1">#REF!</definedName>
    <definedName name="XRefPaste262Row" hidden="1">#REF!</definedName>
    <definedName name="XRefPaste263Row" hidden="1">#REF!</definedName>
    <definedName name="XRefPaste264Row" hidden="1">#REF!</definedName>
    <definedName name="XRefPaste266" hidden="1">#REF!</definedName>
    <definedName name="XRefPaste267" hidden="1">#REF!</definedName>
    <definedName name="XRefPaste268" hidden="1">#REF!</definedName>
    <definedName name="XRefPaste269" hidden="1">#REF!</definedName>
    <definedName name="XRefPaste26Row" hidden="1">#REF!</definedName>
    <definedName name="XRefPaste27" hidden="1">[29]Detalle!#REF!</definedName>
    <definedName name="XRefPaste270" hidden="1">#REF!</definedName>
    <definedName name="XRefPaste271" hidden="1">#REF!</definedName>
    <definedName name="XRefPaste272" hidden="1">#REF!</definedName>
    <definedName name="XRefPaste275" hidden="1">#REF!</definedName>
    <definedName name="XRefPaste276" hidden="1">#REF!</definedName>
    <definedName name="XRefPaste277" hidden="1">#REF!</definedName>
    <definedName name="XRefPaste27Row" hidden="1">#REF!</definedName>
    <definedName name="XRefPaste28" hidden="1">[29]Detalle!#REF!</definedName>
    <definedName name="XRefPaste282" hidden="1">[80]Detalle!#REF!</definedName>
    <definedName name="XRefPaste282Row" hidden="1">[81]XREF!#REF!</definedName>
    <definedName name="XRefPaste283" hidden="1">#REF!</definedName>
    <definedName name="XRefPaste283Row" hidden="1">[81]XREF!#REF!</definedName>
    <definedName name="XRefPaste28Row" hidden="1">#REF!</definedName>
    <definedName name="XRefPaste29" hidden="1">[29]Detalle!#REF!</definedName>
    <definedName name="XRefPaste29Row" hidden="1">#REF!</definedName>
    <definedName name="XRefPaste2Row" hidden="1">#REF!</definedName>
    <definedName name="XRefPaste3" hidden="1">#REF!</definedName>
    <definedName name="XRefPaste30" hidden="1">'[94]Detalle '!#REF!</definedName>
    <definedName name="XRefPaste30Row" hidden="1">#REF!</definedName>
    <definedName name="XRefPaste31" hidden="1">[29]Detalle!#REF!</definedName>
    <definedName name="XRefPaste31Row" hidden="1">#REF!</definedName>
    <definedName name="XRefPaste32" hidden="1">[29]Detalle!#REF!</definedName>
    <definedName name="XRefPaste32Row" hidden="1">#REF!</definedName>
    <definedName name="XRefPaste33" hidden="1">[29]Detalle!#REF!</definedName>
    <definedName name="XRefPaste33Row" hidden="1">#REF!</definedName>
    <definedName name="XRefPaste34" hidden="1">#REF!</definedName>
    <definedName name="XRefPaste34Row" hidden="1">#REF!</definedName>
    <definedName name="XRefPaste35" hidden="1">[29]Detalle!#REF!</definedName>
    <definedName name="XRefPaste35Row" hidden="1">#REF!</definedName>
    <definedName name="XRefPaste36" hidden="1">[29]Detalle!#REF!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[95]Detalle!#REF!</definedName>
    <definedName name="XRefPaste40Row" hidden="1">#REF!</definedName>
    <definedName name="XRefPaste41" hidden="1">#REF!</definedName>
    <definedName name="XRefPaste41_8">#REF!</definedName>
    <definedName name="XRefPaste41Row" hidden="1">#REF!</definedName>
    <definedName name="XRefPaste42" hidden="1">[29]Detalle!#REF!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[29]Detalle!#REF!</definedName>
    <definedName name="XRefPaste45Row" hidden="1">#REF!</definedName>
    <definedName name="XRefPaste46" hidden="1">[29]Detalle!#REF!</definedName>
    <definedName name="XRefPaste46Row" hidden="1">#REF!</definedName>
    <definedName name="XRefPaste47" hidden="1">[29]Detalle!#REF!</definedName>
    <definedName name="XRefPaste47Row" hidden="1">#REF!</definedName>
    <definedName name="XRefPaste48" hidden="1">#REF!</definedName>
    <definedName name="XRefPaste48Row" hidden="1">#REF!</definedName>
    <definedName name="XRefPaste49" hidden="1">[75]Resumen!#REF!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[66]XREF!#REF!</definedName>
    <definedName name="XRefPaste51" hidden="1">#REF!</definedName>
    <definedName name="XRefPaste51Row" hidden="1">[66]XREF!#REF!</definedName>
    <definedName name="XRefPaste52" hidden="1">#REF!</definedName>
    <definedName name="XRefPaste52Row" hidden="1">[66]XREF!#REF!</definedName>
    <definedName name="XRefPaste53" hidden="1">#REF!</definedName>
    <definedName name="XRefPaste53Row" hidden="1">[66]XREF!#REF!</definedName>
    <definedName name="XRefPaste54" hidden="1">#REF!</definedName>
    <definedName name="XRefPaste54Row" hidden="1">[66]XREF!#REF!</definedName>
    <definedName name="XRefPaste55" hidden="1">#REF!</definedName>
    <definedName name="XRefPaste55Row" hidden="1">[66]XREF!#REF!</definedName>
    <definedName name="XRefPaste56" hidden="1">#REF!</definedName>
    <definedName name="XRefPaste56Row" hidden="1">[66]XREF!#REF!</definedName>
    <definedName name="XRefPaste57" hidden="1">#REF!</definedName>
    <definedName name="XRefPaste57Row" hidden="1">[66]XREF!#REF!</definedName>
    <definedName name="XRefPaste58" hidden="1">#REF!</definedName>
    <definedName name="XRefPaste58Row" hidden="1">[66]XREF!#REF!</definedName>
    <definedName name="XRefPaste59" hidden="1">'[94]Detalle '!#REF!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[66]XREF!#REF!</definedName>
    <definedName name="XRefPaste61" hidden="1">'[94]Detalle '!#REF!</definedName>
    <definedName name="XRefPaste61Row" hidden="1">#REF!</definedName>
    <definedName name="XRefPaste62" hidden="1">'[75]1000 '!#REF!</definedName>
    <definedName name="XRefPaste62Row" hidden="1">#REF!</definedName>
    <definedName name="XRefPaste63" hidden="1">'[75]1000 '!#REF!</definedName>
    <definedName name="XRefPaste63Row" hidden="1">#REF!</definedName>
    <definedName name="XRefPaste64" hidden="1">'[75]1000 '!#REF!</definedName>
    <definedName name="XRefPaste64Row" hidden="1">#REF!</definedName>
    <definedName name="XRefPaste65" hidden="1">[96]Detalle!#REF!</definedName>
    <definedName name="XRefPaste65Row" hidden="1">#REF!</definedName>
    <definedName name="XRefPaste66" hidden="1">[96]Detalle!#REF!</definedName>
    <definedName name="XRefPaste66Row" hidden="1">#REF!</definedName>
    <definedName name="XRefPaste67" hidden="1">[97]Detalle!$E$144</definedName>
    <definedName name="XRefPaste67Row" hidden="1">#REF!</definedName>
    <definedName name="XRefPaste68" hidden="1">[97]Detalle!$E$136</definedName>
    <definedName name="XRefPaste68Row" hidden="1">#REF!</definedName>
    <definedName name="XRefPaste69Row" hidden="1">[89]XREF!#REF!</definedName>
    <definedName name="XRefPaste6Row" hidden="1">#REF!</definedName>
    <definedName name="XRefPaste7" hidden="1">#REF!</definedName>
    <definedName name="XRefPaste70" hidden="1">[65]Detalle!#REF!</definedName>
    <definedName name="XRefPaste70Row" hidden="1">[89]XREF!#REF!</definedName>
    <definedName name="XRefPaste71" hidden="1">[65]Detalle!#REF!</definedName>
    <definedName name="XRefPaste71Row" hidden="1">[75]XREF!#REF!</definedName>
    <definedName name="XRefPaste72Row" hidden="1">#REF!</definedName>
    <definedName name="XRefPaste73" hidden="1">#REF!</definedName>
    <definedName name="XRefPaste73Row" hidden="1">#REF!</definedName>
    <definedName name="XRefPaste75" hidden="1">[65]Detalle!#REF!</definedName>
    <definedName name="XRefPaste75Row" hidden="1">[75]XREF!#REF!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[96]Detalle!#REF!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'[31]Balance Gral.'!#REF!</definedName>
    <definedName name="XRefPaste88" hidden="1">[65]Detalle!#REF!</definedName>
    <definedName name="XRefPaste89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2" hidden="1">'[92]Est. Result.'!#REF!</definedName>
    <definedName name="XRefPaste93" hidden="1">'[92]Est. Result.'!#REF!</definedName>
    <definedName name="XRefPaste93Row" hidden="1">#REF!</definedName>
    <definedName name="XRefPaste94" hidden="1">'[92]Est. Result.'!#REF!</definedName>
    <definedName name="XRefPaste95" hidden="1">'[92]Est. Result.'!#REF!</definedName>
    <definedName name="XRefPaste95Row" hidden="1">#REF!</definedName>
    <definedName name="XRefPaste96" hidden="1">#REF!</definedName>
    <definedName name="XRefPaste97" hidden="1">'[31]Balance Gral.'!#REF!</definedName>
    <definedName name="XRefPaste99" hidden="1">'[31]Balance Gral.'!#REF!</definedName>
    <definedName name="XRefPaste9Row" hidden="1">#REF!</definedName>
    <definedName name="XRefPasteRangeCount" hidden="1">8</definedName>
    <definedName name="xrevcopy19" hidden="1">#REF!</definedName>
    <definedName name="xs">#REF!</definedName>
    <definedName name="xx" hidden="1">[10]XREF!$7:$7</definedName>
    <definedName name="y" hidden="1">[54]Costo!#REF!</definedName>
    <definedName name="yy">#REF!</definedName>
    <definedName name="z">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8" i="1" l="1"/>
  <c r="Q48" i="1" s="1"/>
  <c r="Q41" i="1"/>
  <c r="Q40" i="1"/>
  <c r="Q49" i="1"/>
  <c r="Q47" i="1"/>
  <c r="Q46" i="1"/>
  <c r="Q45" i="1"/>
  <c r="Q44" i="1"/>
  <c r="Q43" i="1"/>
  <c r="Q42" i="1"/>
  <c r="D58" i="1" l="1"/>
  <c r="D57" i="1"/>
  <c r="P49" i="1"/>
  <c r="P47" i="1"/>
  <c r="P46" i="1"/>
  <c r="P45" i="1"/>
  <c r="P44" i="1"/>
  <c r="P43" i="1"/>
  <c r="P42" i="1"/>
  <c r="P41" i="1"/>
  <c r="P40" i="1"/>
</calcChain>
</file>

<file path=xl/sharedStrings.xml><?xml version="1.0" encoding="utf-8"?>
<sst xmlns="http://schemas.openxmlformats.org/spreadsheetml/2006/main" count="10728" uniqueCount="4444">
  <si>
    <t>Conclusión:</t>
  </si>
  <si>
    <t>Empresa fantasma</t>
  </si>
  <si>
    <t>Total IVA</t>
  </si>
  <si>
    <t>Base 12 %</t>
  </si>
  <si>
    <t>Base 0%</t>
  </si>
  <si>
    <t>Total del documento</t>
  </si>
  <si>
    <t>TC</t>
  </si>
  <si>
    <t>TD</t>
  </si>
  <si>
    <t>Secuencial</t>
  </si>
  <si>
    <t>Fecha</t>
  </si>
  <si>
    <t>Tipo</t>
  </si>
  <si>
    <t>Desarrollo:</t>
  </si>
  <si>
    <t>Procedimiento:</t>
  </si>
  <si>
    <t>Objetivo:</t>
  </si>
  <si>
    <t>Revisado por:</t>
  </si>
  <si>
    <t>Preparado por:</t>
  </si>
  <si>
    <t>VALIDACIÓN DE TRANSACCIONES CON COMPAÑÍAS FANTASMA</t>
  </si>
  <si>
    <t>Resumen del análisis</t>
  </si>
  <si>
    <t>Marcas de auditoría:</t>
  </si>
  <si>
    <t>Base de decisión: Materialidad</t>
  </si>
  <si>
    <t>Ref.</t>
  </si>
  <si>
    <t>General</t>
  </si>
  <si>
    <t>XXX.XXX</t>
  </si>
  <si>
    <t>Desempeño</t>
  </si>
  <si>
    <t>Errores Triviales</t>
  </si>
  <si>
    <t>XX</t>
  </si>
  <si>
    <t>AL 31 DE DICIEMBRE DE 20XX</t>
  </si>
  <si>
    <t>COMPAÑÍA MODELO S.A.</t>
  </si>
  <si>
    <t>No.</t>
  </si>
  <si>
    <t>RUC</t>
  </si>
  <si>
    <t>RAZÓN SOCIAL</t>
  </si>
  <si>
    <t>TIPO DE CONTRIBUYENTE</t>
  </si>
  <si>
    <t>ZONA</t>
  </si>
  <si>
    <t>OFICIO 5 DÍAS NOTIFICADO</t>
  </si>
  <si>
    <t>FECHA DE NOTIFICACIÓN</t>
  </si>
  <si>
    <t>Nro. RESOLUCIÓN</t>
  </si>
  <si>
    <t>FECHA NOTIFICACIÓN</t>
  </si>
  <si>
    <t>CALIFICACIÓN</t>
  </si>
  <si>
    <t>ESTADO DEL RUC</t>
  </si>
  <si>
    <t>FECHA INICIO CALIFICACIÓN (**)</t>
  </si>
  <si>
    <t>FECHA FINALIZACIÓN CALIFICACIÓN (**)</t>
  </si>
  <si>
    <t>RESOLUCIÓN /SENTENCIA DE BAJA</t>
  </si>
  <si>
    <t>FECHA DE NOTIFICACIÓN 
RESOLUCIÓN /SENTENCIA</t>
  </si>
  <si>
    <t>N° DE OFICIO DE REACTIVACIÓN DE RUC</t>
  </si>
  <si>
    <t>ACEPTA / RECHAZA</t>
  </si>
  <si>
    <t>FECHA DE REACTIVACIÓN</t>
  </si>
  <si>
    <t>INSTANCIA DE IMPUGNACION</t>
  </si>
  <si>
    <t>ESTADO DE LA IMPUGNACIÓN</t>
  </si>
  <si>
    <t>1351650526001</t>
  </si>
  <si>
    <t>BRAVO ACOSTA ANSELMO RAMON</t>
  </si>
  <si>
    <t>PERSONA NATURAL</t>
  </si>
  <si>
    <t>ZONA 1</t>
  </si>
  <si>
    <t>PES-GTROGEI17-00000086-M</t>
  </si>
  <si>
    <t>DZ1-GPNRASN17-00000003-M</t>
  </si>
  <si>
    <t>Persona natural con actividades supuestas / transacciones inexistentes.</t>
  </si>
  <si>
    <t>SUSPENDIDO</t>
  </si>
  <si>
    <t>-</t>
  </si>
  <si>
    <t>2191711079001</t>
  </si>
  <si>
    <t>CONEFACONST CIA. LTDA.</t>
  </si>
  <si>
    <t>SOCIEDAD</t>
  </si>
  <si>
    <t>NAC-DNCOPEC16-00161874-M</t>
  </si>
  <si>
    <t>DZ1-GSORIFV16-00000001</t>
  </si>
  <si>
    <t>Sociedad con actividades supuestas o transacciones inexistentes</t>
  </si>
  <si>
    <t>1727082578001</t>
  </si>
  <si>
    <t>CONFORME MORALES LUIS FELIPE</t>
  </si>
  <si>
    <t>PES-GTROGEC17-00000089-M</t>
  </si>
  <si>
    <t>DZ1-GPNRASN17-00000004-M</t>
  </si>
  <si>
    <t>Persona natural con actividades supuestas y transacciones inexistentes.</t>
  </si>
  <si>
    <t>0802999060001</t>
  </si>
  <si>
    <t>COROZO ESTUPIÑAN MAURICIO JOSE</t>
  </si>
  <si>
    <t>PES-GTROGEC17-00000087-M</t>
  </si>
  <si>
    <t>DZ1-GPNRASN17-00000001-M</t>
  </si>
  <si>
    <t>2100657770001</t>
  </si>
  <si>
    <t>GAMEZ MENDEZ SILVIA CARMEN</t>
  </si>
  <si>
    <t>PES-GTROGEC17-00000091-M</t>
  </si>
  <si>
    <t>DZ1-GPNRASN17-00000005-M</t>
  </si>
  <si>
    <t>1792444713001</t>
  </si>
  <si>
    <t>INCONCIV CONSTRUCCIONES CIA. LTDA.</t>
  </si>
  <si>
    <t>DZ1-GSOOGEV17-00000002-M</t>
  </si>
  <si>
    <t>DZ1-GSORASV17-00000001-M</t>
  </si>
  <si>
    <t>Empresa inexistente / fantasma con actividades supuestas / transacciones inexistentes.</t>
  </si>
  <si>
    <t>PASIVO</t>
  </si>
  <si>
    <t>1723936066001</t>
  </si>
  <si>
    <t>LOPEZ CORDERO DAVID ESTEBAN</t>
  </si>
  <si>
    <t>PES-GTROGEC17-00000090-M</t>
  </si>
  <si>
    <t>DZ1-GPNRASO17-00000001-M</t>
  </si>
  <si>
    <t>NAC-RRRRRVC22-00000172</t>
  </si>
  <si>
    <t>RECURSOS DE REVISION</t>
  </si>
  <si>
    <t>FINALIZADO POR PERÍODOS</t>
  </si>
  <si>
    <t>1708816614001</t>
  </si>
  <si>
    <t>VARGAS ALCIVAR FRANCISCO ISIDRO</t>
  </si>
  <si>
    <t>PES-GTROGEN17-00000092-M</t>
  </si>
  <si>
    <t>DZ1-GPNRASN17-00000006-M</t>
  </si>
  <si>
    <t>NAC-RRRRRVC20-00000295</t>
  </si>
  <si>
    <t>0803139435001</t>
  </si>
  <si>
    <t>ZAMBRANO MENDOZA KATIUSKA JACINTA</t>
  </si>
  <si>
    <t>PES-GTROGEC17-00000088-M</t>
  </si>
  <si>
    <t>DZ1-GPNRASN17-00000002-M</t>
  </si>
  <si>
    <t>1500198609001</t>
  </si>
  <si>
    <t>ARELLANO MAFLA HEISTEIN MENTOR</t>
  </si>
  <si>
    <t>ZONA 2</t>
  </si>
  <si>
    <t>NAC-DNCOIOG16-00005398</t>
  </si>
  <si>
    <t>DZ2-GTRRSAC16-00000005-M</t>
  </si>
  <si>
    <t>Persona natural con actividades supuestas y/o transacciones inexistentes.</t>
  </si>
  <si>
    <t>RECLAMOS</t>
  </si>
  <si>
    <t>FINALIZADO SE RATIFICA</t>
  </si>
  <si>
    <t>1704462280001</t>
  </si>
  <si>
    <t>ARELLANO MAFLA JUAN MILTON</t>
  </si>
  <si>
    <t>NAC-DNCOIOG16-00005422</t>
  </si>
  <si>
    <t>DZ2-GTRRSAC16-00000001-M</t>
  </si>
  <si>
    <t>1792299519001</t>
  </si>
  <si>
    <t>COMPAÑÍA DE TRANSPORTE FLUVIAL CHIROISLA CIA. LTDA.</t>
  </si>
  <si>
    <t>NAC-DNCOPEC16-00161996-M</t>
  </si>
  <si>
    <t>DZ2-GTRRSAV15-00000001-M</t>
  </si>
  <si>
    <t>Empresa inexistente, fantasma con actividades supuestas y  transacciones inexistentes.</t>
  </si>
  <si>
    <t>1900100361001</t>
  </si>
  <si>
    <t>ORDOÑEZ BERMEO EDGAR</t>
  </si>
  <si>
    <t>NAC-DNCOIOG16-00005307</t>
  </si>
  <si>
    <t>DZ2-GTRRSAC16-00000003-M</t>
  </si>
  <si>
    <t>1500686827001</t>
  </si>
  <si>
    <t>SALAS ARELLANO WASHINGTON OSWALDO</t>
  </si>
  <si>
    <t>NAC-DNCOIOG16-00005437</t>
  </si>
  <si>
    <t>DZ2-GTRRSAC16-00000004-M</t>
  </si>
  <si>
    <t>1501167298001</t>
  </si>
  <si>
    <t>TORRES VILLON BRYAN JOEL</t>
  </si>
  <si>
    <t>DZ2-GTROGEI17-00000003-M</t>
  </si>
  <si>
    <t>DZ2-GTRRASC17-00000003-M</t>
  </si>
  <si>
    <t>0703249664001</t>
  </si>
  <si>
    <t>VILLEGAS LIMONES JOSE PATRICIO</t>
  </si>
  <si>
    <t>DZ2-GTROGEI17-00000002-M</t>
  </si>
  <si>
    <t>DZ2-GTRRASC17-00000002-M</t>
  </si>
  <si>
    <t>0701820953001</t>
  </si>
  <si>
    <t>VILLON PLACENCIO HENRY WANEY</t>
  </si>
  <si>
    <t>NAC-DNCOIOG16-00005393</t>
  </si>
  <si>
    <t>DZ2-GTRRSAC16-00000002-M</t>
  </si>
  <si>
    <t>0702522228001</t>
  </si>
  <si>
    <t>VILLON PLASENCIO AMARILIS NOEMI</t>
  </si>
  <si>
    <t>DZ2-GTROGEI17-00000001-M</t>
  </si>
  <si>
    <t>DZ2-GTRRASC17-00000001-M</t>
  </si>
  <si>
    <t>1802731651001</t>
  </si>
  <si>
    <t>CARRASCO TAMAYO RICARDO SANTIAGO</t>
  </si>
  <si>
    <t>ZONA 3</t>
  </si>
  <si>
    <t>DZ3-GCEOGEC19-00000001-M</t>
  </si>
  <si>
    <t>DZ3-GCERASC19-00000001-M</t>
  </si>
  <si>
    <t>0603912627001</t>
  </si>
  <si>
    <t>CASANOVA ZAMORA TANNIA ALEXANDRA</t>
  </si>
  <si>
    <t>NAC-DNCOIOG16-00005444</t>
  </si>
  <si>
    <t>PCH-GTRRASN16-00000208-M</t>
  </si>
  <si>
    <t>0701957490001</t>
  </si>
  <si>
    <t>VASQUEZ CACERES MARCELO GEOVANNY</t>
  </si>
  <si>
    <t>NAC-DNCOIOG16-00005358</t>
  </si>
  <si>
    <t>PCH-GTRRASN16-00000207-M</t>
  </si>
  <si>
    <t>1310458664001</t>
  </si>
  <si>
    <t>AGUILAR PARRALES JOHN ADALBERTO</t>
  </si>
  <si>
    <t>ZONA 4</t>
  </si>
  <si>
    <t>CMA-CGTOPEN17-00000076-M</t>
  </si>
  <si>
    <t>CMA-CGTRASV17-00000003-M</t>
  </si>
  <si>
    <t>Persona natural con actividades supuestas o transacciones inexistentes.</t>
  </si>
  <si>
    <t>1311445983001</t>
  </si>
  <si>
    <t>ALAVA ROMERO MARIA DE LOS ANGELES</t>
  </si>
  <si>
    <t>DZ4-GSOORIC18-00000013-M</t>
  </si>
  <si>
    <t>DZ4-GSOOIOC18-00000004-M</t>
  </si>
  <si>
    <t>1311725285001</t>
  </si>
  <si>
    <t>ALCIVAR GARCIA MARIA JOHANNA</t>
  </si>
  <si>
    <t xml:space="preserve">DZ4-APNOPEC18-00000002-M </t>
  </si>
  <si>
    <t>DZ4-APNRASC19-00000002-M</t>
  </si>
  <si>
    <t>Persona natural con actividades supuestas e inexistentes.</t>
  </si>
  <si>
    <t>1312832569001</t>
  </si>
  <si>
    <t>ARTEAGA MACIAS CARLOS ENRIQUE</t>
  </si>
  <si>
    <t>NAC-DNCOIOG16-00005330</t>
  </si>
  <si>
    <t>CMA-GPNRASC16-00000001-M</t>
  </si>
  <si>
    <t>1312909870001</t>
  </si>
  <si>
    <t>ARTURO ORTIZ MARIA ANABEL</t>
  </si>
  <si>
    <t>PERSONAS NATURALES</t>
  </si>
  <si>
    <t>DZ4-GSOORIC18-00000008-M</t>
  </si>
  <si>
    <t>DZ4-GSOOIOC18-00000002-M</t>
  </si>
  <si>
    <t>ACTIVO</t>
  </si>
  <si>
    <t>CBC-CGTOGEC20-00000001-M
CBC-CGTOGEC20-00000003-M</t>
  </si>
  <si>
    <t>19/10/2020
15/12/2020</t>
  </si>
  <si>
    <t>ACEPTA</t>
  </si>
  <si>
    <t>0914707765001</t>
  </si>
  <si>
    <t>ASENCIO DIAZ JULIO ERNESTO</t>
  </si>
  <si>
    <t>NAC-DNCOIOG16-00005427</t>
  </si>
  <si>
    <t>CMA-GPNRASC16-00000002-M</t>
  </si>
  <si>
    <t>1311442527001</t>
  </si>
  <si>
    <t>AVILA VELASCO GREGORIO ELIAS</t>
  </si>
  <si>
    <t>CJI-CGTORIC18-00000002-M</t>
  </si>
  <si>
    <t>DZ4-GPNMGEI18-00000002-M</t>
  </si>
  <si>
    <t>1309568952001</t>
  </si>
  <si>
    <t>AVILEZ VELEZ OSCAR ARTURO</t>
  </si>
  <si>
    <t>PSD-GTROGEC20-00000004-M</t>
  </si>
  <si>
    <t>PSD-GTRRASC20-00000005-M</t>
  </si>
  <si>
    <t>1391776276001</t>
  </si>
  <si>
    <t>BIOCIUDAD S.A.</t>
  </si>
  <si>
    <t>DZ4-ASOOPEC17-00000001-M</t>
  </si>
  <si>
    <t>DZ4-ASORASC17-00000001-M</t>
  </si>
  <si>
    <t>Sociedad con transacciones inexistentes</t>
  </si>
  <si>
    <t>1310021280001</t>
  </si>
  <si>
    <t>BRAVO PARRAGA RICHAR ESTALIN</t>
  </si>
  <si>
    <t>NAC-DNCOIOG16-00005404</t>
  </si>
  <si>
    <t>CMA-GPNRASC16-00000003-M</t>
  </si>
  <si>
    <t>0802192211001</t>
  </si>
  <si>
    <t>CARVAJAL CASTILLO SARA YAQUELINE</t>
  </si>
  <si>
    <t>PSD-GTROGEC20-00000002-M</t>
  </si>
  <si>
    <t>PSD-GTRRASC20-00000001-M</t>
  </si>
  <si>
    <t>1315832509001</t>
  </si>
  <si>
    <t>CASTRO GONGORA PEDRO CARLOS</t>
  </si>
  <si>
    <t>DZ4-GPNOGEC17-00000009-M</t>
  </si>
  <si>
    <t>DZ4-GPNRASC17-00000004-M</t>
  </si>
  <si>
    <t>1312956376001</t>
  </si>
  <si>
    <t>CEDEÑO LOOR ANGEL ENRIQUE</t>
  </si>
  <si>
    <t>DZ4-APNOPEC18-00000001-M</t>
  </si>
  <si>
    <t>27, 30 Y 31 DE JULIO 2018</t>
  </si>
  <si>
    <t>DZ4-APNRASC19-00000001-M</t>
  </si>
  <si>
    <t>1309067005001</t>
  </si>
  <si>
    <t>CEDEÑO ZAMBRANO RAMON ANTENOR</t>
  </si>
  <si>
    <t>DZ4-GPNOGEC17-00000016-M</t>
  </si>
  <si>
    <t>CCH-GPNRASC17-00000002-M</t>
  </si>
  <si>
    <t>113142018OGTN000435</t>
  </si>
  <si>
    <t>1311432668001</t>
  </si>
  <si>
    <t>CHAVEZ TRIVIÑO GINA MARIUXI</t>
  </si>
  <si>
    <t>NAC-DNCOIOG16-00005329</t>
  </si>
  <si>
    <t>CMA-GPNRASC16-00000004-M</t>
  </si>
  <si>
    <t>1311949166001</t>
  </si>
  <si>
    <t>CHOEZ MERA VICTOR MANUEL</t>
  </si>
  <si>
    <t>NAC-DNCOIOG16-00005440</t>
  </si>
  <si>
    <t>DZ4-GPNRASC16-00000008-M</t>
  </si>
  <si>
    <t>0928978956001</t>
  </si>
  <si>
    <t>CHUNG LOOR KENIA VANESSA</t>
  </si>
  <si>
    <t>CCH-CGTOGEC18-00000001-M</t>
  </si>
  <si>
    <t>CCH-CGTRASC18-00000001-M</t>
  </si>
  <si>
    <t>1391831536001</t>
  </si>
  <si>
    <t>CONSTRUCCIONES CIVIL SUAREZ &amp; MOYA CONCISUAMO CIA.LTDA.</t>
  </si>
  <si>
    <t xml:space="preserve">CMA-CGTOFQV17-00000072-M  </t>
  </si>
  <si>
    <t>CMA-CGTRASV17-00000002-M</t>
  </si>
  <si>
    <t>0907365878001</t>
  </si>
  <si>
    <t>CRESPO GRANIZO WILLIAM RODOLFO</t>
  </si>
  <si>
    <t>DZ4-GPNOGEC17-00000018-M</t>
  </si>
  <si>
    <t>DZ4-CGTRASC17-00010001-M</t>
  </si>
  <si>
    <t>1725062986001</t>
  </si>
  <si>
    <t>CUENCA ALAVA YUBER DANIEL</t>
  </si>
  <si>
    <t>NAC-DNCOIOG16-00005336</t>
  </si>
  <si>
    <t>DZ4-GPNRASC16-00000009-M</t>
  </si>
  <si>
    <t>1312797853001</t>
  </si>
  <si>
    <t>CUENCA PILAY HERNAN FREDDY</t>
  </si>
  <si>
    <t>NAC-DNCOIOG16-00005335</t>
  </si>
  <si>
    <t>DZ4-GPNRASC16-00000010-M</t>
  </si>
  <si>
    <t>1306767508001</t>
  </si>
  <si>
    <t>DE LA CRUZ CEDEÑO PEDRO JOSE</t>
  </si>
  <si>
    <t>NAC-DNCOIOG16-00005438</t>
  </si>
  <si>
    <t>DZ4-GPNRASC16-00000011-M</t>
  </si>
  <si>
    <t>1720320348001</t>
  </si>
  <si>
    <t>DELGADO CHANGO EDISON DANIEL</t>
  </si>
  <si>
    <t>CBC-GPNOPEC17-00000020-M</t>
  </si>
  <si>
    <t>CBC-GPNRASC17-00000010-M</t>
  </si>
  <si>
    <t>1308368313001</t>
  </si>
  <si>
    <t>DENDER PINARGOTE ROBERTO ESMITH</t>
  </si>
  <si>
    <t>ZONA 8</t>
  </si>
  <si>
    <t>CBC-CGTOGEC18-00000002-M</t>
  </si>
  <si>
    <t>CBC-CGTRASC18-00000002-M</t>
  </si>
  <si>
    <t>RESOLUCION</t>
  </si>
  <si>
    <t>1308948734001</t>
  </si>
  <si>
    <t>FALCONES ERAZO RAFAEL EDUARDO</t>
  </si>
  <si>
    <t>DZ4-GPNOGEC17-00000012-M</t>
  </si>
  <si>
    <t>DZ4-GPNRASC17-00000002-M</t>
  </si>
  <si>
    <t>0801390329001</t>
  </si>
  <si>
    <t>GARCES CASTILLO YOLANDA SORAIDA</t>
  </si>
  <si>
    <t>PSD-GTROGEC20-00000009-M</t>
  </si>
  <si>
    <t>PSD-GTRRASC20-00000004-M</t>
  </si>
  <si>
    <t>1311991903001</t>
  </si>
  <si>
    <t>GARCIA MACIAS BETTY MELISA</t>
  </si>
  <si>
    <t>DZ4-GCEORIC18-00000009-M</t>
  </si>
  <si>
    <t>DZ4-GCEOIOC18-00000003-M</t>
  </si>
  <si>
    <t>113142019OGTN000344</t>
  </si>
  <si>
    <t>0923046080001</t>
  </si>
  <si>
    <t>GILCES PANTA CINDY PAMELA</t>
  </si>
  <si>
    <t>CJI-CGTORIC18-00000003-M</t>
  </si>
  <si>
    <t>DZ4-GPNMGEI18-00000003-M</t>
  </si>
  <si>
    <t>1308962719001</t>
  </si>
  <si>
    <t>GOROZABEL GARCIA MIGUEL OCTAVIO</t>
  </si>
  <si>
    <t>NAC-DNCOIOG16-00005458</t>
  </si>
  <si>
    <t>DZ4-GPNRASC16-00000001-M</t>
  </si>
  <si>
    <t>0931236673001</t>
  </si>
  <si>
    <t>HUNGRIA YANCE BORIS DAVID</t>
  </si>
  <si>
    <t>CBC-GPNOPEC17-00000014-M</t>
  </si>
  <si>
    <t>CBC-GPNRASC17-00000001-M</t>
  </si>
  <si>
    <t>1305543520001</t>
  </si>
  <si>
    <t>IBARRA MANZABA BERNY FRANCISCO</t>
  </si>
  <si>
    <t>CBC-GPNOPEC17-00000019-M</t>
  </si>
  <si>
    <t>CBC-GPNRASC17-00000006-M</t>
  </si>
  <si>
    <t>1303529513001</t>
  </si>
  <si>
    <t>INTRIAGO MALO BENITO ALFONSO</t>
  </si>
  <si>
    <t xml:space="preserve">DZ4-APNOPEC18-00000006-M </t>
  </si>
  <si>
    <t>15, 16 Y 17 DE AGOSTO 2018</t>
  </si>
  <si>
    <t>DZ4-APNRASC19-00000006-M</t>
  </si>
  <si>
    <t>1312805656001</t>
  </si>
  <si>
    <t>INTRIAGO SANDOVAL DARWIN CARLOS</t>
  </si>
  <si>
    <t xml:space="preserve">DZ4-APNOPEC18-00000007-M </t>
  </si>
  <si>
    <t>DZ4-APNRASC19-00000007-M</t>
  </si>
  <si>
    <t>1313117119001</t>
  </si>
  <si>
    <t>INTRIAGO SANDOVAL JOSE BENITO</t>
  </si>
  <si>
    <t xml:space="preserve">DZ4-APNOPEC18-00000010-M </t>
  </si>
  <si>
    <t>DZ4-APNRASC19-00000010-M</t>
  </si>
  <si>
    <t>1304496613001</t>
  </si>
  <si>
    <t>LOPEZ CEDEÑO RAMON ANTONIO</t>
  </si>
  <si>
    <t>DZ4-GPNOGEC18-00000003-M</t>
  </si>
  <si>
    <t>DZ4-GPNRASC18-00000001-M</t>
  </si>
  <si>
    <t>1391783345001</t>
  </si>
  <si>
    <t>MANSATURIS S.A.</t>
  </si>
  <si>
    <t>NAC-DNCOPEC16-00161622-M</t>
  </si>
  <si>
    <t>DZ4-GSORASC16-00000003-M</t>
  </si>
  <si>
    <t>Empresa inexistente</t>
  </si>
  <si>
    <t>0916964885001</t>
  </si>
  <si>
    <t>MENOSCAL BONILLA EDISON REIMUNDO</t>
  </si>
  <si>
    <t>NAC-DNCOIOG16-00005331</t>
  </si>
  <si>
    <t>CMA-GPNRASC16-00000005-M</t>
  </si>
  <si>
    <t>1310484223001</t>
  </si>
  <si>
    <t>MERA CALDERON GUADALUPE ISABEL</t>
  </si>
  <si>
    <t xml:space="preserve">DZ4-APNOPEC18-00000005-M </t>
  </si>
  <si>
    <t>DZ4-APNRASC19-00000005-M</t>
  </si>
  <si>
    <t>1306629328001</t>
  </si>
  <si>
    <t>MERA CALDERON ROSA ELENA</t>
  </si>
  <si>
    <t>CBC-GPNOPEC17-00000021-M</t>
  </si>
  <si>
    <t>CBC-GPNRASC17-00000007-M</t>
  </si>
  <si>
    <t>1305556605001</t>
  </si>
  <si>
    <t>MERA CEDEÑO JOM ITLER</t>
  </si>
  <si>
    <t>NAC-DNCOIOG16-00005374</t>
  </si>
  <si>
    <t>DZ4-GPNRASC16-00000002-M</t>
  </si>
  <si>
    <t>1310349954001</t>
  </si>
  <si>
    <t>MERA GARCIA MARIANA DEL JESUS</t>
  </si>
  <si>
    <t>DZ4-GSOORIC18-00000006-M</t>
  </si>
  <si>
    <t>DZ4-GSOOIOC18-00000001-M</t>
  </si>
  <si>
    <t>1310067267001</t>
  </si>
  <si>
    <t>MERA MOREIRA DANIEL ANTONIO</t>
  </si>
  <si>
    <t>NAC-DNCOIOG16-00005403</t>
  </si>
  <si>
    <t>DZ4-GPNRASC16-00000005-M</t>
  </si>
  <si>
    <t>1312348566001</t>
  </si>
  <si>
    <t>MERO MERO FREDDY DANIEL</t>
  </si>
  <si>
    <t>CJI-CGTORIC18-00000001-M</t>
  </si>
  <si>
    <t>DZ4-GPNRASC18-00000012-M</t>
  </si>
  <si>
    <t>1312228156001</t>
  </si>
  <si>
    <t>MERO SALAZAR FATIMA ALEXANDRA</t>
  </si>
  <si>
    <t>DZ4-GPNOGEC17-00000014-M</t>
  </si>
  <si>
    <t>CCH-GPNRASC17-00000001-M</t>
  </si>
  <si>
    <t>113142019OGTN000111</t>
  </si>
  <si>
    <t>1723272066001</t>
  </si>
  <si>
    <t>MESTANZA TAPIA JOSE ALEXANDER</t>
  </si>
  <si>
    <t>PSD-GTROGEC20-00000007-M</t>
  </si>
  <si>
    <t>PSD-GTRRASC20-00000006-M</t>
  </si>
  <si>
    <t>1305642850001</t>
  </si>
  <si>
    <t>MONCAYO ZAMBRANO JOSE LUIS</t>
  </si>
  <si>
    <t>CBC-GPNOPEC17-00000018-M</t>
  </si>
  <si>
    <t>CBC-GPNRASC17-00000005-M</t>
  </si>
  <si>
    <t>1310467582001</t>
  </si>
  <si>
    <t>MONCAYO ZAMBRANO MARIA JOSEFA</t>
  </si>
  <si>
    <t xml:space="preserve">DZ4-APNOPEC18-00000012-M </t>
  </si>
  <si>
    <t>DZ4-APNRASC19-00000008-M</t>
  </si>
  <si>
    <t>1308351764001</t>
  </si>
  <si>
    <t>MONCAYO ZAMBRANO MIGUEL ANTONIO</t>
  </si>
  <si>
    <t>CBC-GPNOPEC17-00000022-M</t>
  </si>
  <si>
    <t>CBC-GPNRASC17-00000009-M</t>
  </si>
  <si>
    <t>2390023955001</t>
  </si>
  <si>
    <t>MORALES PEREIRA JHON FREDY</t>
  </si>
  <si>
    <t>PSD-GTROGEC17-00000010-M</t>
  </si>
  <si>
    <t>PSD-GTRRASC17-00010001-M</t>
  </si>
  <si>
    <t>1391789785001</t>
  </si>
  <si>
    <t>MORBELU S.A.</t>
  </si>
  <si>
    <t>NAC-DNCOPEC16-00161572-M</t>
  </si>
  <si>
    <t>DZ4-GSORASC16-00000002-M</t>
  </si>
  <si>
    <t>Empresa Inexistente</t>
  </si>
  <si>
    <t>1315919371001</t>
  </si>
  <si>
    <t>MOREIRA CEDEÑO ISIDRO ANTONIO</t>
  </si>
  <si>
    <t>NAC-DNCOIOG16-00005408</t>
  </si>
  <si>
    <t>DZ4-GPNRASC16-00000006-M</t>
  </si>
  <si>
    <t>1315613305001</t>
  </si>
  <si>
    <t>MOREIRA INTRIAGO LEIBER IVAN</t>
  </si>
  <si>
    <t>DZ4-GPNRASC17-00000005-M</t>
  </si>
  <si>
    <t>1312992298001</t>
  </si>
  <si>
    <t>PALADINES MARTINEZ GABRIELA LIZETH</t>
  </si>
  <si>
    <t>CBC-GPNOPEC17-00000017-M</t>
  </si>
  <si>
    <t>CBC-GPNRASC17-00000004-M</t>
  </si>
  <si>
    <t>1205597196001</t>
  </si>
  <si>
    <t>PALADINEZ IBARRA JEISON REYNALDO</t>
  </si>
  <si>
    <t>CBC-GPNOPEC17-00000025-M</t>
  </si>
  <si>
    <t>CBC-GPNRASC18-00000001-M</t>
  </si>
  <si>
    <t>0911344323001</t>
  </si>
  <si>
    <t>PARRA GALARZA IVAN LORENZO</t>
  </si>
  <si>
    <t>NAC-DNCOIOG16-00005406</t>
  </si>
  <si>
    <t>DZ4-GPNRASC16-00000003-M</t>
  </si>
  <si>
    <t>1312824335001</t>
  </si>
  <si>
    <t>PARRALES ARRUNATEGUI CRISTHIAN ALBERTO</t>
  </si>
  <si>
    <t>CBC-GPNOPEC17-00000016-M</t>
  </si>
  <si>
    <t>CBC-GPNRASC17-00000003-M</t>
  </si>
  <si>
    <t>1312472689001</t>
  </si>
  <si>
    <t>PARRALES ARRUNATEGUI JHAN CARLOS</t>
  </si>
  <si>
    <t>CBC-GPNOPEC17-00000015-M</t>
  </si>
  <si>
    <t>CBC-GPNRASC17-00000002-M</t>
  </si>
  <si>
    <t>1313120089001</t>
  </si>
  <si>
    <t>PEREZ LUCAS RAFAEL ALEXANDER</t>
  </si>
  <si>
    <t>CBC-GPNOPEC17-00000024-M</t>
  </si>
  <si>
    <t>CBC-GPNRASC17-00000012-M</t>
  </si>
  <si>
    <t>0925681819001</t>
  </si>
  <si>
    <t>PILAY QUIMIZ ROLANDO EDUARDO</t>
  </si>
  <si>
    <t>NAC-DNCOIOG16-00005407</t>
  </si>
  <si>
    <t>DZ4-GPNRASC16-00000004-M</t>
  </si>
  <si>
    <t>1704499662001</t>
  </si>
  <si>
    <t>PILOSO INTRIAGO FIRMO ANTONIO</t>
  </si>
  <si>
    <t>DZ4-GPNOGEC17-00000010-M</t>
  </si>
  <si>
    <t>DZ4-GPNRASC17-00000003-M</t>
  </si>
  <si>
    <t>0926482852001</t>
  </si>
  <si>
    <t>PONCE PLAZA RONALD GEOVANNY</t>
  </si>
  <si>
    <t>CBC-GPNOPEC17-00000023-M</t>
  </si>
  <si>
    <t>CBC-GPNRASC17-00000011-M</t>
  </si>
  <si>
    <t>1309450235001</t>
  </si>
  <si>
    <t>PROAÑO PICO RONALD FERNANDO</t>
  </si>
  <si>
    <t>NAC-DNCOIOG16-00005319</t>
  </si>
  <si>
    <t>DZ4-GPNRASC16-00000013-M</t>
  </si>
  <si>
    <t>1308564572001</t>
  </si>
  <si>
    <t>PUERTAS ROSALES ROBERTO DEMETRIO</t>
  </si>
  <si>
    <t>CBC-CGTOGEC18-00000001-M</t>
  </si>
  <si>
    <t>CBC-CGTRASC18-00000001-M</t>
  </si>
  <si>
    <t>1391841043001</t>
  </si>
  <si>
    <t>RECICLADORA PLASTICOS Y FERROSOS PLASFER S.A.</t>
  </si>
  <si>
    <t xml:space="preserve">CMA-CGTOGEC20-00000003-M </t>
  </si>
  <si>
    <t xml:space="preserve">CMA-CGTRASC20-00000040-M </t>
  </si>
  <si>
    <t>1313489294001</t>
  </si>
  <si>
    <t>REYNA VILLAMAR CRISTOBAL ISRAEL</t>
  </si>
  <si>
    <t>CBC-CGTOGEC18-00000004-M</t>
  </si>
  <si>
    <t>CBC-CGTRASC18-00000004-M</t>
  </si>
  <si>
    <t>1314101153001</t>
  </si>
  <si>
    <t>RIVADENEIRA ZAMORA FELIX FERNANDO</t>
  </si>
  <si>
    <t xml:space="preserve">DZ4-APNOPEC18-00000004-M </t>
  </si>
  <si>
    <t>DZ4-APNRASC19-00000004-M</t>
  </si>
  <si>
    <t>1306549187001</t>
  </si>
  <si>
    <t>RIVAS PICO MARIA ELIZABETH</t>
  </si>
  <si>
    <t>NAC-DNCOIOG16-00005454</t>
  </si>
  <si>
    <t>DZ4-GPNRASC16-00000014-M</t>
  </si>
  <si>
    <t>2300468457001</t>
  </si>
  <si>
    <t>RODRIGUEZ MERA EVELYN MARIVI</t>
  </si>
  <si>
    <t>PSD-GTROGEC20-00000008-M</t>
  </si>
  <si>
    <t>PSD-GTRRASC20-00000003-M</t>
  </si>
  <si>
    <t>1302714736001</t>
  </si>
  <si>
    <t>ROMERO GARCES RAMON ANTONIO</t>
  </si>
  <si>
    <t xml:space="preserve">DZ4-APNOPEC18-00000009-M </t>
  </si>
  <si>
    <t>DZ4-APNRASC19-00000009-M</t>
  </si>
  <si>
    <t>1309066551001</t>
  </si>
  <si>
    <t>SALTOS SALTOS WILDER ADALBERTO</t>
  </si>
  <si>
    <t>NAC-DNCOIOG16-00005405</t>
  </si>
  <si>
    <t>DZ4-GPNRASC16-00000015-M</t>
  </si>
  <si>
    <t>1306630441001</t>
  </si>
  <si>
    <t>STOPPER ROJAS ROBERTO JAVIER</t>
  </si>
  <si>
    <t>DZ4-GPNOGEC17-00000013-M</t>
  </si>
  <si>
    <t>CCH-GPNRASC17-00000003-M</t>
  </si>
  <si>
    <t>1391787944001</t>
  </si>
  <si>
    <t>TIERRA SOUTH ECUADOR S.A. TERSEC</t>
  </si>
  <si>
    <t>NAC-DNCOPEC16-00161794-M</t>
  </si>
  <si>
    <t>DZ4-GSORASC16-00000004-M</t>
  </si>
  <si>
    <t>2300289614001</t>
  </si>
  <si>
    <t>VIDAL TUAREZ ERICKA LOURDES</t>
  </si>
  <si>
    <t>PSD-APNOGEC19-00000002-M</t>
  </si>
  <si>
    <t>PSD-APNRASC19-00000001-M</t>
  </si>
  <si>
    <t>1724850746001</t>
  </si>
  <si>
    <t>ZAMBRANO CAGUA ESTEFANIA CLARA</t>
  </si>
  <si>
    <t>PSD-GTROGEC20-00000006-M</t>
  </si>
  <si>
    <t>PSD-GTRRASC20-00000002-M</t>
  </si>
  <si>
    <t>1304793381001</t>
  </si>
  <si>
    <t>ZAMBRANO CASTAÑEDA RITA CATALINA</t>
  </si>
  <si>
    <t xml:space="preserve">DZ4-APNOPEC18-00000003-M </t>
  </si>
  <si>
    <t>DZ4-APNRASC19-00000003-M</t>
  </si>
  <si>
    <t>1314150002001</t>
  </si>
  <si>
    <t>ZAMBRANO ZAMBRANO EDY FERNANDO</t>
  </si>
  <si>
    <t>DZ4-GPNOGEC17-00000015-M</t>
  </si>
  <si>
    <t>CCH-GPNRASC17-00000004-M</t>
  </si>
  <si>
    <t>113142018OGTN000226</t>
  </si>
  <si>
    <t>1310484769001</t>
  </si>
  <si>
    <t>ZAVALA ROLDAN ANIBAL FERNANDO</t>
  </si>
  <si>
    <t>NAC-DNCOIOG16-00005359</t>
  </si>
  <si>
    <t>DZ4-GPNRASC16-00000017-M</t>
  </si>
  <si>
    <t>1308114857001</t>
  </si>
  <si>
    <t>ZAVALA ROLDAN JONNY AGENOR</t>
  </si>
  <si>
    <t>NAC-DNCOIOG16-00005333</t>
  </si>
  <si>
    <t>DZ4-GPNRASC16-00000016-M</t>
  </si>
  <si>
    <t>0702227372001</t>
  </si>
  <si>
    <t>AGUIRRE ANDINO GUIDO RICHARD</t>
  </si>
  <si>
    <t>ZONA 5</t>
  </si>
  <si>
    <t>NAC-DNCOIOG16-00005392</t>
  </si>
  <si>
    <t>PSE-GTRRASN16-00000005-M</t>
  </si>
  <si>
    <t>0992848774001</t>
  </si>
  <si>
    <t>CASAESCROW S.A</t>
  </si>
  <si>
    <t>PSE-GTROGEV17-00000007-M</t>
  </si>
  <si>
    <t>DZ5-GTRRASC17-00010001-M</t>
  </si>
  <si>
    <t>Empresa inexistente o fantasma</t>
  </si>
  <si>
    <t>0992673249001</t>
  </si>
  <si>
    <t>CATERING INTERPRISE CAINPRI S.A.</t>
  </si>
  <si>
    <t>NAC-DNCOPEC16-00161841-M</t>
  </si>
  <si>
    <t>PSE-GTRRASC16-00000003-M</t>
  </si>
  <si>
    <t>0591720872001</t>
  </si>
  <si>
    <t>CONSTIDOR S.A.</t>
  </si>
  <si>
    <t>NAC-DNCOPEC16-00161634-M</t>
  </si>
  <si>
    <t>DZ5-GTRRASV16-00000001-M</t>
  </si>
  <si>
    <t>Empresa inexistente, fantasma o supuesta, o sociedad con actividades supuestas y/o transacciones inexistentes</t>
  </si>
  <si>
    <t>POR RESOLVER</t>
  </si>
  <si>
    <t>1205818576001</t>
  </si>
  <si>
    <t>CONTRERAS MORAN FREDDY DUBERLI</t>
  </si>
  <si>
    <t xml:space="preserve">DZ5-GTROGEC19-00000025-M </t>
  </si>
  <si>
    <t>DZ5-GTRRASC19-00000001-M</t>
  </si>
  <si>
    <t>1291725437001</t>
  </si>
  <si>
    <t>CREPECAM S.A CONSTRUCCIONES Y REPARACIONES DE EQUIPOS CAMINEROS Y MAQUINARIAS PESADAS</t>
  </si>
  <si>
    <t>NAC-DNCOPEC16-00161684-M</t>
  </si>
  <si>
    <t>DZ5-GTRRASV16-00000003-M</t>
  </si>
  <si>
    <t>2091757047001</t>
  </si>
  <si>
    <t>GALAPAGOS VISION VISIONISLAND CIA. LTDA</t>
  </si>
  <si>
    <t>NAC-DNCOIOG16-00005466</t>
  </si>
  <si>
    <t>CPB-CGTRASV16-00000001-M</t>
  </si>
  <si>
    <t>Persona jurídica con actividades supuestas / transacciones inexistentes</t>
  </si>
  <si>
    <t>0992670584001</t>
  </si>
  <si>
    <t>INCONSESA S.A.</t>
  </si>
  <si>
    <t>NAC-DNCOPEC16-00161774-M</t>
  </si>
  <si>
    <t>PSE-GTRRASC16-00000002-M</t>
  </si>
  <si>
    <t xml:space="preserve">Empresa inexistente o Fantasma </t>
  </si>
  <si>
    <t>1291739462001</t>
  </si>
  <si>
    <t>MERELPAR S.A.</t>
  </si>
  <si>
    <t>NAC-DNCOPEC16-00161928-M</t>
  </si>
  <si>
    <t>DZ5-GTRRASV16-00000005-M</t>
  </si>
  <si>
    <t>1201596853001</t>
  </si>
  <si>
    <t>MORENO BRAVO ANTONIO MARIOL</t>
  </si>
  <si>
    <t>NAC-DNCOIOG16-00005373</t>
  </si>
  <si>
    <t>CQU-CGTRASN16-00000001-M</t>
  </si>
  <si>
    <t>0992688106001</t>
  </si>
  <si>
    <t>PROYECTOS Y CONSTRUCCIONES P&amp;C S.A.</t>
  </si>
  <si>
    <t>NAC-DNCOPEC16-00161971-M</t>
  </si>
  <si>
    <t>DZ5-GTRRASV16-00000002-M</t>
  </si>
  <si>
    <t>1309688826001</t>
  </si>
  <si>
    <t>QUIROZ PLUAS WILSON FRANCISCO</t>
  </si>
  <si>
    <t xml:space="preserve"> DZ5-GTROGEC19-00000026-M </t>
  </si>
  <si>
    <t>DZ5-GTRRASC19-00000002-M</t>
  </si>
  <si>
    <t>0911239713001</t>
  </si>
  <si>
    <t>RIVERA MARIDUEÑA RUBEN ARMANDO</t>
  </si>
  <si>
    <t>NAC-DNCOIOG16-00005417</t>
  </si>
  <si>
    <t>PSE-GTRRASN16-00000004-M</t>
  </si>
  <si>
    <t>0791758939001</t>
  </si>
  <si>
    <t>ASOCIACION COMUNITARIA MINERA LA ENVIDIA 1</t>
  </si>
  <si>
    <t>ZONA 6</t>
  </si>
  <si>
    <t>DZ6-GSOOGEY17-00000010-M</t>
  </si>
  <si>
    <t>DZ6-GTRRASC17-00010001-M</t>
  </si>
  <si>
    <t>0105375091001</t>
  </si>
  <si>
    <t>BELTRAN TOAPANTE SANTIAGO ISRAEL</t>
  </si>
  <si>
    <t>DZ6-GTROIOC17-00010001-M</t>
  </si>
  <si>
    <t>DZ6-GTRRASC17-00010004-M</t>
  </si>
  <si>
    <t>0301251468001</t>
  </si>
  <si>
    <t>CHAUCA ALVARRACIN OSBALDO OLMEDO</t>
  </si>
  <si>
    <t>PCN-APNOIUC18-00000001-M</t>
  </si>
  <si>
    <t>PCN-APNRSNC18-00000001-M</t>
  </si>
  <si>
    <t>0190378438001</t>
  </si>
  <si>
    <t>COMGOLD CIA. LTDA.</t>
  </si>
  <si>
    <t>DZ6-GTROGEC18-00000043-M</t>
  </si>
  <si>
    <t>DZ6-GTRRASC18-00000006-M</t>
  </si>
  <si>
    <t>Empresa fantasma o supuesta con actividades y/o transacciones inexistentes</t>
  </si>
  <si>
    <t>0301556361001</t>
  </si>
  <si>
    <t>CORDERO ALBARRACIN MARIA TERESA</t>
  </si>
  <si>
    <t>PCN-APNOIUC18-00000002-M</t>
  </si>
  <si>
    <t>PCN-APNRSNC18-00000002-M</t>
  </si>
  <si>
    <t>0704095884001</t>
  </si>
  <si>
    <t>CORDOVA GUAMAN CARLOS NELSON</t>
  </si>
  <si>
    <t>DZ6-GTROGEC18-00000042-M</t>
  </si>
  <si>
    <t>DZ6-GTRRASC18-00000007-M</t>
  </si>
  <si>
    <t>107012022OGTN005266</t>
  </si>
  <si>
    <t>0104841614001</t>
  </si>
  <si>
    <t>SARMIENTO MENDOZA MARLY ANDREA</t>
  </si>
  <si>
    <t>NAC-DNCOIOG16-00005365</t>
  </si>
  <si>
    <t>DZ6-GPNRASN16-00000028-M</t>
  </si>
  <si>
    <t>0190390977001</t>
  </si>
  <si>
    <t>SOCIEDAD CIVIL METALSUR</t>
  </si>
  <si>
    <t>DZ6-GSOOGEY17-00000007-M</t>
  </si>
  <si>
    <t>DZ6-GTRRASC17-00010002-M</t>
  </si>
  <si>
    <t>0791757509001</t>
  </si>
  <si>
    <t>SOCIEDAD CIVIL MINERA ORCHU</t>
  </si>
  <si>
    <t>NAC-DNCOPEC16-00161801-M</t>
  </si>
  <si>
    <t>DZ6-GSORASY16-00000003-M</t>
  </si>
  <si>
    <t>0791760240001</t>
  </si>
  <si>
    <t>SOCIEDAD CIVIL MINERA THE BEST GOLD</t>
  </si>
  <si>
    <t>NAC-DNCOPEC16-00161635-M</t>
  </si>
  <si>
    <t>DZ6-GSORASY16-00000004-M</t>
  </si>
  <si>
    <t>0391015023001</t>
  </si>
  <si>
    <t>TRANSPORTE DE CARGA PESADA OLMATECOR S.A.</t>
  </si>
  <si>
    <t>PCN-ASOOIUC18-00000003-M</t>
  </si>
  <si>
    <t>PCN-ASORSNC18-00000003-M</t>
  </si>
  <si>
    <t>0703851634001</t>
  </si>
  <si>
    <t>ALARCON VALIENTE CESAR ESTUARDO</t>
  </si>
  <si>
    <t>ZONA 7</t>
  </si>
  <si>
    <t>NAC-DNCOIOG16-00005459</t>
  </si>
  <si>
    <t>PEO-GTRRASV16-00000304</t>
  </si>
  <si>
    <t>107012022OGTN002710</t>
  </si>
  <si>
    <t>PENDIENTE</t>
  </si>
  <si>
    <t>0914115134001</t>
  </si>
  <si>
    <t>ALCIVAR MORAN ENRIQUE OCTAVIO</t>
  </si>
  <si>
    <t>PEO-GTROGEC20-00000005-M</t>
  </si>
  <si>
    <t>PEO-GTRRASC20-00000003-M</t>
  </si>
  <si>
    <t>Persona Natural con Transacciones Inexistentes</t>
  </si>
  <si>
    <t>0703578443001</t>
  </si>
  <si>
    <t>ALVARADO RAMIREZ CALIXTO GABRIEL</t>
  </si>
  <si>
    <t>NAC-DNCOIOG16-00005357</t>
  </si>
  <si>
    <t>PEO-GTRRASV16-00000299</t>
  </si>
  <si>
    <t>0922604467001</t>
  </si>
  <si>
    <t>ALVAREZ COELLO DARIO JAVIER</t>
  </si>
  <si>
    <t>PEO-GTROGEC17-00000225-M</t>
  </si>
  <si>
    <t>DZ7-DZORCGC17-00000065</t>
  </si>
  <si>
    <t>0704815489001</t>
  </si>
  <si>
    <t>AMBULUDI CORDOVA ANGEL GABRIEL</t>
  </si>
  <si>
    <t>NAC-DNCOIOG16-00005390</t>
  </si>
  <si>
    <t>PEO-GTRRASV16-00000301</t>
  </si>
  <si>
    <t>0703254656001</t>
  </si>
  <si>
    <t>APOLO NIEVES LAURA GERMANIA</t>
  </si>
  <si>
    <t>NAC-DNCOIOG16-00005353</t>
  </si>
  <si>
    <t>PEO-GTRRASV16-00000302</t>
  </si>
  <si>
    <t>0702721747001</t>
  </si>
  <si>
    <t>ARCE SANMARTIN PEDRO MIGUEL</t>
  </si>
  <si>
    <t>PEO-GTROIOC18-00000001-M</t>
  </si>
  <si>
    <t>PEO-GTRRASC18-00000009-M</t>
  </si>
  <si>
    <t>0701949018001</t>
  </si>
  <si>
    <t>ARIAS PAUTA GERMAN PLATON</t>
  </si>
  <si>
    <t>PEO-GTROGEC17-00000234-M</t>
  </si>
  <si>
    <t>DZ7-DZORCGC17-00000050</t>
  </si>
  <si>
    <t>0703885343001</t>
  </si>
  <si>
    <t>BALLADARES PEREIRA KLEBER GEOVANNY</t>
  </si>
  <si>
    <t>PEO-GTROGEC17-00000251-M</t>
  </si>
  <si>
    <t>DZ7-DZORCGC17-00000054</t>
  </si>
  <si>
    <t>1900059609001</t>
  </si>
  <si>
    <t>BALSECA VASQUEZ ESTHER MERCEDES</t>
  </si>
  <si>
    <t>NAC-DNCOIOG16-00005423</t>
  </si>
  <si>
    <t>PZC-ATRRASC16-00000001-M</t>
  </si>
  <si>
    <t>0705997237001</t>
  </si>
  <si>
    <t>BENITES ORELLANA EVELYN MAIBETH</t>
  </si>
  <si>
    <t>PEO-GTROGEC17-00000239-M</t>
  </si>
  <si>
    <t>DZ7-DZORCGC17-00000046</t>
  </si>
  <si>
    <t>0703165159001</t>
  </si>
  <si>
    <t>BORBOR ORELLANA VICTOR MANUEL</t>
  </si>
  <si>
    <t>PEO-GTROGEC17-00000252-M</t>
  </si>
  <si>
    <t>DZ7-DZORCGC17-00000052</t>
  </si>
  <si>
    <t>0704201672001</t>
  </si>
  <si>
    <t>BRAVO JARA CARLOS ALBERTO</t>
  </si>
  <si>
    <t>PEO-GTROGEC17-00000244-M</t>
  </si>
  <si>
    <t>DZ7-DZORCGC17-00000056</t>
  </si>
  <si>
    <t>0704929231001</t>
  </si>
  <si>
    <t>BRAVO MEDINA JONATHAN DANIEL</t>
  </si>
  <si>
    <t>PEO-GTROGEC17-00000256-M</t>
  </si>
  <si>
    <t>DZ7-DZORCGC17-00000058</t>
  </si>
  <si>
    <t>1307840007001</t>
  </si>
  <si>
    <t>BRIONES MACIAS MARIBEL ARACELY</t>
  </si>
  <si>
    <t>PEO-GTROIOC18-00000004-M</t>
  </si>
  <si>
    <t>PEO-GTRRASC18-00000003-M</t>
  </si>
  <si>
    <t>0301230728001</t>
  </si>
  <si>
    <t>CABRERA VAZCONEZ SEGUNDO ALFREDO</t>
  </si>
  <si>
    <t>NAC-DNCOIOG16-00005350</t>
  </si>
  <si>
    <t>PZC-ATRRASC16-00000002-M</t>
  </si>
  <si>
    <t>0705773315001</t>
  </si>
  <si>
    <t>CALDERON VACA JOSE ABRAHAN</t>
  </si>
  <si>
    <t>PEO-GTROGEC17-00000232-M</t>
  </si>
  <si>
    <t>DZ7-DZORCGC17-00000068</t>
  </si>
  <si>
    <t>0704731579001</t>
  </si>
  <si>
    <t>CAMPOVERDE TORRES SILVIA LORENA</t>
  </si>
  <si>
    <t>PEO-GTROGEC17-00000253-M</t>
  </si>
  <si>
    <t>DZ7-DZORCGC17-00000057</t>
  </si>
  <si>
    <t>0706689312001</t>
  </si>
  <si>
    <t>CARPIO ORELLANA RUTH ELIZABETH</t>
  </si>
  <si>
    <t>PEO-GTROGEC17-00000246-M</t>
  </si>
  <si>
    <t>DZ7-DZORCGC17-00000061</t>
  </si>
  <si>
    <t>0703133694001</t>
  </si>
  <si>
    <t>CARREÑO ROMERO FRANKLIN JAVIER</t>
  </si>
  <si>
    <t>PEO-GTROGEC18-00000008-M</t>
  </si>
  <si>
    <t>PEO -GTRRASC18-00000011-M</t>
  </si>
  <si>
    <t>1104993892001</t>
  </si>
  <si>
    <t>CASTILLO RODRIGUEZ LUIS FERNANDO</t>
  </si>
  <si>
    <t>DZ7-GTROGEC17-00000087-M</t>
  </si>
  <si>
    <t>DZ7-DZORCGC17-00000091</t>
  </si>
  <si>
    <t>0803101765001</t>
  </si>
  <si>
    <t>CHILA PATA JOSE RICARDO</t>
  </si>
  <si>
    <t>NAC-DNCOIOG16-00005412</t>
  </si>
  <si>
    <t>PEO-GTRRASV16-00000306</t>
  </si>
  <si>
    <t>1191724840001</t>
  </si>
  <si>
    <t>CONSTRUCTORA CELI ARMIJOS CIA. LTDA.</t>
  </si>
  <si>
    <t>NAC-DNCOPEC16-00161793-M</t>
  </si>
  <si>
    <t>DZ7-GTRRASC16-00000001-M</t>
  </si>
  <si>
    <t>0704865450001</t>
  </si>
  <si>
    <t>CORDOVA SOLORZANO KENNY DAMIAN</t>
  </si>
  <si>
    <t>NAC-DNCOIOG16-00005363</t>
  </si>
  <si>
    <t>PEO-GTRRASV16-00000307</t>
  </si>
  <si>
    <t>0704617356001</t>
  </si>
  <si>
    <t>CUEVA MERA WILSON JACINTO</t>
  </si>
  <si>
    <t>PEO-GTROGEC17-00000240-M</t>
  </si>
  <si>
    <t>DZ7-DZORCGC17-00000043</t>
  </si>
  <si>
    <t>0791747775001</t>
  </si>
  <si>
    <t>DISPROECUA S A</t>
  </si>
  <si>
    <t>PEO-GTROGEC18-00000014-M</t>
  </si>
  <si>
    <t>PEO-GTRRASC18-00000014-M</t>
  </si>
  <si>
    <t>0704602622001</t>
  </si>
  <si>
    <t>FERNANDEZ MARIANELA ELIZABETH</t>
  </si>
  <si>
    <t>PEO-GTROGEC17-00003918-M</t>
  </si>
  <si>
    <t>DZ7-DZORCGC17-00000094</t>
  </si>
  <si>
    <t>NAC-RRRRRVC20-00000297</t>
  </si>
  <si>
    <t>0702467705001</t>
  </si>
  <si>
    <t>FRANCO ARTEAGA BARBARA ISABEL</t>
  </si>
  <si>
    <t>PEO-GTROGEC17-00000238-M</t>
  </si>
  <si>
    <t>DZ7-DZORCGC17-00000040</t>
  </si>
  <si>
    <t>1100617727001</t>
  </si>
  <si>
    <t>FRANCO TORRES ERASMO RUPERTO</t>
  </si>
  <si>
    <t>NAC-DNCOIOG16-00005447</t>
  </si>
  <si>
    <t> PEO-GTRRASV16-00000308</t>
  </si>
  <si>
    <t>NAC-RRRRRVC20-00000037</t>
  </si>
  <si>
    <t>PEO-GTROGEC17-00002942-M</t>
  </si>
  <si>
    <t>0912906567001</t>
  </si>
  <si>
    <t>GABINO HARO WILLIAM FABIAN</t>
  </si>
  <si>
    <t>NAC-DNCOIOG16-00005321</t>
  </si>
  <si>
    <t>PEO-GTRRASV16-00000305</t>
  </si>
  <si>
    <t>0702881137001</t>
  </si>
  <si>
    <t>GALARZA APOLO YETY PATRICIA</t>
  </si>
  <si>
    <t>PEO-GTROIOC18-00000003-M</t>
  </si>
  <si>
    <t>PEO-GTRRASC18-00000007-M</t>
  </si>
  <si>
    <t>0704118322001</t>
  </si>
  <si>
    <t>GARCIA CRESPO NARCISA DE JESUS</t>
  </si>
  <si>
    <t>PEO-GTROGEC18-00000017-M</t>
  </si>
  <si>
    <t>PEO-GTRRASC18-00000017-M</t>
  </si>
  <si>
    <t>0700638208001</t>
  </si>
  <si>
    <t>GAVILANES GARZON SONIA MARGOT ROSALIA</t>
  </si>
  <si>
    <t>PEO-GTROGEC17-00000241-M</t>
  </si>
  <si>
    <t>DZ7-DZORCGC17-00000039</t>
  </si>
  <si>
    <t>0706988300001</t>
  </si>
  <si>
    <t>GUERRERO ORELLANA DERWIN VINICIO</t>
  </si>
  <si>
    <t>PEO-GTROGEC17-00000242-M</t>
  </si>
  <si>
    <t>DZ7-DZORCGC17-00000048</t>
  </si>
  <si>
    <t>0705410652001</t>
  </si>
  <si>
    <t>HERRERA ARIAS JAIRO XAVIER</t>
  </si>
  <si>
    <t>PEO-GTROGEC18-00000016-M</t>
  </si>
  <si>
    <t>PEO-GTRRASC18-00000016-M</t>
  </si>
  <si>
    <t>0700507361001</t>
  </si>
  <si>
    <t>HOYOS SARMIENTO ALFREDO ELICEO</t>
  </si>
  <si>
    <t>PEO-GTROIOC18-00000010-M</t>
  </si>
  <si>
    <t>PEO-GTRRASC18-00000001-M</t>
  </si>
  <si>
    <t>2200008205001</t>
  </si>
  <si>
    <t>JIPA ANDI NANCY NOEMI</t>
  </si>
  <si>
    <t>PEO-GTROGEC18-00000018-M</t>
  </si>
  <si>
    <t>PEO-GTRRASC18-00000018-M</t>
  </si>
  <si>
    <t>0703362954001</t>
  </si>
  <si>
    <t>MACAS JARAMILLO ROBERTH ALEXANDER</t>
  </si>
  <si>
    <t>PEO-GTROGEC17-00000236-M</t>
  </si>
  <si>
    <t>DZ7-DZORCGC17-00000042</t>
  </si>
  <si>
    <t>0703861716001</t>
  </si>
  <si>
    <t>MACIAS MOSQUERA FRANKLIN MANUEL</t>
  </si>
  <si>
    <t>NAC-DNCOIOG16-00005413</t>
  </si>
  <si>
    <t>PEO-GTRRASV16-00000310</t>
  </si>
  <si>
    <t>0707101499001</t>
  </si>
  <si>
    <t>MALDONADO VACA LUIS ALBERTO</t>
  </si>
  <si>
    <t>PEO-GTROGEC17-00000227-M</t>
  </si>
  <si>
    <t>DZ7-DZORCGC17-00000062</t>
  </si>
  <si>
    <t>0702316258001</t>
  </si>
  <si>
    <t>MATUTE SANCHEZ SIMON BOLIVAR</t>
  </si>
  <si>
    <t>NAC-DNCOIOG16-00005349</t>
  </si>
  <si>
    <t>PEO-GTRRASV16-00000311</t>
  </si>
  <si>
    <t>NAC-RRRRRVC20-00000296</t>
  </si>
  <si>
    <t>0703964148001</t>
  </si>
  <si>
    <t>MAZA CHAVEZ DARWIN GUSTAVO</t>
  </si>
  <si>
    <t>PEO-GTROGEC18-00000009-M</t>
  </si>
  <si>
    <t>PEO -GTRRASC18-00000012-M</t>
  </si>
  <si>
    <t>1721605440001</t>
  </si>
  <si>
    <t>MEDINA AGUILAR JOSE PATRICIO</t>
  </si>
  <si>
    <t>NAC-DNCOIOG16-00005342</t>
  </si>
  <si>
    <t>PEO-GTRRASV16-00000312</t>
  </si>
  <si>
    <t>0703266338001</t>
  </si>
  <si>
    <t>MEDINA RAMIREZ LUZ BENIGNA</t>
  </si>
  <si>
    <t>PEO-GTROGEC17-00000233-M</t>
  </si>
  <si>
    <t>DZ7-DZORCGC17-00000053</t>
  </si>
  <si>
    <t>0703052571001</t>
  </si>
  <si>
    <t>MENA MONTALVAN TANIA PATRICIA</t>
  </si>
  <si>
    <t>PEO-GTROGEC18-00000015-M</t>
  </si>
  <si>
    <t>PEO-GTRRASC18-00000013-M</t>
  </si>
  <si>
    <t>0791725488001</t>
  </si>
  <si>
    <t>MINEGRENVILLE S.A.</t>
  </si>
  <si>
    <t>NAC-DNCOPEC16-00161692-M</t>
  </si>
  <si>
    <t>PEO-GTRRASV16-00000233</t>
  </si>
  <si>
    <t>Empresa inexistente / fantasmas / supuesta</t>
  </si>
  <si>
    <t>0706276581001</t>
  </si>
  <si>
    <t>MONTENEGRO FAJARDO MELVI ALFONSO</t>
  </si>
  <si>
    <t>PEO-GTROIOC18-00000005-M</t>
  </si>
  <si>
    <t>PEO-GTRRASC18-00000004-M</t>
  </si>
  <si>
    <t>0705301943001</t>
  </si>
  <si>
    <t>MORENO ORTIZ LIGIA JACQUELINE</t>
  </si>
  <si>
    <t>PEO-GTROGEC17-00000235-M</t>
  </si>
  <si>
    <t>DZ7-DZORCGC17-00000059</t>
  </si>
  <si>
    <t>1101557823001</t>
  </si>
  <si>
    <t>NARRO OLAYA JOSE WILMER</t>
  </si>
  <si>
    <t>DZ7-GPNORIC18-00000042-M</t>
  </si>
  <si>
    <t>DZ7-GPNRASC18-00000001-M</t>
  </si>
  <si>
    <t>0706321361001</t>
  </si>
  <si>
    <t>NARVAEZ FERNANDEZ JOSE MANUEL</t>
  </si>
  <si>
    <t>PEO-GTROFPC18-00000074-M</t>
  </si>
  <si>
    <t>PEO-GTRRASC18-00000015-M</t>
  </si>
  <si>
    <t>0704287077001</t>
  </si>
  <si>
    <t xml:space="preserve">NARVAEZ MENA CRISTHIAN JAVIER </t>
  </si>
  <si>
    <t xml:space="preserve"> PEO-GTROGEC19-00000003-M </t>
  </si>
  <si>
    <t>PEO-GTRRASC19-00000004-M</t>
  </si>
  <si>
    <t>0705099539001</t>
  </si>
  <si>
    <t>NARVAEZ VILELA CRISTHIAN DANIEL</t>
  </si>
  <si>
    <t>PEO-GTROGEC19-00000005-M</t>
  </si>
  <si>
    <t>PEO-GTRRASC19-00000007-M</t>
  </si>
  <si>
    <t>0705592863001</t>
  </si>
  <si>
    <t>NAZARENO AYOVI LUIS DAVID</t>
  </si>
  <si>
    <t>PEO-GTROGEC17-00000245-M</t>
  </si>
  <si>
    <t>DZ7-DZORCGC17-00000060</t>
  </si>
  <si>
    <t>0925632721001</t>
  </si>
  <si>
    <t>NG LUI</t>
  </si>
  <si>
    <t>NAC-DNCOIOG16-00005308</t>
  </si>
  <si>
    <t>DZ7-GTRRASC16-00000005-M</t>
  </si>
  <si>
    <t>0706279155001</t>
  </si>
  <si>
    <t>ORDOÑEZ VELIZ JONATHAN ABEL</t>
  </si>
  <si>
    <t>PEO-GTROGEC17-00003917</t>
  </si>
  <si>
    <t>DZ7-DZORCGC17-00000095</t>
  </si>
  <si>
    <t>0704044460001</t>
  </si>
  <si>
    <t>ORELLANA ZHISPUN JOSE MANUEL</t>
  </si>
  <si>
    <t>PEO-GTROGEC17-00000257-M</t>
  </si>
  <si>
    <t>DZ7-DZORCGC17-00000055</t>
  </si>
  <si>
    <t>0701935223001</t>
  </si>
  <si>
    <t>PALACIOS MONSERRATE JORGE EDUARDO</t>
  </si>
  <si>
    <t>NAC-DNCOIOG16-00005341</t>
  </si>
  <si>
    <t>PEO-GTRRASV16-00000303</t>
  </si>
  <si>
    <t>1304350513001</t>
  </si>
  <si>
    <t>PALMA CEDEÑO DENIS MONSERRATE</t>
  </si>
  <si>
    <t>NAC-DNCOIOG16-00005340</t>
  </si>
  <si>
    <t>PEO-GTRRASV16-00000313</t>
  </si>
  <si>
    <t>0704227305001</t>
  </si>
  <si>
    <t>PARRA SUAREZ FABIAN BOLIVAR</t>
  </si>
  <si>
    <t>PEO-GTROGEC19-00000004-M</t>
  </si>
  <si>
    <t>PEO-GTRRASC19-00000006-M</t>
  </si>
  <si>
    <t>0705099596001</t>
  </si>
  <si>
    <t>PESANTEZ RIVERA MICHAEL ANDRES</t>
  </si>
  <si>
    <t>NAC-DNCOIOG16-00005391</t>
  </si>
  <si>
    <t>PEO-GTRRASV16-00000314</t>
  </si>
  <si>
    <t>0916298615001</t>
  </si>
  <si>
    <t>PIZA LAGE FERNANDO MAURICIO</t>
  </si>
  <si>
    <t>PEO-GTROGEC17-00000228-M</t>
  </si>
  <si>
    <t>DZ7-DZORCGC17-00000063</t>
  </si>
  <si>
    <t>0704910561001</t>
  </si>
  <si>
    <t>POTE FRANCO JOHANNA ISABEL</t>
  </si>
  <si>
    <t>PEO-GTROGEC17-00000237-M</t>
  </si>
  <si>
    <t>DZ7-DZORCGC17-00000044</t>
  </si>
  <si>
    <t>0707165205001</t>
  </si>
  <si>
    <t>PROCEL APOLO CARLOS STALIN</t>
  </si>
  <si>
    <t>NAC-DNCOIOG16-00005397</t>
  </si>
  <si>
    <t>PEO-GTRRASV16-00000317</t>
  </si>
  <si>
    <t>0706805017001</t>
  </si>
  <si>
    <t>PROCEL APOLO LAURA MAYENNY</t>
  </si>
  <si>
    <t xml:space="preserve"> PEO-GTROGEC19-00000002-M </t>
  </si>
  <si>
    <t>PEO-GTRRASC19-00000005-M</t>
  </si>
  <si>
    <t>0703360842001</t>
  </si>
  <si>
    <t>PROCEL SARANGO FRANKLIN STALIN</t>
  </si>
  <si>
    <t>NAC-DNCOIOG16-00005354</t>
  </si>
  <si>
    <t>PEO-GTRRASV16-00000315</t>
  </si>
  <si>
    <t>0704877935001</t>
  </si>
  <si>
    <t>QUEZADA NAULA GILBERT CARLOS</t>
  </si>
  <si>
    <t>PEO-GTROIOC18-00000002-M</t>
  </si>
  <si>
    <t>PEO-GTRRASC18-00000005-M</t>
  </si>
  <si>
    <t>0704691799001</t>
  </si>
  <si>
    <t>QUIÑONEZ ESPAÑA JORGE WASHINGTON</t>
  </si>
  <si>
    <t>NAC-DNCOIOG16-00005326</t>
  </si>
  <si>
    <t>PEO-GTRRASV16-00000316</t>
  </si>
  <si>
    <t>0918532847001</t>
  </si>
  <si>
    <t>QUITUIZACA OLARTE WASHINGTON LEONARDO</t>
  </si>
  <si>
    <t>PEO-GTROGEC17-00000224-M</t>
  </si>
  <si>
    <t>DZ7-DZORCGC17-00000064</t>
  </si>
  <si>
    <t>0705861730001</t>
  </si>
  <si>
    <t xml:space="preserve">REYES PRECIADO NESTOR ADRIAN </t>
  </si>
  <si>
    <t xml:space="preserve"> PEO-GTROGEC19-00000001-M </t>
  </si>
  <si>
    <t>PEO-GTRRASC19-00000003-M</t>
  </si>
  <si>
    <t>0706911286001</t>
  </si>
  <si>
    <t>RIVERA VASQUEZ WANDERLEY JASMANI</t>
  </si>
  <si>
    <t>PEO-GTROGEC17-00000247-M</t>
  </si>
  <si>
    <t>DZ7-DZORCGC17-00000047</t>
  </si>
  <si>
    <t>0705052611001</t>
  </si>
  <si>
    <t>RUBIRA CARRASCO RUBEN ALEXANDER</t>
  </si>
  <si>
    <t>NAC-DNCOIOG16-00005306</t>
  </si>
  <si>
    <t>PEO-GTRRASV16-00000321</t>
  </si>
  <si>
    <t>0704165703001</t>
  </si>
  <si>
    <t>RUIZ MEDINA JONATHAN JOSE</t>
  </si>
  <si>
    <t>PEO-GTROGEC17-00000258-M</t>
  </si>
  <si>
    <t>DZ7-DZORCGC17-00000073</t>
  </si>
  <si>
    <t>0700324072001</t>
  </si>
  <si>
    <t>SALAS VILLAGOMEZ WASHINTON ALBERTO</t>
  </si>
  <si>
    <t>PEO-GTROGEC17-00000250-M</t>
  </si>
  <si>
    <t>DZ7-DZORCGC17-00000071</t>
  </si>
  <si>
    <t>0707102554001</t>
  </si>
  <si>
    <t>SALAZAR VALLADOLID JOSE ANTONIO</t>
  </si>
  <si>
    <t>NAC-DNCOIOG16-00005305</t>
  </si>
  <si>
    <t>PEO-GTRRASV16-00000309</t>
  </si>
  <si>
    <t>0702439969001</t>
  </si>
  <si>
    <t>SANCHEZ TORRES JOSE MIGUEL</t>
  </si>
  <si>
    <t>PEO-GTROGEC17-00000254-M</t>
  </si>
  <si>
    <t>DZ7-DZORCGC17-00000051</t>
  </si>
  <si>
    <t>0703512277001</t>
  </si>
  <si>
    <t>SANCHEZ VACA STALIN ALBERTO</t>
  </si>
  <si>
    <t>PEO-GTROIOC18-00000006-M</t>
  </si>
  <si>
    <t>PEO-GTRRASC18-00000008-M</t>
  </si>
  <si>
    <t>1103155691001</t>
  </si>
  <si>
    <t>SARANGO LALANGUI OLGUER EDUARDO</t>
  </si>
  <si>
    <t>NAC-DNCOIOG16-00005429</t>
  </si>
  <si>
    <t>PZC-ATRRASC16-00000003-M</t>
  </si>
  <si>
    <t>1715451108001</t>
  </si>
  <si>
    <t>SARANGO SARANGO CARLOS FERNANDO</t>
  </si>
  <si>
    <t>NAC-DNCOIOG16-00005401</t>
  </si>
  <si>
    <t>DZ7-GTRRASC16-00000006-M</t>
  </si>
  <si>
    <t>0791759390001</t>
  </si>
  <si>
    <t>SOCIEDAD CIVIL MINERA LAS VEGAS</t>
  </si>
  <si>
    <t>NAC-DNCOPEC16-00161693-M</t>
  </si>
  <si>
    <t>PEO-GTRRASV16-00000232</t>
  </si>
  <si>
    <t>1102719315001</t>
  </si>
  <si>
    <t>SOTO BURNEO LISANDRO TEOBALDO</t>
  </si>
  <si>
    <t>DZ7-GTROGEC17-00000086-M</t>
  </si>
  <si>
    <t>DZ7-DZORCGC17-00000090</t>
  </si>
  <si>
    <t>0992546042001</t>
  </si>
  <si>
    <t>SUBPROMAR S.A. PROCESADORA DE SUBPRODUCTOS DEL MAR</t>
  </si>
  <si>
    <t>NAC-DNCOIOG16-00005474</t>
  </si>
  <si>
    <t>PEO-GTRRASV16-00000319</t>
  </si>
  <si>
    <t>Empresa inexistente, fantasma o supuesta  con actividades y/o transacciones inexistentes.</t>
  </si>
  <si>
    <t>0702417833001</t>
  </si>
  <si>
    <t>TOMALA MITE CARLOS JUNIOR</t>
  </si>
  <si>
    <t>PEO-GTROGEC17-00000249-M</t>
  </si>
  <si>
    <t>DZ7-DZORCGC17-00000072</t>
  </si>
  <si>
    <t>0700212434001</t>
  </si>
  <si>
    <t>VACA QUEZADA JULIO ELADIO</t>
  </si>
  <si>
    <t>PEO-GTROGEC17-00000248-M</t>
  </si>
  <si>
    <t>DZ7-DZORCGC17-00000038</t>
  </si>
  <si>
    <t>0703953919001</t>
  </si>
  <si>
    <t>VALDIVIEZO ARMIJOS FREDY SEGUNDO</t>
  </si>
  <si>
    <t>PEO-GTROGEC17-00000259-M</t>
  </si>
  <si>
    <t>DZ7-DZORCGC17-00000096</t>
  </si>
  <si>
    <t>0704511864001</t>
  </si>
  <si>
    <t>VALDIVIEZO LEON ALEXANDRA ELIZABETH</t>
  </si>
  <si>
    <t>PEO-GTROGEC18-00000007-M</t>
  </si>
  <si>
    <t>PEO -GTRRASC18-00000010-M</t>
  </si>
  <si>
    <t>1717860470001</t>
  </si>
  <si>
    <t>VARGAS MENDIETA JOSE LUIS</t>
  </si>
  <si>
    <t>PEO-GTROGEC17-00000226-M</t>
  </si>
  <si>
    <t>DZ7-DZORCGC17-00000066</t>
  </si>
  <si>
    <t>1717860652001</t>
  </si>
  <si>
    <t>VARGAS MENDIETA ORLEY ISIDRO</t>
  </si>
  <si>
    <t>PEO-GTROGEC17-00000230-M</t>
  </si>
  <si>
    <t>DZ7-DZORCGC17-00000067</t>
  </si>
  <si>
    <t>0703809665001</t>
  </si>
  <si>
    <t>VASCONEZ CUENCA BAIRON ALEXANDRO</t>
  </si>
  <si>
    <t>NAC-DNCOIOG16-00005389</t>
  </si>
  <si>
    <t>PEO-GTRRASV16-00000320</t>
  </si>
  <si>
    <t>0703006882001</t>
  </si>
  <si>
    <t>VERA SEGOVIA ELIAS ANTONIO</t>
  </si>
  <si>
    <t>PEO-GTROIOC18-00000009-M</t>
  </si>
  <si>
    <t>PEO-GTRRASC18-00000002-M</t>
  </si>
  <si>
    <t>0919818781001</t>
  </si>
  <si>
    <t>VIVAR VERA JOSE LUIS</t>
  </si>
  <si>
    <t>PEO-GTROGEC17-00000229-M</t>
  </si>
  <si>
    <t>DZ7-DZORCGC17-00000074</t>
  </si>
  <si>
    <t>1305645937001</t>
  </si>
  <si>
    <t>ZAMBRANO ZAMBRANO MIGUEL ESTEBAN</t>
  </si>
  <si>
    <t>PEO-GTROGEC17-00000255-M</t>
  </si>
  <si>
    <t>DZ7-DZORCGC17-00000049</t>
  </si>
  <si>
    <t>0992645350001</t>
  </si>
  <si>
    <t>3D AMBIENTAL S.A.</t>
  </si>
  <si>
    <t>DZ8-GPNOGEV17-00000203-M</t>
  </si>
  <si>
    <t>DZ8-GPNRASV17-00000168-M</t>
  </si>
  <si>
    <t>Empresa inexistente / fantasma con actividades supuestas y/o transacciones inexistentes.</t>
  </si>
  <si>
    <t>0992383496001</t>
  </si>
  <si>
    <t>A/S BALTIC CONTROL LTD</t>
  </si>
  <si>
    <t>NAC-DNCOIOG16-00005524</t>
  </si>
  <si>
    <t>DZ8-GSORASV16-00000388-M</t>
  </si>
  <si>
    <t>0992806389001</t>
  </si>
  <si>
    <t>ABSOLLITY S.A.</t>
  </si>
  <si>
    <t>NAC-DNCOPEC16-00161985-M</t>
  </si>
  <si>
    <t>DZ8-GSORASV16-00000182-M</t>
  </si>
  <si>
    <t>0992987472001</t>
  </si>
  <si>
    <t>ACCESORIOS TELEFONICOS Y BIENES MOVILES ACCEBITELSA S.A.</t>
  </si>
  <si>
    <t>DZ8-GPNOGEI17-00000170-M</t>
  </si>
  <si>
    <t>DZ8-GPNRASI17-00000071-M</t>
  </si>
  <si>
    <t>0992753285001</t>
  </si>
  <si>
    <t>ACTIVACIONES &amp; LOGISTICAS ACTILOGI S.A.</t>
  </si>
  <si>
    <t>DZ8-GPNOGEV17-00000327-M</t>
  </si>
  <si>
    <t>DZ8-GPNRASV17-00000172-M</t>
  </si>
  <si>
    <t>0992345896001</t>
  </si>
  <si>
    <t>ADETELCA S.A.</t>
  </si>
  <si>
    <t>DZ8-GPNOGEV17-00000231-M</t>
  </si>
  <si>
    <t>DZ8-GPNRASV17-00000212-M</t>
  </si>
  <si>
    <t>Empresa fantasma o supuesta</t>
  </si>
  <si>
    <t>0992918667001</t>
  </si>
  <si>
    <t>ADMINISTRACION Y LOGISTICA DEL PACIFICO ADMINLOPAS S.A.</t>
  </si>
  <si>
    <t>NAC-DNCOIOG16-00005501</t>
  </si>
  <si>
    <t>DZ8-GSORASV16-00000365-M</t>
  </si>
  <si>
    <t>0993003956001</t>
  </si>
  <si>
    <t>ADSERMED S.A</t>
  </si>
  <si>
    <t>DZ8-GPNOGEC19-00000029-M</t>
  </si>
  <si>
    <t>DZ8-GPNRASC19-00000024-M</t>
  </si>
  <si>
    <t>0992836164001</t>
  </si>
  <si>
    <t>ADVISORS TO BUSINESS S.A ADTOBUSIN</t>
  </si>
  <si>
    <t>NAC-DNCOPEC16-00161791-M</t>
  </si>
  <si>
    <t>DZ8-GPNRASV16-00000027-M</t>
  </si>
  <si>
    <t>Empresa fantasma con actividades supuestas y transacciones inexistentes</t>
  </si>
  <si>
    <t>0990327882001</t>
  </si>
  <si>
    <t>AEROLINEAS ARGENTINAS SA</t>
  </si>
  <si>
    <t>NAC-DNCOIOG16-00005316</t>
  </si>
  <si>
    <t>DZ8-GSORASV16-00000372-M</t>
  </si>
  <si>
    <t>0992787430001</t>
  </si>
  <si>
    <t>AFFYMETRIX S.A.</t>
  </si>
  <si>
    <t>NAC-DNCOPEC16-00161784-M</t>
  </si>
  <si>
    <t>DZ8-GSORASV16-00000117-M</t>
  </si>
  <si>
    <t>0992663650001</t>
  </si>
  <si>
    <t>AFINES Y COMERCIO AFICOMSA S.A.</t>
  </si>
  <si>
    <t>NAC-DNCOPEC16-00161605-M</t>
  </si>
  <si>
    <t>DZ8-GPNRASV16-00000012-M</t>
  </si>
  <si>
    <t>Empresa fantasmas con actividades supuestas y transacciones inexistentes</t>
  </si>
  <si>
    <t>0992800402001</t>
  </si>
  <si>
    <t>AGILPROYEC S.A.</t>
  </si>
  <si>
    <t>DZ8-GPNOGEC19-00000009-M</t>
  </si>
  <si>
    <t>DZ8-GPNRASC19-00000033-M</t>
  </si>
  <si>
    <t>0992660791001</t>
  </si>
  <si>
    <t>AGRICOLETSA S.A.</t>
  </si>
  <si>
    <t>NAC-DNCOPEC16-00161902-M</t>
  </si>
  <si>
    <t>DZ8-GSORASV16-00000137-M</t>
  </si>
  <si>
    <t>0992723769001</t>
  </si>
  <si>
    <t>AGROCLIENTES S.A.</t>
  </si>
  <si>
    <t>NAC-DNCOPEC16-00161905-M</t>
  </si>
  <si>
    <t>DZ8-GPNRASV16-00000052-M</t>
  </si>
  <si>
    <t>0992952849001</t>
  </si>
  <si>
    <t>AIRECOOL S.A.</t>
  </si>
  <si>
    <t>DZ8-GPNOGEC19-00000011-M</t>
  </si>
  <si>
    <t>DZ8-GPNRASC19-00000054-M</t>
  </si>
  <si>
    <t>0992801956001</t>
  </si>
  <si>
    <t>AKIKERSA S.A.</t>
  </si>
  <si>
    <t>NAC-DNCOPEC16-00161983-M</t>
  </si>
  <si>
    <t>DZ8-GSORASV16-00000180-M</t>
  </si>
  <si>
    <t>0928548387001</t>
  </si>
  <si>
    <t>ALAVA AGUIRRE LUIS ALBERTO</t>
  </si>
  <si>
    <t>DZ8-GPNOGEN17-00000286-M</t>
  </si>
  <si>
    <t>DZ8-GSORASN17-00000067-M</t>
  </si>
  <si>
    <t>0918762881001</t>
  </si>
  <si>
    <t>ALCIVAR LINDAO JORGE WASHINGTON</t>
  </si>
  <si>
    <t>DZ8-GPNOPEC18-00000006-M</t>
  </si>
  <si>
    <t>DZ8-GPNRASC19-00000069-M</t>
  </si>
  <si>
    <t>0923940506001</t>
  </si>
  <si>
    <t>ALCIVAR NAZARENO OSWALDO GEOVANNY</t>
  </si>
  <si>
    <t>NAC-DNCOPEC16-00161578-M</t>
  </si>
  <si>
    <t>DZ8-GCERASN16-00000061-M</t>
  </si>
  <si>
    <t>0992349484001</t>
  </si>
  <si>
    <t>ALLEG S.A.</t>
  </si>
  <si>
    <t>NAC-DNCOPEC16-00161702-M</t>
  </si>
  <si>
    <t>DZ8-GSORASV16-00000205-M</t>
  </si>
  <si>
    <t>0992944129001</t>
  </si>
  <si>
    <t>ALMACEN EN ABASTOS DE PRODUCTOS ALIMENTICIOS ALAMBASIOPRODUC S.A.</t>
  </si>
  <si>
    <t>DZ8-GPNOGEV17-00000226-M</t>
  </si>
  <si>
    <t>DZ8-GPNRASV17-00000166-M</t>
  </si>
  <si>
    <t>0992681721001</t>
  </si>
  <si>
    <t>ALMAECO S.A.</t>
  </si>
  <si>
    <t>DZ8-GPNOGEC18-00000019-M</t>
  </si>
  <si>
    <t>DZ8-GPNRASC18-00000011-M</t>
  </si>
  <si>
    <t>0992451319001</t>
  </si>
  <si>
    <t>ALMAELEC ALMACENES EL ELECTRICO S.A.</t>
  </si>
  <si>
    <t>NAC-DNCOIOG16-00005470</t>
  </si>
  <si>
    <t>DZ8-GSORASV16-00000383-M</t>
  </si>
  <si>
    <t>0992789530001</t>
  </si>
  <si>
    <t>ALTOYA S.A.</t>
  </si>
  <si>
    <t>NAC-DNCOIOG16-00005493</t>
  </si>
  <si>
    <t>DZ8-GSORASV16-00000387-M</t>
  </si>
  <si>
    <t>0992836040001</t>
  </si>
  <si>
    <t>ALUCATA S.A.</t>
  </si>
  <si>
    <t>NAC-DNCOPEC16-00161568-M</t>
  </si>
  <si>
    <t>DZ8-GSORASV16-00000277-M</t>
  </si>
  <si>
    <t>0703352815001</t>
  </si>
  <si>
    <t>ALVARADO AGUACONDO PATRICIO SEGUNDO</t>
  </si>
  <si>
    <t>NAC-DNCOIOG16-00005388</t>
  </si>
  <si>
    <t>DZ8-GCERASN16-00000071-M</t>
  </si>
  <si>
    <t>0915571301001</t>
  </si>
  <si>
    <t>ALVARADO LASCANO HECTOR GEOVANNY</t>
  </si>
  <si>
    <t>NAC-DNCOIOG16-00005394</t>
  </si>
  <si>
    <t>DZ8-GCERASN16-00000072-M</t>
  </si>
  <si>
    <t>0905089108001</t>
  </si>
  <si>
    <t>ALVAREZ ALVARADO CARLOS ALBERTO</t>
  </si>
  <si>
    <t>DZ8-GPNOGEC19-00000080-M</t>
  </si>
  <si>
    <t>DZ8-GPNRASC19-00000065-M</t>
  </si>
  <si>
    <t>0921972279001</t>
  </si>
  <si>
    <t>AMAYA ZAVALA ANTONIO DANIEL</t>
  </si>
  <si>
    <t>DZ8-GPNOGEN17-00000279-M</t>
  </si>
  <si>
    <t>DZ8-GSORASN17-00000060-M</t>
  </si>
  <si>
    <t>0992791098001</t>
  </si>
  <si>
    <t>ANLIECORP S.A.</t>
  </si>
  <si>
    <t>DZ8-GPNOGEV17-00000132-M</t>
  </si>
  <si>
    <t>DZ8-GPNRASV17-00000069-M</t>
  </si>
  <si>
    <t>0992654783001</t>
  </si>
  <si>
    <t>ANTEGOP S.A.</t>
  </si>
  <si>
    <t>NAC-DNCOPEC16-00161899-M</t>
  </si>
  <si>
    <t>DZ8-GSORASV16-00000135-M</t>
  </si>
  <si>
    <t>0992434953001</t>
  </si>
  <si>
    <t>ANTOLOUGROUP S.A.</t>
  </si>
  <si>
    <t>NAC-DNCOPEC16-00161947-M</t>
  </si>
  <si>
    <t>DZ8-GPNRASV16-00000053-M</t>
  </si>
  <si>
    <t>0992732377001</t>
  </si>
  <si>
    <t>ANVIELEC S.A. EL ELECTRICO</t>
  </si>
  <si>
    <t>NAC-DNCOPEC16-00161974-M</t>
  </si>
  <si>
    <t>DZ8-GSORASV16-00000190-M</t>
  </si>
  <si>
    <t>0992619341001</t>
  </si>
  <si>
    <t>ARATCE S A</t>
  </si>
  <si>
    <t>NAC-DNCOPEC16-00161710-M</t>
  </si>
  <si>
    <t>DZ8-GSORASV16-00000210-M</t>
  </si>
  <si>
    <t>0992974362001</t>
  </si>
  <si>
    <t>ARBAJUISA S.A.</t>
  </si>
  <si>
    <t>DZ8-GPNOGEI17-00000508-M</t>
  </si>
  <si>
    <t>DZ8-GPNRASC17-00000015-M</t>
  </si>
  <si>
    <t>Empresa fantasma o supuesta con transacciones inexistentes</t>
  </si>
  <si>
    <t>0914392527001</t>
  </si>
  <si>
    <t>ARELLANO LASCANO ENNY LEONOR</t>
  </si>
  <si>
    <t>NAC-DNCOIOG16-00005328</t>
  </si>
  <si>
    <t>DZ8-GCERASN16-00000073-M</t>
  </si>
  <si>
    <t>0941016594001</t>
  </si>
  <si>
    <t>ARIAS ARELLANO ALEX FABIAN</t>
  </si>
  <si>
    <t>NAC-DNCOIOG16-00005348</t>
  </si>
  <si>
    <t>DZ8-GCERASO16-00000074-M</t>
  </si>
  <si>
    <t>0992537086001</t>
  </si>
  <si>
    <t>ARICORP S.A.</t>
  </si>
  <si>
    <t>NAC-DNCOPEC16-00161827-M</t>
  </si>
  <si>
    <t>DZ8-GSORASV16-00000099-M</t>
  </si>
  <si>
    <t>0992602961001</t>
  </si>
  <si>
    <t>ARIZONA S.A. SERVIDRAG</t>
  </si>
  <si>
    <t>NAC-DNCOIOG16-00005523</t>
  </si>
  <si>
    <t>DZ8-GCERASV16-00000075-M</t>
  </si>
  <si>
    <t>0992333561001</t>
  </si>
  <si>
    <t>ARLAMINSA S.A.</t>
  </si>
  <si>
    <t>NAC-DNCOPEC16-00161752-M</t>
  </si>
  <si>
    <t>DZ8-GSORASV16-00000233-M</t>
  </si>
  <si>
    <t>0992948450001</t>
  </si>
  <si>
    <t>ASELUNA S. A.</t>
  </si>
  <si>
    <t>DZ8-GPNOGEV17-00000102-M</t>
  </si>
  <si>
    <t>DZ8-GPNRASV17-00000068-M</t>
  </si>
  <si>
    <t>0992653647001</t>
  </si>
  <si>
    <t>ASEMPRESER, SERVICIOS Y ASESORIA EMPRESARIAL S.A.</t>
  </si>
  <si>
    <t>NAC-DNCOPEC16-00161769-M</t>
  </si>
  <si>
    <t>DZ8-GPNRASV16-00000020-M</t>
  </si>
  <si>
    <t>0992537388001</t>
  </si>
  <si>
    <t>ASEMPUBLICORP S.A.</t>
  </si>
  <si>
    <t>NAC-DNCOPEC16-00161958-M</t>
  </si>
  <si>
    <t>DZ8-GSORASV16-00000281-M</t>
  </si>
  <si>
    <t>0992558334001</t>
  </si>
  <si>
    <t>ASES PROF CIA. LTDA.</t>
  </si>
  <si>
    <t>DZ8-GPNOGEY17-00000166-M</t>
  </si>
  <si>
    <t>DZ8-GPNRASY17-00000155-M</t>
  </si>
  <si>
    <t>JUDICIAL</t>
  </si>
  <si>
    <t>0992737069001</t>
  </si>
  <si>
    <t>ASESCONTRICORP S.A.</t>
  </si>
  <si>
    <t>NAC-DNCOPEC16-00161729-M</t>
  </si>
  <si>
    <t>DZ8-GSORASV16-00000224-M</t>
  </si>
  <si>
    <t>0992903074001</t>
  </si>
  <si>
    <t>ASESORAMIENTO Y ASISTENCIA LEGAL - TAX AALT S.A</t>
  </si>
  <si>
    <t>DZ8-GPNOGEC19-00000026-M</t>
  </si>
  <si>
    <t>DZ8-GPNRASC19-00000026-M</t>
  </si>
  <si>
    <t>0992656727001</t>
  </si>
  <si>
    <t>ASESORÍA FINANCIERA, CONTABLE, TRIBUTARIA Y SERVICIOS DE AUDITORÍA CIA. LTDA. GESTIC</t>
  </si>
  <si>
    <t>DZ8-GPNOGEV17-00000205-M</t>
  </si>
  <si>
    <t>DZ8-GPNRASV17-00000170-M</t>
  </si>
  <si>
    <t>0992510633001</t>
  </si>
  <si>
    <t>ASESORIA Y SERVICIOS TECNICOS EMPRESARIALES X&amp;G S.A. TECNIEMPOR</t>
  </si>
  <si>
    <t>NAC-DNCOPEC16-00161651-M</t>
  </si>
  <si>
    <t>DZ8-GCERASV16-00000052-M</t>
  </si>
  <si>
    <t>0992775998001</t>
  </si>
  <si>
    <t>ASESORIZAT S.A.</t>
  </si>
  <si>
    <t>DZ8-GPNOGEV17-00000451-M</t>
  </si>
  <si>
    <t>DZ8-GPNRASV17-00000138-M</t>
  </si>
  <si>
    <t>0992496053001</t>
  </si>
  <si>
    <t>ASETRIADU CIA. LTDA.</t>
  </si>
  <si>
    <t>NAC-DNCOPEC16-00161953-M</t>
  </si>
  <si>
    <t>DZ8-GSORASV16-00000159-M</t>
  </si>
  <si>
    <t>0992988649001</t>
  </si>
  <si>
    <t>ASISCONSUL S.A.</t>
  </si>
  <si>
    <t>DZ8-GPNOGEI17-00000565-M</t>
  </si>
  <si>
    <t>DZ8-GSORASV17-00000071-M</t>
  </si>
  <si>
    <t>0992790083001</t>
  </si>
  <si>
    <t>ATINRA S.A.</t>
  </si>
  <si>
    <t>NAC-DNCOPEC16-00161676-M</t>
  </si>
  <si>
    <t>DZ8-GSORASV16-00000196-M</t>
  </si>
  <si>
    <t>0992683333001</t>
  </si>
  <si>
    <t>ATLAPAFLUSA S.A. ATLANTICO DEL PACIFICO FLUVIAL</t>
  </si>
  <si>
    <t>NAC-DNCOPEC16-00161843-M</t>
  </si>
  <si>
    <t>DZ8-GSORASV16-00000111-M</t>
  </si>
  <si>
    <t>0992420766001</t>
  </si>
  <si>
    <t>ATNETS DEL ECUADOR S.A.</t>
  </si>
  <si>
    <t>NAC-DNCOPEC16-00161590-M</t>
  </si>
  <si>
    <t>DZ8-GCERASV16-00000026-M</t>
  </si>
  <si>
    <t>0992863641001</t>
  </si>
  <si>
    <t>ATTEVAL S.A.</t>
  </si>
  <si>
    <t>NAC-DNCOPEC16-00161920-M</t>
  </si>
  <si>
    <t>DZ8-GSORASV16-00000148-M</t>
  </si>
  <si>
    <t>0909525941001</t>
  </si>
  <si>
    <t>AVILES ACUÑA JORGE ANTONIO</t>
  </si>
  <si>
    <t>NAC-DNCOIOG16-00005436</t>
  </si>
  <si>
    <t>DZ8-GCERASN16-00000063-M</t>
  </si>
  <si>
    <t>0930046404001</t>
  </si>
  <si>
    <t>AVILES QUIMI CARLOS JOE</t>
  </si>
  <si>
    <t>NAC-DNCOIOG16-00005362</t>
  </si>
  <si>
    <t>DZ8-GCERASO16-00000064-M</t>
  </si>
  <si>
    <t>0926575168001</t>
  </si>
  <si>
    <t>AVILES QUIMI PAOLA CINTHYA</t>
  </si>
  <si>
    <t>DZ8-GPNOGEN17-00000308-M</t>
  </si>
  <si>
    <t>DZ8-GPNRASN17-00000048-M</t>
  </si>
  <si>
    <t>0992627387001</t>
  </si>
  <si>
    <t>AWANILEY S.A.</t>
  </si>
  <si>
    <t>DZ8-GPNOPEC18-00000018-M</t>
  </si>
  <si>
    <t>DZ8-GPNRASC19-00000014-M</t>
  </si>
  <si>
    <t>0992528966001</t>
  </si>
  <si>
    <t>AYDON S.A.</t>
  </si>
  <si>
    <t>DZ8-GCEOIOV17-00000018-M</t>
  </si>
  <si>
    <t>DZ8-GCERASV17-00000006-M</t>
  </si>
  <si>
    <t>0992838612001</t>
  </si>
  <si>
    <t>B.I.E.T BIOINGENERIA ESTABILIZACION TALUDES S.A.</t>
  </si>
  <si>
    <t>NAC-DNCOPEC16-00161863-M</t>
  </si>
  <si>
    <t>DZ8-GSORASV16-00000128-M</t>
  </si>
  <si>
    <t>0992793708001</t>
  </si>
  <si>
    <t>BADDUISAL S.A.</t>
  </si>
  <si>
    <t>NAC-DNCOIOG16-00005487</t>
  </si>
  <si>
    <t>DZ8-GCERASV16-00000065-M</t>
  </si>
  <si>
    <t>0911584639001</t>
  </si>
  <si>
    <t>BALLADARES ROSADO ALFREDO ALEX</t>
  </si>
  <si>
    <t>DZ8-GPNOGEC19-00000063-M</t>
  </si>
  <si>
    <t>DZ8-GPNRASC19-00000057-M</t>
  </si>
  <si>
    <t>0992805471001</t>
  </si>
  <si>
    <t>BANAINKIT S. A.</t>
  </si>
  <si>
    <t>NAC-DNCOIOG16-00005520</t>
  </si>
  <si>
    <t>DZ8-GCERASV16-00000066-M</t>
  </si>
  <si>
    <t>0914793450001</t>
  </si>
  <si>
    <t>BANCHEN PEÑAFIEL NIXON ARCADIO</t>
  </si>
  <si>
    <t>DZ8-GPNOGEO17-00000273-M</t>
  </si>
  <si>
    <t>DZ8-GSORASO17-00000055-M</t>
  </si>
  <si>
    <t>0992789786001</t>
  </si>
  <si>
    <t>BARAQUEL S.A.</t>
  </si>
  <si>
    <t>NAC-DNCOPEC16-00161733-M</t>
  </si>
  <si>
    <t>DZ8-GSORASV16-00000265-M</t>
  </si>
  <si>
    <t>0992630000001</t>
  </si>
  <si>
    <t>BAREIKIS S.A.</t>
  </si>
  <si>
    <t>NAC-DNCOPEC16-00161655-M</t>
  </si>
  <si>
    <t>DZ8-GSORASV16-00000284-M</t>
  </si>
  <si>
    <t>0921070850001</t>
  </si>
  <si>
    <t>BARZOLA CASTRO VICTOR HUGO</t>
  </si>
  <si>
    <t>DZ8-GPNOPEC18-00000008-M</t>
  </si>
  <si>
    <t>DZ8-GPNRASC19-00000015-M</t>
  </si>
  <si>
    <t>0925125072001</t>
  </si>
  <si>
    <t>BASTIDAS CHAGNAY EMMA ROXANA</t>
  </si>
  <si>
    <t xml:space="preserve">DZ8-GPNOGEN17-00000631-M </t>
  </si>
  <si>
    <t>DZ8-GPNRASN17-00000221-M</t>
  </si>
  <si>
    <t>DZ8-GTROGEC22-00001625-M</t>
  </si>
  <si>
    <t>0992621753001</t>
  </si>
  <si>
    <t>BATHORYCORP S.A.</t>
  </si>
  <si>
    <t>NAC-DNCOPEC16-00161712-M</t>
  </si>
  <si>
    <t>DZ8-GPNRASV16-00000018-M</t>
  </si>
  <si>
    <t>0993008354001</t>
  </si>
  <si>
    <t>BEAMCONST S.A.</t>
  </si>
  <si>
    <t>DZ8-GPNOGEI17-00000553-M</t>
  </si>
  <si>
    <t>DZ8-GPNRASI17-00000144-M</t>
  </si>
  <si>
    <t>0992803460001</t>
  </si>
  <si>
    <t>BEDORRECH S. A.</t>
  </si>
  <si>
    <t>DZ8-GPNOGEV17-00000329-M</t>
  </si>
  <si>
    <t>DZ8-GPNRASV17-00000079-M</t>
  </si>
  <si>
    <t>0992785853001</t>
  </si>
  <si>
    <t>BEISBAT S.A.</t>
  </si>
  <si>
    <t>DZ8-GPNOGEC19-00000014-M</t>
  </si>
  <si>
    <t>DZ8-GPNRASC19-00000032-M</t>
  </si>
  <si>
    <t>1705915880001</t>
  </si>
  <si>
    <t>BEJARANO ROCHA NELSON GUSTAVO</t>
  </si>
  <si>
    <t>DZ8-GPNOGEN17-00000311-M</t>
  </si>
  <si>
    <t>DZ8-GPNRASN17-00000049-M</t>
  </si>
  <si>
    <t>0921722328001</t>
  </si>
  <si>
    <t>BELLOLIO PIEDRAHITA JORGE MANUEL</t>
  </si>
  <si>
    <t>NAC-DNCOIOG16-00005377</t>
  </si>
  <si>
    <t>DZ8-GCERASN16-00000067-M</t>
  </si>
  <si>
    <t>0924806904001</t>
  </si>
  <si>
    <t>BENITES REYES RICARDO ELIAS</t>
  </si>
  <si>
    <t>DZ8-GPNOPEC-18-00000009-M</t>
  </si>
  <si>
    <t>DZ8-GPNRASC18-00000031-M</t>
  </si>
  <si>
    <t>0992788380001</t>
  </si>
  <si>
    <t>BESTSERIAL S.A.</t>
  </si>
  <si>
    <t>DZ8-GPNOGEC19-00000005-M</t>
  </si>
  <si>
    <t>DZ8-GPNRASC19-00000036-M</t>
  </si>
  <si>
    <t>0992451599001</t>
  </si>
  <si>
    <t>BESTTRANS S.A.</t>
  </si>
  <si>
    <t>NAC-DNCOPEC16-00161948-M</t>
  </si>
  <si>
    <t>DZ8-GSORASV16-00000156-M</t>
  </si>
  <si>
    <t>0915981609001</t>
  </si>
  <si>
    <t>BETANCOURT SANCHEZ DANIEL HERNAN</t>
  </si>
  <si>
    <t>DZ8-GPNOGEN17-00000274-M</t>
  </si>
  <si>
    <t>DZ8-GSORASN17-00000056-M</t>
  </si>
  <si>
    <t>0992764910001</t>
  </si>
  <si>
    <t>BIGONE C. LTDA.</t>
  </si>
  <si>
    <t>DZ8-GPNOGEV17-00000209-M</t>
  </si>
  <si>
    <t>DZ8-GPNRASV17-00000171-M</t>
  </si>
  <si>
    <t>0992785837001</t>
  </si>
  <si>
    <t>BIKPEBIK S.A.</t>
  </si>
  <si>
    <t>DZ8-GPNOGEC19-00000013-M</t>
  </si>
  <si>
    <t>DZ8-GPNRASC19-00000040-M</t>
  </si>
  <si>
    <t>0992668954001</t>
  </si>
  <si>
    <t>BIOCOMPLEX S.A.</t>
  </si>
  <si>
    <t>NAC-DNCOPEC16-00161558-M</t>
  </si>
  <si>
    <t>DZ8-GCERASV16-00000013-M</t>
  </si>
  <si>
    <t>0992739037001</t>
  </si>
  <si>
    <t>BIOECUASA S.A.</t>
  </si>
  <si>
    <t>DZ8-GPNOGEV17-00000208-M</t>
  </si>
  <si>
    <t>DZ8-GPNRASV17-00000173-M</t>
  </si>
  <si>
    <t>0992499400001</t>
  </si>
  <si>
    <t>BIOSTEL S.A.</t>
  </si>
  <si>
    <t>NAC-DNCOPEC16-00161955-M</t>
  </si>
  <si>
    <t>DZ8-GSORASV16-00000160-M</t>
  </si>
  <si>
    <t>0992789549001</t>
  </si>
  <si>
    <t>BLEXTECH S.A.</t>
  </si>
  <si>
    <t>NAC-DNCOIOG16-00005482</t>
  </si>
  <si>
    <t>DZ8-GSORASV16-00000356-M</t>
  </si>
  <si>
    <t>0992365927001</t>
  </si>
  <si>
    <t>BLINCHET S.A.</t>
  </si>
  <si>
    <t>NAC-DNCOPEC16-00161587-M</t>
  </si>
  <si>
    <t>DZ8-GCERASV16-00000024-M</t>
  </si>
  <si>
    <t>0991247122001</t>
  </si>
  <si>
    <t>BLOH S.A.</t>
  </si>
  <si>
    <t>NAC-DNCOPEC16-00161936-M</t>
  </si>
  <si>
    <t>DZ8-GSORASV16-00000153-M</t>
  </si>
  <si>
    <t>0992828196001</t>
  </si>
  <si>
    <t>BLORIEXCOR S.A.</t>
  </si>
  <si>
    <t>NAC-DNCOPEC16-00161862-M</t>
  </si>
  <si>
    <t>DZ8-GSORASV16-00000268-M</t>
  </si>
  <si>
    <t>0992979321001</t>
  </si>
  <si>
    <t>BOCEL S.P</t>
  </si>
  <si>
    <t>SOCIEDADES</t>
  </si>
  <si>
    <t>DZ8-GPNOGEI17-00000518-M</t>
  </si>
  <si>
    <t>DZ8-GPNRASY17-00000208-M</t>
  </si>
  <si>
    <t>109012018OGTS010293</t>
  </si>
  <si>
    <t>0992734663001</t>
  </si>
  <si>
    <t>BOLEXYN S.A.</t>
  </si>
  <si>
    <t>DZ8-GPNOGEV17-00000236-M</t>
  </si>
  <si>
    <t>DZ8-GSORASV17-00000028-M</t>
  </si>
  <si>
    <t>0922088364001</t>
  </si>
  <si>
    <t>BONE CORTEZ ISAAC ALFREDO</t>
  </si>
  <si>
    <t>DZ8-GPNOGEC19-00000082-M</t>
  </si>
  <si>
    <t>DZ8-GPNRASC19-00000067-M</t>
  </si>
  <si>
    <t>0992768568001</t>
  </si>
  <si>
    <t>BORDRIM S.A.</t>
  </si>
  <si>
    <t>NAC-DNCOPEC16-00161672-M</t>
  </si>
  <si>
    <t>DZ8-GSORASV16-00000193-M</t>
  </si>
  <si>
    <t>0992758902001</t>
  </si>
  <si>
    <t>BOSSTRADESA S.A.</t>
  </si>
  <si>
    <t>NAC-DNCOPEC16-00161612-M</t>
  </si>
  <si>
    <t>DZ8-GCERASV16-00000040-M</t>
  </si>
  <si>
    <t>0992776285001</t>
  </si>
  <si>
    <t>BRICIONA S.A.</t>
  </si>
  <si>
    <t>DZ8-GPNOGEV17-00000452-M</t>
  </si>
  <si>
    <t>DZ8-GPNRASV17-00000139-M</t>
  </si>
  <si>
    <t>0992978880001</t>
  </si>
  <si>
    <t>BUILDING - VIP S.A.</t>
  </si>
  <si>
    <t>DZ8-GPNOGEI17-00000517-M</t>
  </si>
  <si>
    <t>DZ8-GPNRASC17-00000024-M</t>
  </si>
  <si>
    <t>0992950331001</t>
  </si>
  <si>
    <t>BUSNESS&amp;TECH S.A.</t>
  </si>
  <si>
    <t>DZ8-GPNOGEV17-00000227-M</t>
  </si>
  <si>
    <t>DZ8-GPNRASV17-00000193-M</t>
  </si>
  <si>
    <t>0902770361001</t>
  </si>
  <si>
    <t>CABALLERO GUERRERO HECTOR GUILLERMO</t>
  </si>
  <si>
    <t>NAC-DNCOIOG16-00005409</t>
  </si>
  <si>
    <t>DZ8-GSORASO16-00000358-M</t>
  </si>
  <si>
    <t>109012017RGTN146139</t>
  </si>
  <si>
    <t>0992660767001</t>
  </si>
  <si>
    <t>CABLE FERSA S.A.</t>
  </si>
  <si>
    <t>NAC-DNCOPEC16-00161772-M</t>
  </si>
  <si>
    <t>DZ8-GSORASV16-00000241-M</t>
  </si>
  <si>
    <t>0992375167001</t>
  </si>
  <si>
    <t>CADENA MENOSCAL TECHNOLOGICAL COMMUNICATION GRID S.A.</t>
  </si>
  <si>
    <t>NAC-DNCOPEC16-00161812-M</t>
  </si>
  <si>
    <t>DZ8-GSORASV16-00000085-M</t>
  </si>
  <si>
    <t>0992652071001</t>
  </si>
  <si>
    <t>CAMARONERA DEL MAR CADEMARSA S.A.</t>
  </si>
  <si>
    <t>NAC-DNCOPEC16-00161963-M</t>
  </si>
  <si>
    <t>DZ8-GSORASV16-00000188-M</t>
  </si>
  <si>
    <t>0992953683001</t>
  </si>
  <si>
    <t>CAMARONERA LEGUIVALSA S.A.</t>
  </si>
  <si>
    <t>DZ8-GPNOGEV17-00000174-M</t>
  </si>
  <si>
    <t>DZ8-GPNRASV17-00000007-M</t>
  </si>
  <si>
    <t>109012020OGTS000914</t>
  </si>
  <si>
    <t>0992957999001</t>
  </si>
  <si>
    <t>CAMARONERA MILANSHRIMP S.A.</t>
  </si>
  <si>
    <t>DZ8-GPNOPEC18-00000021-M</t>
  </si>
  <si>
    <t>DZ8-GPNRASC19-00000061-M</t>
  </si>
  <si>
    <t>0926683871001</t>
  </si>
  <si>
    <t>CANDO MORA JORGE ANDRES</t>
  </si>
  <si>
    <t>DZ8-GPNOGEN17-00000284-M</t>
  </si>
  <si>
    <t>DZ8-GSORASN17-00000065-M</t>
  </si>
  <si>
    <t>0921454989001</t>
  </si>
  <si>
    <t>CAÑALES ORTEGA VORIS OSWALDO</t>
  </si>
  <si>
    <t>NAC-DNCOIOG16-00005445</t>
  </si>
  <si>
    <t>DZ8-GSORASN16-00000359-M</t>
  </si>
  <si>
    <t>0992822589001</t>
  </si>
  <si>
    <t>CAOCAF S.A.</t>
  </si>
  <si>
    <t>DZ8-GPNOGEV17-00000147-M</t>
  </si>
  <si>
    <t>DZ8-GPNRASV17-00000070-M</t>
  </si>
  <si>
    <t>0992899239001</t>
  </si>
  <si>
    <t>CAPMEDSER S.A.</t>
  </si>
  <si>
    <t xml:space="preserve">DZ8-GPNOCOC19-00000023-M </t>
  </si>
  <si>
    <t>DZ8-GPNRASC19-00000003-M</t>
  </si>
  <si>
    <t>0992597429001</t>
  </si>
  <si>
    <t>CARGAFLEC S.A.</t>
  </si>
  <si>
    <t>DZ8-GPNOPEC18-00000022-M</t>
  </si>
  <si>
    <t>DZ8-GPNRASC20-00000044-M</t>
  </si>
  <si>
    <t>0992712732001</t>
  </si>
  <si>
    <t>CARNELSA S.A.</t>
  </si>
  <si>
    <t>DZ8-GSOOPEC18-00000023-M</t>
  </si>
  <si>
    <t>DZ8-GSORASC18-00000007-M</t>
  </si>
  <si>
    <t>0926212705001</t>
  </si>
  <si>
    <t>CARRANZA CARRANZA ERLYN ALFREDO</t>
  </si>
  <si>
    <t>DZ8-GPNOPEC18-00000011-M</t>
  </si>
  <si>
    <t>DZ8-GPNRASC19-00000074-M</t>
  </si>
  <si>
    <t>0926770603001</t>
  </si>
  <si>
    <t>CASTILLO CARBO LUIS MIGUEL</t>
  </si>
  <si>
    <t>NAC-DNCOIOG16-00005361</t>
  </si>
  <si>
    <t>DZ8-GPNRASO16-00000112-M</t>
  </si>
  <si>
    <t>0917780124001</t>
  </si>
  <si>
    <t>CASTILLO VILLAMAR RICARDO EDUARDO</t>
  </si>
  <si>
    <t>NAC-DNCOPEC16-00161878-M</t>
  </si>
  <si>
    <t>DZ8-GSORASO16-00000075-M</t>
  </si>
  <si>
    <t>0953849072001</t>
  </si>
  <si>
    <t>CASTRO FAJARDO CELSO EDUARDO</t>
  </si>
  <si>
    <t>DZ8-GPNOGEN17-00000292-M</t>
  </si>
  <si>
    <t>DZ8-GPNRASN17-00000062-M</t>
  </si>
  <si>
    <t>0924964604001</t>
  </si>
  <si>
    <t>CASTRO MACAS RONALD HUMBERTO</t>
  </si>
  <si>
    <t>NAC-DNCOIOG16-00005443</t>
  </si>
  <si>
    <t>DZ8-GPNRASN16-00000113-M</t>
  </si>
  <si>
    <t>1201903018001</t>
  </si>
  <si>
    <t>CASTRO MAQUILON JOSE LUIS</t>
  </si>
  <si>
    <t>NAC-DNCOPEC16-00161927-M</t>
  </si>
  <si>
    <t>DZ8-GSORASN16-00000186-M</t>
  </si>
  <si>
    <t>0928871342001</t>
  </si>
  <si>
    <t>CASTRO MOLINA CHRISTOPHER JOSE</t>
  </si>
  <si>
    <t>DZ8-GPNOGEN17-00000288-M</t>
  </si>
  <si>
    <t>DZ8-GSORASN17-00000069-M</t>
  </si>
  <si>
    <t>1801245414001</t>
  </si>
  <si>
    <t>CATAGUA SUARES CIRILO EUSEBIO</t>
  </si>
  <si>
    <t>DZ8-GPNOGEN17-00000300-M</t>
  </si>
  <si>
    <t>DZ8-GPNRASN17-00000052-M</t>
  </si>
  <si>
    <t>0992130121001</t>
  </si>
  <si>
    <t>CAVIMAQSA S.A.</t>
  </si>
  <si>
    <t>DZ8-GPNOGEV17-00000657-M</t>
  </si>
  <si>
    <t>DZ8-GPNRASV17-00000241-M</t>
  </si>
  <si>
    <t>0920619541001</t>
  </si>
  <si>
    <t>CEDEÑO ULLOA NADIA MABEL</t>
  </si>
  <si>
    <t>DZ8-GPNOGEC18-00000032-M</t>
  </si>
  <si>
    <t>DZ8-GPNRASC18-00000022-M</t>
  </si>
  <si>
    <t>0926871112001</t>
  </si>
  <si>
    <t>CEDEÑO ZAMBRANO ANGEL ALBERTO</t>
  </si>
  <si>
    <t>NAC-DNCOIOG16-00005378</t>
  </si>
  <si>
    <t>DZ8-GSORASN16-00000376-M</t>
  </si>
  <si>
    <t>0992804025001</t>
  </si>
  <si>
    <t>CEDIMENTY S.A.</t>
  </si>
  <si>
    <t>NAC-DNCOIOG16-00005512</t>
  </si>
  <si>
    <t>DZ8-GSORASV16-00000379-M</t>
  </si>
  <si>
    <t>0992793414001</t>
  </si>
  <si>
    <t>CENDESCAP S.A.</t>
  </si>
  <si>
    <t>NAC-DNCOPEC16-00161981-M</t>
  </si>
  <si>
    <t>DZ8-GSORASV16-00000178-M</t>
  </si>
  <si>
    <t>0992659181001</t>
  </si>
  <si>
    <t>CENTRAL DE DISTRIBUCIONES Y NEGOCIOS DISNEG S.A.</t>
  </si>
  <si>
    <t>NAC-DNCOPEC16-00161836-M</t>
  </si>
  <si>
    <t>DZ8-GPNRASV16-00000040-M</t>
  </si>
  <si>
    <t>1791399420001</t>
  </si>
  <si>
    <t>CENTRO MEDICO LAIN S.A.</t>
  </si>
  <si>
    <t>NAC-DNCOPEC16-00161795-M</t>
  </si>
  <si>
    <t>DZ8-GSORASV16-00000132-M</t>
  </si>
  <si>
    <t>0909163743001</t>
  </si>
  <si>
    <t>CHALEN CARRIEL JOFFRE ADRIAN</t>
  </si>
  <si>
    <t>NAC-DNCOIOG16-00005430</t>
  </si>
  <si>
    <t>DZ8-GSORASN16-00000381-M</t>
  </si>
  <si>
    <t>0926600610001</t>
  </si>
  <si>
    <t>CHAMBA FAJARDO JULLY TATIANA</t>
  </si>
  <si>
    <t>DZ8-GPNOGEN17-00000283-M</t>
  </si>
  <si>
    <t>DZ8-GSORASN17-00000064-M</t>
  </si>
  <si>
    <t>1305793356001</t>
  </si>
  <si>
    <t>CHAVEZ VERA JAVIER FRANCISCO</t>
  </si>
  <si>
    <t>DZ8-GPNOGEN17-00000298-M</t>
  </si>
  <si>
    <t>DZ8-GPNRASN17-00000047-M</t>
  </si>
  <si>
    <t>0918365834001</t>
  </si>
  <si>
    <t>CHONILLO PEÑAFIEL CARLOS JULIO</t>
  </si>
  <si>
    <t>NAC-DNCOIOG16-00005453</t>
  </si>
  <si>
    <t>DZ8-GSORASN16-00000384-M</t>
  </si>
  <si>
    <t>NAC-RRRRRVC20-00000395</t>
  </si>
  <si>
    <t>0992925841001</t>
  </si>
  <si>
    <t>CIASTECH S.A</t>
  </si>
  <si>
    <t>DZ8-GPNOGEV17-00000224-M</t>
  </si>
  <si>
    <t>DZ8-GPNRASV17-00000194-M</t>
  </si>
  <si>
    <t>0992834056001</t>
  </si>
  <si>
    <t>CINTONAVE S.A.</t>
  </si>
  <si>
    <t>NAC-DNCOPEC16-00161918-M</t>
  </si>
  <si>
    <t>DZ8-GPNRASV16-00000026-M</t>
  </si>
  <si>
    <t>0992898798001</t>
  </si>
  <si>
    <t>CIVIBLOCK S.A.</t>
  </si>
  <si>
    <t>NAC-DNCOPEC16-00161922-M</t>
  </si>
  <si>
    <t>DZ8-GSORASV16-00000150-M</t>
  </si>
  <si>
    <t>0992906464001</t>
  </si>
  <si>
    <t>CLONKRABRIZ S.A.</t>
  </si>
  <si>
    <t>DZ8-GPNOGEC18-00000015-M</t>
  </si>
  <si>
    <t>DZ8-GPNRASC18-00000015-M</t>
  </si>
  <si>
    <t>0992889179001</t>
  </si>
  <si>
    <t>CLOUDLOGIC S.A</t>
  </si>
  <si>
    <t>NAC-DNCOPEC16-00161921-M</t>
  </si>
  <si>
    <t>DZ8-GSORASV16-00000149-M</t>
  </si>
  <si>
    <t>0992806370001</t>
  </si>
  <si>
    <t>CLUBZETI S.A.</t>
  </si>
  <si>
    <t>NAC-DNCOPEC16-00161566-M</t>
  </si>
  <si>
    <t>DZ8-GCERASV16-00000016-M</t>
  </si>
  <si>
    <t>0909305872001</t>
  </si>
  <si>
    <t>COBOS MERCHAN DELFIN ISIDORO</t>
  </si>
  <si>
    <t>DZ8-GPNOGEN17-00000267-M</t>
  </si>
  <si>
    <t>DZ8-GSORASN17-00000050-M</t>
  </si>
  <si>
    <t>0991355138001</t>
  </si>
  <si>
    <t>COECIMSA, COMPANIA ECUATORIANA DE IMPORTACIONES S.A.</t>
  </si>
  <si>
    <t>NAC-DNCOPEC16-00161879-M</t>
  </si>
  <si>
    <t>DZ8-GSORASV16-00000077-M</t>
  </si>
  <si>
    <t>0907861488001</t>
  </si>
  <si>
    <t>COELLO ROCAFUERTE CARLOS ENRIQUE</t>
  </si>
  <si>
    <t>DZ8-GPNOGEC18-00000035-M</t>
  </si>
  <si>
    <t>DZ8-GPNRASC19-00000070-M</t>
  </si>
  <si>
    <t>0992834048001</t>
  </si>
  <si>
    <t>COLTINAF S. A.</t>
  </si>
  <si>
    <t>NAC-DNCOPEC16-00161616-M</t>
  </si>
  <si>
    <t>DZ8-GCERASV16-00000042-M</t>
  </si>
  <si>
    <t>0992732393001</t>
  </si>
  <si>
    <t>COMERAZU S. A.</t>
  </si>
  <si>
    <t>NAC-DNCOPEC16-00161561-M</t>
  </si>
  <si>
    <t>DZ8-GPNRASV16-00000046-M</t>
  </si>
  <si>
    <t>0992925167001</t>
  </si>
  <si>
    <t>COMERCIAL ALTYUUZ S.A.</t>
  </si>
  <si>
    <t>DZ8-GPNOGEV17-00000099-M</t>
  </si>
  <si>
    <t>DZ8-GPNRASV17-00000066-M</t>
  </si>
  <si>
    <t>0992428147001</t>
  </si>
  <si>
    <t>COMERCIALIZACION DE PRODUCTOS ALIMENTARIOS TRANSCOPRALI C.A.</t>
  </si>
  <si>
    <t>NAC-DNCOPEC16-00161816-M</t>
  </si>
  <si>
    <t>DZ8-GSORASV16-00000090-M</t>
  </si>
  <si>
    <t>0992991720001</t>
  </si>
  <si>
    <t>COMERCIALIZADORA DE ENSERES, TEXTILES Y ARTICULOS DE OFICINA COMPUTEXCORP C.A.</t>
  </si>
  <si>
    <t>DZ8-GPNOGEI17-00000566-M</t>
  </si>
  <si>
    <t>DZ8-GSORASV17-00000072-M</t>
  </si>
  <si>
    <t>0992780126001</t>
  </si>
  <si>
    <t>COMERCIALIZADORA DE EQUIPOS MEDICOS S.A. CODELMEDIC</t>
  </si>
  <si>
    <t>NAC-DNCOPEC16-00161853-M</t>
  </si>
  <si>
    <t>DZ8-GSORASV16-00000115-M</t>
  </si>
  <si>
    <t>0992988193001</t>
  </si>
  <si>
    <t>COMERCIALIZADORA EL CONSTRUCTOR CONSTRUCOMBINE</t>
  </si>
  <si>
    <t>DZ8-GPNOGEC19-00000045-M</t>
  </si>
  <si>
    <t>DZ8-GPNRASC19-00000038-M</t>
  </si>
  <si>
    <t>0992991747001</t>
  </si>
  <si>
    <t>COMERCIALIZADORA TELEFONICA MAZOKU TELEMAZOKU C.A.</t>
  </si>
  <si>
    <t>DZ8-GSOOGEV17-00000082-M</t>
  </si>
  <si>
    <t>DZ8-GSORASV17-00000104-M</t>
  </si>
  <si>
    <t>0992651792001</t>
  </si>
  <si>
    <t>COMERCIO Y OTROS S.A. COMERCOTROSA</t>
  </si>
  <si>
    <t>NAC-DNCOPEC16-00161658-M</t>
  </si>
  <si>
    <t>DZ8-GCERASV16-00000053-M</t>
  </si>
  <si>
    <t>0992431458001</t>
  </si>
  <si>
    <t>COMERTECH S.A.</t>
  </si>
  <si>
    <t>NAC-DNCOPEC16-00161592-M</t>
  </si>
  <si>
    <t>DZ8-GCERASV16-00000027-M</t>
  </si>
  <si>
    <t>0992143789001</t>
  </si>
  <si>
    <t>COMEXITO S.A.</t>
  </si>
  <si>
    <t>NAC-DNCOPEC16-00161697-M</t>
  </si>
  <si>
    <t>DZ8-GSORASV16-00000201-M</t>
  </si>
  <si>
    <t>0992911409001</t>
  </si>
  <si>
    <t>COMPAÑÍA AGRICOLA DELEAR COMAGRICOLDELEAR S.A</t>
  </si>
  <si>
    <t>NAC-DNCOPEC16-00161680-M</t>
  </si>
  <si>
    <t>DZ8-GPNRASV16-00000015-M</t>
  </si>
  <si>
    <t>0992911441001</t>
  </si>
  <si>
    <t>COMPAÑÍA AGRICOLA FIVEBET COMAGRIFIVEBET S.A</t>
  </si>
  <si>
    <t>NAC-DNCOPEC16-00161925-M</t>
  </si>
  <si>
    <t>DZ8-GPNRASV16-00000023-M</t>
  </si>
  <si>
    <t>0992991712001</t>
  </si>
  <si>
    <t>COMPAÑIA AGRICOLA GUSTAVO AGROGUSTASA</t>
  </si>
  <si>
    <t>DZ8-GPNOGEC19-00000046-M</t>
  </si>
  <si>
    <t>DZ8-GPNRASC19-00000039-M</t>
  </si>
  <si>
    <t>Empresa Fantasma o supuesta</t>
  </si>
  <si>
    <t>0992944110001</t>
  </si>
  <si>
    <t>COMPAÑIA CYBERNETICA DE MANTENIMIENTO INFORMATICO COMCYBERMANINFORT S.A.</t>
  </si>
  <si>
    <t>DZ8-GPNOGEV17-00000225-M</t>
  </si>
  <si>
    <t>DZ8-GPNRASV17-00000195-M</t>
  </si>
  <si>
    <t>0992912324001</t>
  </si>
  <si>
    <t>COMPAÑÍA DE CONSTRUCCION ADH FLOP CONSTRUADHFLOP S.A</t>
  </si>
  <si>
    <t>NAC-DNCOPEC16-00161926-M</t>
  </si>
  <si>
    <t>DZ8-GSORASV16-00000152-M</t>
  </si>
  <si>
    <t>0992911425001</t>
  </si>
  <si>
    <t>COMPAÑÍA DE CONSTRUCCION FLIP SIMPLE CONSTRUFLIPSI S.A</t>
  </si>
  <si>
    <t>NAC-DNCOPEC16-00161924-M</t>
  </si>
  <si>
    <t>DZ8-GPNRASV16-00000022-M</t>
  </si>
  <si>
    <t>0992912316001</t>
  </si>
  <si>
    <t>COMPAÑÍA DE CONSTRUCCION FOURBET COSTRUFOURBET S.A</t>
  </si>
  <si>
    <t>NAC-DNCOPEC16-00161988-M</t>
  </si>
  <si>
    <t>DZ8-GPNRASV16-00000024-M</t>
  </si>
  <si>
    <t>0992912308001</t>
  </si>
  <si>
    <t>COMPAÑÍA DE PUBLICIDAD DOCOIN PUBLIDOCOIN S.A</t>
  </si>
  <si>
    <t>DZ8-GPNOGEV17-00000098-M</t>
  </si>
  <si>
    <t>DZ8-GPNRASV17-00000064-M</t>
  </si>
  <si>
    <t>0992911433001</t>
  </si>
  <si>
    <t>COMPAÑÍA DE SUMINISTROS DE OFICINA ALLIN COMSUMINSTROFALLIN S.A</t>
  </si>
  <si>
    <t>NAC-DNCOPEC16-00161681-M</t>
  </si>
  <si>
    <t>DZ8-GPNRASV16-00000016-M</t>
  </si>
  <si>
    <t>0992919264001</t>
  </si>
  <si>
    <t>COMPAÑIA DE TELECOMUNICACIONES EN GENERAL PROBIG COMTELEPROBIG S.A.</t>
  </si>
  <si>
    <t>DZ8-GPNOGEV17-00000096-M</t>
  </si>
  <si>
    <t>DZ8-GPNRASV17-00000065-M</t>
  </si>
  <si>
    <t>0992922672001</t>
  </si>
  <si>
    <t>COMPAÑIA FERRETERA SALVATIERRA RUGEL RUGELECTRIC S.A.</t>
  </si>
  <si>
    <t>DZ8-GPNOGEC18-00000018-M</t>
  </si>
  <si>
    <t>DZ8-GPNRASC18-00000010-M</t>
  </si>
  <si>
    <t>0992665483001</t>
  </si>
  <si>
    <t>COMPAÑIA IMPORTADORA BAYAS LLIVE S.A. IMPORTBALLI</t>
  </si>
  <si>
    <t>NAC-DNCOPEC16-00161721-M</t>
  </si>
  <si>
    <t>DZ8-GSORASV16-00000219-M</t>
  </si>
  <si>
    <t>0992702443001</t>
  </si>
  <si>
    <t>COMPLEJO METALURGICO DEL ECUADOR C.M.E. S.A.</t>
  </si>
  <si>
    <t>DZ8-GPNOGEV17-00000445-M</t>
  </si>
  <si>
    <t>DZ8-GPNRASV17-00000132-M</t>
  </si>
  <si>
    <t>0992480564001</t>
  </si>
  <si>
    <t>COMPUTRY S.A.</t>
  </si>
  <si>
    <t>NAC-DNCOPEC16-00161647-M</t>
  </si>
  <si>
    <t>DZ8-GCERASV16-00000049-M</t>
  </si>
  <si>
    <t>0992663073001</t>
  </si>
  <si>
    <t>COMSTRIFECOMS S.A.</t>
  </si>
  <si>
    <t>DZ8-GPNOGEV17-00000124-M</t>
  </si>
  <si>
    <t>DZ8-GPNRASV17-00000215-M</t>
  </si>
  <si>
    <t>0912415460001</t>
  </si>
  <si>
    <t>CONDOR SUAREZ MANUEL HENRY</t>
  </si>
  <si>
    <t>DZ8-GPNOGEN17-00000271-M</t>
  </si>
  <si>
    <t>DZ8-GSORASN17-00000053-M</t>
  </si>
  <si>
    <t>0992784776001</t>
  </si>
  <si>
    <t>CONQUICORP S.A.</t>
  </si>
  <si>
    <t>NAC-DNCOPEC16-00161783-M</t>
  </si>
  <si>
    <t>DZ8-GSORASV16-00000116-M</t>
  </si>
  <si>
    <t>0992743654001</t>
  </si>
  <si>
    <t>CONSBUYSA S.A</t>
  </si>
  <si>
    <t>DZ8-GTROGEC18-00000154-M</t>
  </si>
  <si>
    <t>DZ8-GPNRASC18-00000020-M</t>
  </si>
  <si>
    <t>0992662743001</t>
  </si>
  <si>
    <t>CONSESORIAL S.A.</t>
  </si>
  <si>
    <t>NAC-DNCOPEC16-00161659-M</t>
  </si>
  <si>
    <t>DZ8-GSORASV16-00000276-M</t>
  </si>
  <si>
    <t>0992789875001</t>
  </si>
  <si>
    <t>CONSEVEMACK S. A.</t>
  </si>
  <si>
    <t>DZ8-GPNOGEV17-00000214-M</t>
  </si>
  <si>
    <t>DZ8-GPNRASV17-00000165-M</t>
  </si>
  <si>
    <t>0992788801001</t>
  </si>
  <si>
    <t>CONSORCIO DUBRI</t>
  </si>
  <si>
    <t>NAC-DNCOPEC16-00161854-M</t>
  </si>
  <si>
    <t>DZ8-GSORASV16-00000118-M</t>
  </si>
  <si>
    <t>0992651288001</t>
  </si>
  <si>
    <t>CONSORCIO TECNICO DE CONSTRUCCIONES Y MATERIALES CONTECMAT S.A.</t>
  </si>
  <si>
    <t>NAC-DNCOIOG16-00005471</t>
  </si>
  <si>
    <t>DZ8-GPNRASV16-00000115-M</t>
  </si>
  <si>
    <t>0992806699001</t>
  </si>
  <si>
    <t>CONSTRUCCIONES BOTTA'S S.A. BOTTACONSTRUC</t>
  </si>
  <si>
    <t>NAC-DNCOPEC16-00161567-M</t>
  </si>
  <si>
    <t>DZ8-GCERASV16-00000017-M</t>
  </si>
  <si>
    <t>0993006823001</t>
  </si>
  <si>
    <t>CONSTRUCCIONES LOS SANTOS SANTRUCSA S.A.</t>
  </si>
  <si>
    <t>DZ8-GPNOGEI17-00000567-M</t>
  </si>
  <si>
    <t>DZ8-GSORASV17-00000073-M</t>
  </si>
  <si>
    <t>0992785829001</t>
  </si>
  <si>
    <t>CONSTRUCCIONES SANCHEZ &amp; FIGUEROA CORPSAFI S.A</t>
  </si>
  <si>
    <t>DZ8-GPNOGEV17-00000213-M</t>
  </si>
  <si>
    <t>DZ8-GPNRASV17-00000175-M</t>
  </si>
  <si>
    <t>Empresa inexistente / fantasma /  sociedad con actividades supuestas y/o transacciones inexistentes</t>
  </si>
  <si>
    <t>0992663219001</t>
  </si>
  <si>
    <t>CONSTRUCCIONES Y SERVICIOS ARQUITECTONICOS CONSERVARQ S.A.</t>
  </si>
  <si>
    <t>NAC-DNCOPEC16-00161660-M</t>
  </si>
  <si>
    <t>DZ8-GSORASV16-00000293-M</t>
  </si>
  <si>
    <t>0992988134001</t>
  </si>
  <si>
    <t>CONSTRUCTORA &amp; DISTRIBUIDORA HYPERCARGA HYPERCASA S.A</t>
  </si>
  <si>
    <t>DZ8-GPNOGEC19-00000047-M</t>
  </si>
  <si>
    <t>DZ8-GPNRASC19-00000029-M</t>
  </si>
  <si>
    <t>0992839767001</t>
  </si>
  <si>
    <t>CONSTRUCTORA ALJUGYP S.A. ALJUGYPSA</t>
  </si>
  <si>
    <t>DZ8-GPNOGEV17-00000255-M</t>
  </si>
  <si>
    <t>DZ8-GSORASV17-00000044-M</t>
  </si>
  <si>
    <t>0992787937001</t>
  </si>
  <si>
    <t>CONSTRUCTORA CONSBALCORP S.A.</t>
  </si>
  <si>
    <t>DZ8-GPNOGEV17-00000238-M</t>
  </si>
  <si>
    <t>DZ8-GSORASV17-00000030-M</t>
  </si>
  <si>
    <t>0992982675001</t>
  </si>
  <si>
    <t>CONSTRUCTORA EL CONSTRUFERRETERO CONSTRUC&amp;FERRET S.A.</t>
  </si>
  <si>
    <t>DZ8-GPNOGEI17-00000564-M</t>
  </si>
  <si>
    <t>DZ8-GSORASV17-00000070-M</t>
  </si>
  <si>
    <t>0992844248001</t>
  </si>
  <si>
    <t>CONSTRUCTORA EQUA LITORAL CONSEQUALISA S.A.</t>
  </si>
  <si>
    <t>NAC-DNCOPEC16-00161679-M</t>
  </si>
  <si>
    <t>DZ8-GPNRASV16-00000051-M</t>
  </si>
  <si>
    <t>0992737735001</t>
  </si>
  <si>
    <t>CONSTRUCTORA WALKIRIAS S.A.</t>
  </si>
  <si>
    <t>DZ8-GPNOGEV17-00000252-M</t>
  </si>
  <si>
    <t>DZ8-GSORASV17-00000041-M</t>
  </si>
  <si>
    <t>0992963506001</t>
  </si>
  <si>
    <t>CONSTRUCTORES &amp; CONSULTORES OBRAS CIVILES CCOVILESA</t>
  </si>
  <si>
    <t>DZ8-GPNOGEC19-00000033-M</t>
  </si>
  <si>
    <t>DZ8-GPNRASC19-00000017-M</t>
  </si>
  <si>
    <t>0992851341001</t>
  </si>
  <si>
    <t>CONSTRUCTORES &amp; CONSULTORES SOLCARDEL S.A.</t>
  </si>
  <si>
    <t>NAC-DNCOPEC16-00161617-M</t>
  </si>
  <si>
    <t>DZ8-GCERASV16-00000043-M</t>
  </si>
  <si>
    <t>0992386754001</t>
  </si>
  <si>
    <t>CONSTRUESTILO S.A.</t>
  </si>
  <si>
    <t>NAC-DNCOPEC16-00161945-M</t>
  </si>
  <si>
    <t>DZ8-GSORASV16-00000155-M</t>
  </si>
  <si>
    <t>0992645660001</t>
  </si>
  <si>
    <t>CONSTRUHERRERA S.A.</t>
  </si>
  <si>
    <t>DZ8-GPNOGEC19-00000062-M</t>
  </si>
  <si>
    <t>DZ8-GPNRASC19-00000052-M</t>
  </si>
  <si>
    <t>0993023736001</t>
  </si>
  <si>
    <t>CONSTRUILIMITIC S.A.</t>
  </si>
  <si>
    <t>DZ8-GPNOGEI17-00000172-M</t>
  </si>
  <si>
    <t>DZ8-GPNRASI17-00000214-M</t>
  </si>
  <si>
    <t>0992651105001</t>
  </si>
  <si>
    <t>CONSTRUKEMPO S.A.</t>
  </si>
  <si>
    <t>NAC-DNCOPEC16-00161602-M</t>
  </si>
  <si>
    <t>DZ8-GCERASV16-00000032-M</t>
  </si>
  <si>
    <t>0993014796001</t>
  </si>
  <si>
    <t>CONSTRUMATELEC S.A.</t>
  </si>
  <si>
    <t>DZ8-GPNOGEI17-00000626-M</t>
  </si>
  <si>
    <t>DZ8-GPNRASI17-00000236-M</t>
  </si>
  <si>
    <t>0992657758001</t>
  </si>
  <si>
    <t>CONSTRUOESTE S.A.</t>
  </si>
  <si>
    <t>NAC-DNCOPEC16-00161719-M</t>
  </si>
  <si>
    <t>DZ8-GSORASV16-00000217-M</t>
  </si>
  <si>
    <t>0992771917001</t>
  </si>
  <si>
    <t>CONSTRUQUINTA S.A.</t>
  </si>
  <si>
    <t>NAC-DNCOPEC16-00161910-M</t>
  </si>
  <si>
    <t>DZ8-GSORASV16-00000142-M</t>
  </si>
  <si>
    <t>0992771909001</t>
  </si>
  <si>
    <t>CONSTRUSOCIAL S.A.</t>
  </si>
  <si>
    <t>NAC-DNCOPEC16-00161851-M</t>
  </si>
  <si>
    <t>DZ8-GSORASV16-00000114-M</t>
  </si>
  <si>
    <t>0992937009001</t>
  </si>
  <si>
    <t>CONSTRUSUCCESS C.A.</t>
  </si>
  <si>
    <t>DZ8-GPNOGEV17-00000100-M</t>
  </si>
  <si>
    <t>DZ8-GPNRASV17-00000067-M</t>
  </si>
  <si>
    <t>0992650982001</t>
  </si>
  <si>
    <t>CONSTRUTECHO S.A.</t>
  </si>
  <si>
    <t>NAC-DNCOPEC16-00161833-M</t>
  </si>
  <si>
    <t>DZ8-GSORASV16-00000106-M</t>
  </si>
  <si>
    <t>0992669802001</t>
  </si>
  <si>
    <t>CONSTRUTILITY S.A.</t>
  </si>
  <si>
    <t>NAC-DNCOPEC16-00161967-M</t>
  </si>
  <si>
    <t>DZ8-GSORASV16-00000168-M</t>
  </si>
  <si>
    <t>0992736399001</t>
  </si>
  <si>
    <t>CONSTRUZEUS S.A</t>
  </si>
  <si>
    <t>DZ8-GPNOGEC19-00000034-M</t>
  </si>
  <si>
    <t>DZ8-GPNRASC19-00000019-M</t>
  </si>
  <si>
    <t>0992949694001</t>
  </si>
  <si>
    <t>CONSUFERRESA S.A.</t>
  </si>
  <si>
    <t>DZ8-GPNOGEC18-00000039-M</t>
  </si>
  <si>
    <t>DZ8-GPNRASC18-00000033-M</t>
  </si>
  <si>
    <t>0993008095001</t>
  </si>
  <si>
    <t>CONSULTMAX S.A.</t>
  </si>
  <si>
    <t>DZ8-GPNOGEI17-00000551-M</t>
  </si>
  <si>
    <t>DZ8-GPNRASI17-00000145-M</t>
  </si>
  <si>
    <t>0992863668001</t>
  </si>
  <si>
    <t>CONSULTORA GENERAL CONGECONSUL S. A.</t>
  </si>
  <si>
    <t>NAC-DNCOPEC16-00161618-M</t>
  </si>
  <si>
    <t>DZ8-GCERASV16-00000044-M</t>
  </si>
  <si>
    <t>0992658606001</t>
  </si>
  <si>
    <t>CONSULTORIA CONTABLE, TRIBUTARIA Y FINANCIERA S.A. (CONTRIFIN)</t>
  </si>
  <si>
    <t>DZ8-GPNOGEC18-00000026-M</t>
  </si>
  <si>
    <t>DZ8-GPNRASC18-00000017-M</t>
  </si>
  <si>
    <t>0992787546001</t>
  </si>
  <si>
    <t>CONTRICONS S.A</t>
  </si>
  <si>
    <t>DZ8-GPNOGEC19-00000064-M</t>
  </si>
  <si>
    <t>DZ8-GPNRASC19-00000059-M</t>
  </si>
  <si>
    <t>0992786604001</t>
  </si>
  <si>
    <t>CONTRUSIL S.A.</t>
  </si>
  <si>
    <t>NAC-DNCOIOG16-00005473</t>
  </si>
  <si>
    <t>DZ8-GPNRASV16-00000116-M</t>
  </si>
  <si>
    <t>0992957182001</t>
  </si>
  <si>
    <t>CONTRUSMAX S.A.</t>
  </si>
  <si>
    <t>DZ8-GPNOGEV17-00000228-M</t>
  </si>
  <si>
    <t>DZ8-GSORASV17-00000026-M</t>
  </si>
  <si>
    <t>1310856586001</t>
  </si>
  <si>
    <t>COPPIANO GUTIERREZ JORGE ANDRES</t>
  </si>
  <si>
    <t>NAC-DNCOIOG16-00005428</t>
  </si>
  <si>
    <t>DZ8-GPNRASN16-00000117-M</t>
  </si>
  <si>
    <t>NAC-RRRRRVC20-00000394</t>
  </si>
  <si>
    <t>0992653310001</t>
  </si>
  <si>
    <t>CORPDEXSA S.A.</t>
  </si>
  <si>
    <t>NAC-DNCOPEC16-00161898-M</t>
  </si>
  <si>
    <t>DZ8-GSORASV16-00000185-M</t>
  </si>
  <si>
    <t>0992837810001</t>
  </si>
  <si>
    <t>CORPITOL S.A.</t>
  </si>
  <si>
    <t>DZ8-GPNOGEV17-00000222-M</t>
  </si>
  <si>
    <t>DZ8-GPNRASV17-00000176-M</t>
  </si>
  <si>
    <t>0992652020001</t>
  </si>
  <si>
    <t>CORPORACION DE PESCA, MAR Y AGRO CORPYMAR S.A.</t>
  </si>
  <si>
    <t>NAC-DNCOPEC16-00161717-M</t>
  </si>
  <si>
    <t>DZ8-GSORASV16-00000215-M</t>
  </si>
  <si>
    <t>0992635932001</t>
  </si>
  <si>
    <t>CORPORACION THERAPEIA S.A.</t>
  </si>
  <si>
    <t>NAC-DNCOPEC16-00161895-M</t>
  </si>
  <si>
    <t>DZ8-GSORASV16-00000103-M</t>
  </si>
  <si>
    <t>0992335653001</t>
  </si>
  <si>
    <t>CORPTRAVELTI S.A.</t>
  </si>
  <si>
    <t>NAC-DNCOPEC16-00161701-M</t>
  </si>
  <si>
    <t>DZ8-GSORASV16-00000204-M</t>
  </si>
  <si>
    <t>0802929646001</t>
  </si>
  <si>
    <t>CORTEZ QUIÑONEZ JOHNNY ANTONIO</t>
  </si>
  <si>
    <t>DZ8-GPNOGEN17-00000262-M</t>
  </si>
  <si>
    <t>DZ8-GSORASN17-00000047-M</t>
  </si>
  <si>
    <t>0992677716001</t>
  </si>
  <si>
    <t>CORUNIPOR S.A.</t>
  </si>
  <si>
    <t>DZ8-GPNOGEV17-00000585-M</t>
  </si>
  <si>
    <t>DZ8-GPNRASC18-00000006-M</t>
  </si>
  <si>
    <t>0992492864001</t>
  </si>
  <si>
    <t>CRETYMAX S.A.</t>
  </si>
  <si>
    <t>NAC-DNCOPEC16-00161819-M</t>
  </si>
  <si>
    <t>DZ8-GSORASV16-00000095-M</t>
  </si>
  <si>
    <t>0991097228001</t>
  </si>
  <si>
    <t>CRISCASA, INVERSIONES INDUSTRIALES S.A.</t>
  </si>
  <si>
    <t>NAC-DNCOIOG16-00005514</t>
  </si>
  <si>
    <t>DZ8-GPNRASV16-00000118-M</t>
  </si>
  <si>
    <t>0990360235001</t>
  </si>
  <si>
    <t>CRISTAL QUIMICA DEL ECUADOR AGROCRISTAL C. LTDA.</t>
  </si>
  <si>
    <t>NAC-DNCOIOG16-00005491</t>
  </si>
  <si>
    <t>DZ8-GCERASV16-00000068-M</t>
  </si>
  <si>
    <t>0940187834001</t>
  </si>
  <si>
    <t>CRUZ JIMENEZ KEVIN RICARDO</t>
  </si>
  <si>
    <t>NAC-DNCOIOG16-00005327</t>
  </si>
  <si>
    <t>DZ8-GCERASN16-00000069-M</t>
  </si>
  <si>
    <t>0992494778001</t>
  </si>
  <si>
    <t>CUALIMERCADOS S.A.</t>
  </si>
  <si>
    <t>NAC-DNCOPEC16-00161763-M</t>
  </si>
  <si>
    <t>DZ8-GSORASV16-00000237-M</t>
  </si>
  <si>
    <t>0992803010001</t>
  </si>
  <si>
    <t>DAHLIATELL S.A.</t>
  </si>
  <si>
    <t>DZ8-GPNOGEV17-00000328-M</t>
  </si>
  <si>
    <t>DZ8-GPNRASV17-00000078-M</t>
  </si>
  <si>
    <t>0992651369001</t>
  </si>
  <si>
    <t>DARPEV S.A.</t>
  </si>
  <si>
    <t>DZ8-GPNOGEV17-00000204-M</t>
  </si>
  <si>
    <t>DZ8-GPNRASV17-00000178-M</t>
  </si>
  <si>
    <t>0992659017001</t>
  </si>
  <si>
    <t>DARSA S.A.</t>
  </si>
  <si>
    <t>NAC-DNCOPEC16-00161770-M</t>
  </si>
  <si>
    <t>DZ8-GPNRASV16-00000044-M</t>
  </si>
  <si>
    <t>1710850411001</t>
  </si>
  <si>
    <t>DAZA ROSADO HOLGER ARCADIO</t>
  </si>
  <si>
    <t>DZ8-GPNOGEC18-00000040-M</t>
  </si>
  <si>
    <t>DZ8-GPNRASC18-00000021-M</t>
  </si>
  <si>
    <t>0905391439001</t>
  </si>
  <si>
    <t>DE LA ESE CANALES MANUEL LORENZO</t>
  </si>
  <si>
    <t>NAC-DNCOIOG16-00005451</t>
  </si>
  <si>
    <t>DZ8-GCERASN16-00000070-M</t>
  </si>
  <si>
    <t>0992656808001</t>
  </si>
  <si>
    <t>DECORMULTI S.A.</t>
  </si>
  <si>
    <t>NAC-DNCOPEC16-00161718-M</t>
  </si>
  <si>
    <t>DZ8-GSORASV16-00000216-M</t>
  </si>
  <si>
    <t>0992648678001</t>
  </si>
  <si>
    <t>DELTAMOVIL S.A.</t>
  </si>
  <si>
    <t>NAC-DNCOPEC16-00161768-M</t>
  </si>
  <si>
    <t>DZ8-GSORASV16-00000239-M</t>
  </si>
  <si>
    <t>0992806540001</t>
  </si>
  <si>
    <t>DEPORTRADE S.A.</t>
  </si>
  <si>
    <t>NAC-DNCOPEC16-00161790-M</t>
  </si>
  <si>
    <t>DZ8-GSORASV16-00000124-M</t>
  </si>
  <si>
    <t>0992698276001</t>
  </si>
  <si>
    <t>DIARMALAD S.A.</t>
  </si>
  <si>
    <t>NAC-DNCOPEC16-00161972-M</t>
  </si>
  <si>
    <t>DZ8-GSORASV16-00000171-M</t>
  </si>
  <si>
    <t>0992969547001</t>
  </si>
  <si>
    <t>DIGITIERRA S.A</t>
  </si>
  <si>
    <t>DZ8-GPNOGEV17-00000189-M</t>
  </si>
  <si>
    <t>DZ8-GPNRASV17-00000149-M</t>
  </si>
  <si>
    <t>Empresa fantasma e inexistente - sociedad con actividades supuestas y/o transacciones inexistentes</t>
  </si>
  <si>
    <t>0992919302001</t>
  </si>
  <si>
    <t>DIGLEZA S. A.</t>
  </si>
  <si>
    <t>NAC-DNCOPEC16-00161682-M</t>
  </si>
  <si>
    <t>DZ8-GSORASV16-00000198-M</t>
  </si>
  <si>
    <t>0992647647001</t>
  </si>
  <si>
    <t>DISTRIBRISA S.A.</t>
  </si>
  <si>
    <t>NAC-DNCOPEC16-00161714-M</t>
  </si>
  <si>
    <t>DZ8-GSORASV16-00000212-M</t>
  </si>
  <si>
    <t>0992670185001</t>
  </si>
  <si>
    <t>DISTRIBUCIONES STORTELT S.A.</t>
  </si>
  <si>
    <t>NAC-DNCOPEC16-00161968-M</t>
  </si>
  <si>
    <t>DZ8-GSORASV16-00000169-M</t>
  </si>
  <si>
    <t>0992758775001</t>
  </si>
  <si>
    <t>DIVAFRONTY S.A.</t>
  </si>
  <si>
    <t>NAC-DNCOPEC16-00161980-M</t>
  </si>
  <si>
    <t>DZ8-GSORASV16-00000177-M</t>
  </si>
  <si>
    <t>0992722517001</t>
  </si>
  <si>
    <t>DIVINACOMPANY S.A.</t>
  </si>
  <si>
    <t>NAC-DNCOPEC16-00161668-M</t>
  </si>
  <si>
    <t>DZ8-GPNRASV16-00000030-M</t>
  </si>
  <si>
    <t>0992731478001</t>
  </si>
  <si>
    <t>DONOCOMPU &amp; SERVICES S.A.</t>
  </si>
  <si>
    <t>NAC-DNCOPEC16-00161669-M</t>
  </si>
  <si>
    <t>DZ8-GPNRASV16-00000014-M</t>
  </si>
  <si>
    <t>0992734779001</t>
  </si>
  <si>
    <t>DOSULTER S.A</t>
  </si>
  <si>
    <t>DZ8-GPNOGEV17-00000250-M</t>
  </si>
  <si>
    <t>DZ8-GSORASV17-00000039-M</t>
  </si>
  <si>
    <t>0992853433001</t>
  </si>
  <si>
    <t>DRAKTSU S.A.</t>
  </si>
  <si>
    <t>DZ8-GPNOGEV17-00000484-M</t>
  </si>
  <si>
    <t>DZ8-GPNRASV17-00000204-M</t>
  </si>
  <si>
    <t>Empresa inexistente, fantasma o sociedad que realiza actividades supuestas y/o transacciones inexistentes</t>
  </si>
  <si>
    <t>0992634766001</t>
  </si>
  <si>
    <t>DRASEKBA S.A.</t>
  </si>
  <si>
    <t>NAC-DNCOPEC16-00161713-M</t>
  </si>
  <si>
    <t>DZ8-GSORASV16-00000211-M</t>
  </si>
  <si>
    <t>0992474904001</t>
  </si>
  <si>
    <t>DREAMSPOWER S.A.</t>
  </si>
  <si>
    <t>NAC-DNCOPEC16-00161761-M</t>
  </si>
  <si>
    <t>DZ8-GSORASV16-00000299-M</t>
  </si>
  <si>
    <t>0992919108001</t>
  </si>
  <si>
    <t>DUFERRONI S. A.</t>
  </si>
  <si>
    <t>NAC-DNCOPEC16-00161738-M</t>
  </si>
  <si>
    <t>DZ8-GSORASV16-00000230-M</t>
  </si>
  <si>
    <t>0992272155001</t>
  </si>
  <si>
    <t>DUNATOS S.A.</t>
  </si>
  <si>
    <t>NAC-DNCOIOG16-00005314</t>
  </si>
  <si>
    <t>DZ8-GCERASV16-00000076-M</t>
  </si>
  <si>
    <t>0992444886001</t>
  </si>
  <si>
    <t>DUPOINTSA S.A.</t>
  </si>
  <si>
    <t>NAC-DNCOPEC16-00161817-M</t>
  </si>
  <si>
    <t>DZ8-GSORASV16-00000091-M</t>
  </si>
  <si>
    <t>0992733144001</t>
  </si>
  <si>
    <t>DUSCHER S.A.</t>
  </si>
  <si>
    <t>DZ8-GPNOGEV17-00000193-M</t>
  </si>
  <si>
    <t>DZ8-GPNRASV17-00000209-M</t>
  </si>
  <si>
    <t>1308031044001</t>
  </si>
  <si>
    <t>ECHEVERRIA ALCIVAR LUIS GREGORIO</t>
  </si>
  <si>
    <t>NAC-DNCOIOG16-00005379</t>
  </si>
  <si>
    <t>DZ8-GCERASN16-00000077-M</t>
  </si>
  <si>
    <t>109012018OGTN004364</t>
  </si>
  <si>
    <t>0992437472001</t>
  </si>
  <si>
    <t>ECUAMARVE S.A.</t>
  </si>
  <si>
    <t>NAC-DNCOPEC16-00161703-M</t>
  </si>
  <si>
    <t>DZ8-GSORASV16-00000303-M</t>
  </si>
  <si>
    <t>0992502908001</t>
  </si>
  <si>
    <t>ECUASESORES S.A.</t>
  </si>
  <si>
    <t>DZ8-GPNOIOV17-00000123-M</t>
  </si>
  <si>
    <t>DZ8-GPNRASV17-00000046-M</t>
  </si>
  <si>
    <t>0992810335001</t>
  </si>
  <si>
    <t>ECUFARONSA S.A.</t>
  </si>
  <si>
    <t>DZ8-GPNOGEC18-00000001-M</t>
  </si>
  <si>
    <t>DZ8-GPNRASC18-00000012-M</t>
  </si>
  <si>
    <t>0992668393001</t>
  </si>
  <si>
    <t>EDICONSAC S.A.</t>
  </si>
  <si>
    <t>NAC-DNCOIOG16-00005518</t>
  </si>
  <si>
    <t>DZ8-GSORASV16-00000360-M</t>
  </si>
  <si>
    <t>0992658835001</t>
  </si>
  <si>
    <t>EDUBEY S.A.</t>
  </si>
  <si>
    <t>NAC-DNCOPEC16-00161900-M</t>
  </si>
  <si>
    <t>DZ8-GSORASV16-00000136-M</t>
  </si>
  <si>
    <t>0992336528001</t>
  </si>
  <si>
    <t>ELECTRO DATE S.A. ELECDAT</t>
  </si>
  <si>
    <t>DZ8-GPNOGEV17-00000240-M</t>
  </si>
  <si>
    <t>DZ8-GSORASV17-00000031-M</t>
  </si>
  <si>
    <t>0992698357001</t>
  </si>
  <si>
    <t>ELITESUPER S.A.</t>
  </si>
  <si>
    <t>NAC-DNCOPEC16-00161845-M</t>
  </si>
  <si>
    <t>DZ8-GPNRASV16-00000031-M</t>
  </si>
  <si>
    <t>0991357491001</t>
  </si>
  <si>
    <t>EMPOLI S.A. EN LIQUIDACION</t>
  </si>
  <si>
    <t>NAC-DNCOPEC16-00161539-M</t>
  </si>
  <si>
    <t>DZ8-GCERASV16-00000004-M</t>
  </si>
  <si>
    <t>0992769114001</t>
  </si>
  <si>
    <t>EMULOCOP S A</t>
  </si>
  <si>
    <t>NAC-DNCOPEC16-00161780-M</t>
  </si>
  <si>
    <t>DZ8-GSORASV16-00000246-M</t>
  </si>
  <si>
    <t>0992777257001</t>
  </si>
  <si>
    <t>ENCUSPID S.A.</t>
  </si>
  <si>
    <t>NAC-DNCOPEC16-00161613-M</t>
  </si>
  <si>
    <t>DZ8-GCERASV16-00000041-M</t>
  </si>
  <si>
    <t>0992706899001</t>
  </si>
  <si>
    <t>ENERTECNO S.A.</t>
  </si>
  <si>
    <t>NAC-DNCOPEC16-00161847-M</t>
  </si>
  <si>
    <t>DZ8-GPNRASV16-00000050-M</t>
  </si>
  <si>
    <t>0993011908001</t>
  </si>
  <si>
    <t>ENGINEERING BISS S.A.</t>
  </si>
  <si>
    <t>DZ8-GPNOGEI17-00000625-M</t>
  </si>
  <si>
    <t>DZ8-GPNRASI17-00000235-M</t>
  </si>
  <si>
    <t>0992798882001</t>
  </si>
  <si>
    <t>ESCABELSA S. A.</t>
  </si>
  <si>
    <t>DZ8-GPNOGEC19-00000010-M</t>
  </si>
  <si>
    <t>DZ8-GPNRASC19-00000031-M</t>
  </si>
  <si>
    <t>1304964172001</t>
  </si>
  <si>
    <t>ESPINALES CABEZAS FREDDY ENRIQUE</t>
  </si>
  <si>
    <t>DZ8-GPNOGEO17-00000296-M</t>
  </si>
  <si>
    <t>DZ8-GPNRASN17-00000053-M</t>
  </si>
  <si>
    <t>0992674083001</t>
  </si>
  <si>
    <t>ESTELARMISION S.A.</t>
  </si>
  <si>
    <t>NAC-DNCOPEC16-00161903-M</t>
  </si>
  <si>
    <t>DZ8-GSORASV16-00000138-M</t>
  </si>
  <si>
    <t>0992734310001</t>
  </si>
  <si>
    <t>ESTIBAOCHOA S.A.</t>
  </si>
  <si>
    <t>NAC-DNCOPEC16-00161975-M</t>
  </si>
  <si>
    <t>DZ8-GSORASV16-00000173-M</t>
  </si>
  <si>
    <t>0992791942001</t>
  </si>
  <si>
    <t>EXVINTEX S.A.</t>
  </si>
  <si>
    <t>NAC-DNCOIOG16-00005495</t>
  </si>
  <si>
    <t>DZ8-GSORASV16-00000361-M</t>
  </si>
  <si>
    <t>0992817712001</t>
  </si>
  <si>
    <t>EXYUNIXA S.A.</t>
  </si>
  <si>
    <t>DZ8-GPNOGEV17-00000477-M</t>
  </si>
  <si>
    <t>DZ8-GPNRASV17-00000202-M</t>
  </si>
  <si>
    <t>0992817178001</t>
  </si>
  <si>
    <t>FACECONSTRU S.A.</t>
  </si>
  <si>
    <t>NAC-DNCOPEC16-00161861-M</t>
  </si>
  <si>
    <t>DZ8-GSORASV16-00000127-M</t>
  </si>
  <si>
    <t>0992705752001</t>
  </si>
  <si>
    <t>FAENZACORP S.A.</t>
  </si>
  <si>
    <t>NAC-DNCOPEC16-00161559-M</t>
  </si>
  <si>
    <t>DZ8-GCERASV16-00000014-M</t>
  </si>
  <si>
    <t>0992487127001</t>
  </si>
  <si>
    <t>FARMAOFERTAS S.A.</t>
  </si>
  <si>
    <t>NAC-DNCOPEC16-00161818-M</t>
  </si>
  <si>
    <t>DZ8-GSORASV16-00000094-M</t>
  </si>
  <si>
    <t>0992787902001</t>
  </si>
  <si>
    <t>FAROMASTER S.A.</t>
  </si>
  <si>
    <t>NAC-DNCOPEC16-00161913-M</t>
  </si>
  <si>
    <t>DZ8-GSORASV16-00000143-M</t>
  </si>
  <si>
    <t>0992952865001</t>
  </si>
  <si>
    <t>FERGROUP S.A.</t>
  </si>
  <si>
    <t>DZ8-GPNOPEC18-00000033-M</t>
  </si>
  <si>
    <t>DZ8-GPNRASC18-00000025-M</t>
  </si>
  <si>
    <t>0992537175001</t>
  </si>
  <si>
    <t>FERRAMCON S.A.</t>
  </si>
  <si>
    <t>NAC-DNCOPEC16-00161891-M</t>
  </si>
  <si>
    <t>DZ8-GSORASV16-00000275-M</t>
  </si>
  <si>
    <t>0992867310001</t>
  </si>
  <si>
    <t>FERRETERIAS UNIDAS DEL ECUADOR S.A. FERUNECSA</t>
  </si>
  <si>
    <t>NAC-DNCOPEC16-00161987-M</t>
  </si>
  <si>
    <t>DZ8-GSORASV16-00000184-M</t>
  </si>
  <si>
    <t>0992662735001</t>
  </si>
  <si>
    <t>FERRETONAL FERRETERIA Y ALQUILER DE EQUIPOS S.A.</t>
  </si>
  <si>
    <t>NAC-DNCOPEC16-00161838-M</t>
  </si>
  <si>
    <t>DZ8-GSORASV16-00000292-M</t>
  </si>
  <si>
    <t>0992380276001</t>
  </si>
  <si>
    <t>FERRICONSA S.A.</t>
  </si>
  <si>
    <t>NAC-DNCOPEC16-00161588-M</t>
  </si>
  <si>
    <t>DZ8-GCERASV16-00000025-M</t>
  </si>
  <si>
    <t>0992737840001</t>
  </si>
  <si>
    <t>FERRYFRIENDS S.A.</t>
  </si>
  <si>
    <t>DZ8-GPNOGEV17-00000253-M</t>
  </si>
  <si>
    <t>DZ8-GSORASV17-00000042-M</t>
  </si>
  <si>
    <t xml:space="preserve"> Empresa fantasma o supuesta.</t>
  </si>
  <si>
    <t>0992875674001</t>
  </si>
  <si>
    <t>FESINSOJE S.A.</t>
  </si>
  <si>
    <t>DZ8-GPNOGEC19-00000032-M</t>
  </si>
  <si>
    <t>DZ8-GPNRASC19-00000045-M</t>
  </si>
  <si>
    <t>0992791527001</t>
  </si>
  <si>
    <t>FITOEXPORT S.A.</t>
  </si>
  <si>
    <t>NAC-DNCOIOG16-00005483</t>
  </si>
  <si>
    <t>DZ8-GSORASV16-00000362-M</t>
  </si>
  <si>
    <t>0992919124001</t>
  </si>
  <si>
    <t>FLIPLAST S.A.</t>
  </si>
  <si>
    <t>DZ8-GPNOGEV17-00000097-M</t>
  </si>
  <si>
    <t>DZ8-GPNRASV17-00000059-M</t>
  </si>
  <si>
    <t>0992474211001</t>
  </si>
  <si>
    <t>FLOGOMIA S.A.</t>
  </si>
  <si>
    <t>DZ8-GPNOIOE17-00000124-M</t>
  </si>
  <si>
    <t>DZ8-GPNRASE17-00000045-M</t>
  </si>
  <si>
    <t>1715588198001</t>
  </si>
  <si>
    <t>FLORENCIA MEDINA CARLOS SEGUNDO</t>
  </si>
  <si>
    <t>DZ8-GPNOGEO17-00000584-M</t>
  </si>
  <si>
    <t>DZ8-GPNRASO17-00000237-M</t>
  </si>
  <si>
    <t>0923729198001</t>
  </si>
  <si>
    <t>FLORES BARROSO ANA ELIZABETH</t>
  </si>
  <si>
    <t>NAC-DNCOIOG16-00005325</t>
  </si>
  <si>
    <t>DZ8-GSORASV16-00000363-M</t>
  </si>
  <si>
    <t>0992711167001</t>
  </si>
  <si>
    <t>FNG PROYECTOS S.A.</t>
  </si>
  <si>
    <t>NAC-DNCOIOG16-00005516</t>
  </si>
  <si>
    <t>DZ8-GSORASV16-00000364-M</t>
  </si>
  <si>
    <t>0992758562001</t>
  </si>
  <si>
    <t>FORTZELTA S.A.</t>
  </si>
  <si>
    <t>NAC-DNCOPEC16-00161671-M</t>
  </si>
  <si>
    <t>DZ8-GSORASV16-00000192-M</t>
  </si>
  <si>
    <t>0992236175001</t>
  </si>
  <si>
    <t>FROSTICORP S.A.</t>
  </si>
  <si>
    <t>NAC-DNCOIOG16-00005315</t>
  </si>
  <si>
    <t>DZ8-GSORASV16-00000373-M</t>
  </si>
  <si>
    <t>0992659831001</t>
  </si>
  <si>
    <t>FUENTESTELAR S A</t>
  </si>
  <si>
    <t>NAC-DNCOPEC16-00161771-M</t>
  </si>
  <si>
    <t>DZ8-GSORASV16-00000240-M</t>
  </si>
  <si>
    <t>0992786639001</t>
  </si>
  <si>
    <t>FUITMELT S. A.</t>
  </si>
  <si>
    <t>NAC-DNCOPEC16-00161732-M</t>
  </si>
  <si>
    <t>DZ8-GSORASV16-00000226-M</t>
  </si>
  <si>
    <t>0906778741001</t>
  </si>
  <si>
    <t>GARCIA CALLE MARIO LORENZO</t>
  </si>
  <si>
    <t>DZ8-GPNOPEC18-00000025-M</t>
  </si>
  <si>
    <t>DZ8-GPNRASC19-00000062-M</t>
  </si>
  <si>
    <t>0902158310001</t>
  </si>
  <si>
    <t>GARCIA MINDA JULIA JACINTA</t>
  </si>
  <si>
    <t>NAC-DNCOIOG16-00005415</t>
  </si>
  <si>
    <t>DZ8-GSORASN16-00000374-M</t>
  </si>
  <si>
    <t>0992534001001</t>
  </si>
  <si>
    <t>GENIALMANIA S.A.</t>
  </si>
  <si>
    <t>NAC-DNCOPEC16-00161704-M</t>
  </si>
  <si>
    <t>DZ8-GSORASV16-00000206-M</t>
  </si>
  <si>
    <t>0992791322001</t>
  </si>
  <si>
    <t>GENSCORP S.A</t>
  </si>
  <si>
    <t>DZ8-GPNOGEV17-00000215-M</t>
  </si>
  <si>
    <t>DZ8-GPNRASV17-00000179-M</t>
  </si>
  <si>
    <t>0992290269001</t>
  </si>
  <si>
    <t>GETIL S.A.</t>
  </si>
  <si>
    <t>DZ8-GPNOGEV17-00000114-M</t>
  </si>
  <si>
    <t>DZ8-GPNRASV17-00000060-M</t>
  </si>
  <si>
    <t>0992902116001</t>
  </si>
  <si>
    <t>GLOBALCOMUNICATION S.A.</t>
  </si>
  <si>
    <t>DZ8-GPNOGEV17-00000094-M</t>
  </si>
  <si>
    <t>DZ8-GPNRASV17-00000061-M</t>
  </si>
  <si>
    <t>0903472173001</t>
  </si>
  <si>
    <t>GOMEZ ROSARIO MARIA</t>
  </si>
  <si>
    <t>DZ8-GPNOGEN17-00000264-M</t>
  </si>
  <si>
    <t>DZ8-GSORASN17-00000049-M</t>
  </si>
  <si>
    <t>1712106069001</t>
  </si>
  <si>
    <t>GOMEZ TORRES EDWIN AURELIANO</t>
  </si>
  <si>
    <t>NAC-DNCOIOG16-00005339</t>
  </si>
  <si>
    <t>DZ8-GSORASN16-00000375-M</t>
  </si>
  <si>
    <t>0992512032001</t>
  </si>
  <si>
    <t>GOTOCONSTRU S.A.</t>
  </si>
  <si>
    <t>NAC-DNCOPEC16-00161825-M</t>
  </si>
  <si>
    <t>DZ8-GPNRASV16-00000041-M</t>
  </si>
  <si>
    <t>0992920068001</t>
  </si>
  <si>
    <t>GRANITOCONST S.A.</t>
  </si>
  <si>
    <t>DZ8-GPNOGEC18-00000016-M</t>
  </si>
  <si>
    <t>DZ8-GPNRASC18-00000016-M</t>
  </si>
  <si>
    <t>0992663049001</t>
  </si>
  <si>
    <t>GROQUIL S.A.</t>
  </si>
  <si>
    <t>NAC-DNCOPEC16-00161966-M</t>
  </si>
  <si>
    <t>DZ8-GSORASV16-00000167-M</t>
  </si>
  <si>
    <t>0993005444001</t>
  </si>
  <si>
    <t>GROUPCONST S.A.</t>
  </si>
  <si>
    <t>DZ8-GPNOGEI17-00000546-M</t>
  </si>
  <si>
    <t>DZ8-GPNRASV17-00000180-M</t>
  </si>
  <si>
    <t>0992465344001</t>
  </si>
  <si>
    <t>GRUPHAP S.A.</t>
  </si>
  <si>
    <t>NAC-DNCOPEC16-00161759-M</t>
  </si>
  <si>
    <t>DZ8-GSORASV16-00000235-M</t>
  </si>
  <si>
    <t>0991333053001</t>
  </si>
  <si>
    <t>GRUPO EL TITAN S.A. GRUTITAN</t>
  </si>
  <si>
    <t>NAC-DNCOPEC16-00161803-M</t>
  </si>
  <si>
    <t>DZ8-GSORASV16-00000076-M</t>
  </si>
  <si>
    <t>0992951192001</t>
  </si>
  <si>
    <t>GRUPOFERCONST S.A.</t>
  </si>
  <si>
    <t>DZ8-GPNOGEC19-00000006-M</t>
  </si>
  <si>
    <t>DZ8-GPNRASC19-00000034-M</t>
  </si>
  <si>
    <t>0992765259001</t>
  </si>
  <si>
    <t>GUAYASPRODUCERT S.A.</t>
  </si>
  <si>
    <t>DZ8-GSOOPEC18-00000006-M</t>
  </si>
  <si>
    <t>DZ8-GSORASC18-00000006-M</t>
  </si>
  <si>
    <t>0923843494001</t>
  </si>
  <si>
    <t>GUERRERO GOMEZ MARTIN MIGUEL</t>
  </si>
  <si>
    <t>NAC-DNCOIOG16-00005372</t>
  </si>
  <si>
    <t>DZ8-GSORASO16-00000382-M</t>
  </si>
  <si>
    <t>NAC-RRRRRVC20-00000379</t>
  </si>
  <si>
    <t>DZ8-GSOOIOO17-00000190-M</t>
  </si>
  <si>
    <t>0926715376001</t>
  </si>
  <si>
    <t>GUERRERO QUINTANA RIGOBERTO JOSE</t>
  </si>
  <si>
    <t>DZ8-GPNOGEC19-00000053-M</t>
  </si>
  <si>
    <t>DZ8-GPNRASC19-00000046-M</t>
  </si>
  <si>
    <t>0992413255001</t>
  </si>
  <si>
    <t>GUMONT DEL ECUADOR S.A.</t>
  </si>
  <si>
    <t>NAC-DNCOPEC16-00161814-M</t>
  </si>
  <si>
    <t>DZ8-GSORASV16-00000089-M</t>
  </si>
  <si>
    <t>0920419884001</t>
  </si>
  <si>
    <t>GUTIERREZ ORDOÑEZ JULIO CESAR</t>
  </si>
  <si>
    <t>DZ8-GPNOGEC19-00000015-M</t>
  </si>
  <si>
    <t>DZ8-GPNRASC19-0000007-M</t>
  </si>
  <si>
    <t>0920644549001</t>
  </si>
  <si>
    <t>HENRIQUEZ AGUAYO ELAYNE DANIELA</t>
  </si>
  <si>
    <t>DZ8-GPNOGEI17-00000568-M</t>
  </si>
  <si>
    <t>DZ8-GSORASV17-00000074-M</t>
  </si>
  <si>
    <t>0907766893001</t>
  </si>
  <si>
    <t>HERNANDEZ AVILES PEDRO MARCELINO</t>
  </si>
  <si>
    <t>NAC-DNCOIOG16-00005414</t>
  </si>
  <si>
    <t>DZ8-GSORASN16-00000368-M</t>
  </si>
  <si>
    <t>0926384918001</t>
  </si>
  <si>
    <t>HERNANDEZ CRESPO JHONNY ANTONIO</t>
  </si>
  <si>
    <t>NAC-DNCOIOG16-00005355</t>
  </si>
  <si>
    <t>DZ8-GSORASN16-00000369-M</t>
  </si>
  <si>
    <t>0926707803001</t>
  </si>
  <si>
    <t>HERNANDEZ VARGAS VIVIANA VIRGINIA</t>
  </si>
  <si>
    <t>DZ8-GPNOGEN17-00000636-M</t>
  </si>
  <si>
    <t>DZ8-GPNRASN17-00000226-M</t>
  </si>
  <si>
    <t>0917921116001</t>
  </si>
  <si>
    <t>HERRERA LUNA MONICA JOHANNA</t>
  </si>
  <si>
    <t>NAC-DNCOIOG16-00005396</t>
  </si>
  <si>
    <t>DZ8-GSORASN16-00000370-M</t>
  </si>
  <si>
    <t>0992836016001</t>
  </si>
  <si>
    <t>HIDRATALEXA</t>
  </si>
  <si>
    <t>DZ8-GPNOGEV17-00000634-M</t>
  </si>
  <si>
    <t>DZ8-GPNRASV17-00000224-M</t>
  </si>
  <si>
    <t>0992183322001</t>
  </si>
  <si>
    <t>HIERROS Y HORMIGONES FERMIGON S.A.</t>
  </si>
  <si>
    <t>DZ8-GSOOPEC18-00000008-M</t>
  </si>
  <si>
    <t>DZ8-GPNRASC19-00000044-M</t>
  </si>
  <si>
    <t>0992684739001</t>
  </si>
  <si>
    <t>HIGHSTRATEGY S.A.</t>
  </si>
  <si>
    <t>NAC-DNCOPEC16-00161723-M</t>
  </si>
  <si>
    <t>DZ8-GSORASV16-00000221-M</t>
  </si>
  <si>
    <t>0992713992001</t>
  </si>
  <si>
    <t>HILARYCORP S.A. EN LIQUIDACION</t>
  </si>
  <si>
    <t>NAC-DNCOIOG16-00005498</t>
  </si>
  <si>
    <t>DZ8-GSORASV16-00000377-M</t>
  </si>
  <si>
    <t>0992944706001</t>
  </si>
  <si>
    <t>HOMECONSTRU S.A.</t>
  </si>
  <si>
    <t>NAC-DNCOPEC16-00161792-M</t>
  </si>
  <si>
    <t>DZ8-GSORASV16-00000131-M</t>
  </si>
  <si>
    <t>0992792272001</t>
  </si>
  <si>
    <t>IFRAME S.A.</t>
  </si>
  <si>
    <t>DZ8-GPNOGEV17-00000468-M</t>
  </si>
  <si>
    <t>DZ8-GPNRASV17-00000200-M</t>
  </si>
  <si>
    <t>0992477369001</t>
  </si>
  <si>
    <t>ILYXCORP S.A.</t>
  </si>
  <si>
    <t>NAC-DNCOPEC16-00161951-M</t>
  </si>
  <si>
    <t>DZ8-GSORASV16-00000158-M</t>
  </si>
  <si>
    <t>0992840927001</t>
  </si>
  <si>
    <t xml:space="preserve">IMAGINCORP S.A. </t>
  </si>
  <si>
    <t>DZ8-GPNOGEV17-00000243-M</t>
  </si>
  <si>
    <t>DZ8-GSORASV17-00000033-M</t>
  </si>
  <si>
    <t>0992650966001</t>
  </si>
  <si>
    <t>IMPORGROMA S.A.</t>
  </si>
  <si>
    <t>NAC-DNCOPEC16-00161716-M</t>
  </si>
  <si>
    <t>DZ8-GSORASV16-00000214-M</t>
  </si>
  <si>
    <t>0992737360001</t>
  </si>
  <si>
    <t>IMPORTACIONES &amp; EXPORTACIONES EVENGLOBAL S.A.</t>
  </si>
  <si>
    <t>DZ8-GPNOGEV17-00000251-M</t>
  </si>
  <si>
    <t>DZ8-GSORASV17-00000040-M</t>
  </si>
  <si>
    <t>0992962151001</t>
  </si>
  <si>
    <t>IMPORTADORA DE FRUTAS JOVIFRUSA S.A.</t>
  </si>
  <si>
    <t>DZ8-GPNOGEV17-00000229-M</t>
  </si>
  <si>
    <t>DZ8-GSORASV17-00000027-M</t>
  </si>
  <si>
    <t>0992810246001</t>
  </si>
  <si>
    <t>IMPORTADORA GUTIERREZ ELVAY S.A. IMPOGUVAY</t>
  </si>
  <si>
    <t>DZ8-GPNOGEC19-00000025-M</t>
  </si>
  <si>
    <t xml:space="preserve"> DZ8-GPNRASC19-00000005-M</t>
  </si>
  <si>
    <t>0993034096001</t>
  </si>
  <si>
    <t>IMPORTSOLS S.A.</t>
  </si>
  <si>
    <t>DZ8-GPNOGEU17-00000643-M</t>
  </si>
  <si>
    <t>DZ8-GPNRASU17-00000227-M</t>
  </si>
  <si>
    <t>0992495065001</t>
  </si>
  <si>
    <t>IMPORVERAZ S.A.</t>
  </si>
  <si>
    <t>NAC-DNCOPEC16-00161648-M</t>
  </si>
  <si>
    <t>DZ8-GCERASV16-00000050-M</t>
  </si>
  <si>
    <t>0992988142001</t>
  </si>
  <si>
    <t>INDUSTRIA CONSTRUCTORA SUPERDIESEL MIRANDA SUPERMIRANDA S.A</t>
  </si>
  <si>
    <t>DZ8-GPNOGEC19-00000048-M</t>
  </si>
  <si>
    <t>DZ8-GPNRASC19-00000030-M</t>
  </si>
  <si>
    <t>0992651253001</t>
  </si>
  <si>
    <t>INDUSTURSA S.A.</t>
  </si>
  <si>
    <t>NAC-DNCOPEC16-00161897-M</t>
  </si>
  <si>
    <t>DZ8-GSORASV16-00000134-M</t>
  </si>
  <si>
    <t>0992270802001</t>
  </si>
  <si>
    <t>INDUTECH S.A.</t>
  </si>
  <si>
    <t>NAC-DNCOIOG16-00005489</t>
  </si>
  <si>
    <t>DZ8-GSORASV16-00000357-M</t>
  </si>
  <si>
    <t>0992830387001</t>
  </si>
  <si>
    <t>INMAFORTA S.A.</t>
  </si>
  <si>
    <t>DZ8-GPNOGEV17-00000244-M</t>
  </si>
  <si>
    <t>DZ8-GSORASV17-00000034-M</t>
  </si>
  <si>
    <t>0993005584001</t>
  </si>
  <si>
    <t>INMOCONSTS S.A.</t>
  </si>
  <si>
    <t>DZ8-GPNOGEI17-00000547-M</t>
  </si>
  <si>
    <t>DZ8-GPNRASV17-00000181-M</t>
  </si>
  <si>
    <t>Sociedad con actividades supuestas y/o transacciones inexistentes</t>
  </si>
  <si>
    <t>0992651261001</t>
  </si>
  <si>
    <t>INMOKLASE S.A.</t>
  </si>
  <si>
    <t>NAC-DNCOIOG16-00005503</t>
  </si>
  <si>
    <t>DZ8-GSORASV16-00000371-M</t>
  </si>
  <si>
    <t>0992297050001</t>
  </si>
  <si>
    <t>INMOPACIFICO S.A.</t>
  </si>
  <si>
    <t>NAC-DNCOPEC16-00161809-M</t>
  </si>
  <si>
    <t>DZ8-GSORASV16-00000084-M</t>
  </si>
  <si>
    <t>0992951184001</t>
  </si>
  <si>
    <t>INPROCLEAN S.A.</t>
  </si>
  <si>
    <t>DZ8-GPNOGEC19-00000042-M</t>
  </si>
  <si>
    <t>DZ8-GSORASC19-00000002-M</t>
  </si>
  <si>
    <t>0991465685001</t>
  </si>
  <si>
    <t>INSERMATICA S.A.</t>
  </si>
  <si>
    <t>NAC-DNCOPEC16-00161804-M</t>
  </si>
  <si>
    <t>DZ8-GPNRASV16-00000039-M</t>
  </si>
  <si>
    <t>0992589256001</t>
  </si>
  <si>
    <t>INSTALASA TECNOFIRE S.A. (INSTECNO)</t>
  </si>
  <si>
    <t>NAC-DNCOPEC16-00161830-M</t>
  </si>
  <si>
    <t>DZ8-GSORASV16-00000102-M</t>
  </si>
  <si>
    <t>0992628081001</t>
  </si>
  <si>
    <t>INTECNOLOGSA S.A</t>
  </si>
  <si>
    <t>DZ8-GSOOPEC18-00000011-M</t>
  </si>
  <si>
    <t>DZ8-GSORASC18-00000004-M</t>
  </si>
  <si>
    <t>0992253738001</t>
  </si>
  <si>
    <t>INTEGRATED SERVICES ISSA S.A.</t>
  </si>
  <si>
    <t>NAC-DNCOPEC16-00161940-M</t>
  </si>
  <si>
    <t>DZ8-GPNRASV16-00000032-M</t>
  </si>
  <si>
    <t>0992724943001</t>
  </si>
  <si>
    <t>INTERBACON S.A.</t>
  </si>
  <si>
    <t>DZ8-GPNOGEV17-00000448-M</t>
  </si>
  <si>
    <t>DZ8-GPNRASV17-00000135-M</t>
  </si>
  <si>
    <t>0992660449001</t>
  </si>
  <si>
    <t>INTERBYTE S.A.</t>
  </si>
  <si>
    <t>NAC-DNCOPEC16-00161837-M</t>
  </si>
  <si>
    <t>DZ8-GSORASV16-00000108-M</t>
  </si>
  <si>
    <t>0992755679001</t>
  </si>
  <si>
    <t>INTERMAYOR S.A.</t>
  </si>
  <si>
    <t>NAC-DNCOPEC16-00161610-M</t>
  </si>
  <si>
    <t>DZ8-GCERASV16-00000038-M</t>
  </si>
  <si>
    <t>0992517301001</t>
  </si>
  <si>
    <t>INTERPER S.A.</t>
  </si>
  <si>
    <t>NAC-DNCOPEC16-00161765-M</t>
  </si>
  <si>
    <t>DZ8-GSORASV16-00000305-M</t>
  </si>
  <si>
    <t>0992139587001</t>
  </si>
  <si>
    <t>INVERTEL S.A.</t>
  </si>
  <si>
    <t>NAC-DNCOPEC16-00161638-M</t>
  </si>
  <si>
    <t>DZ8-GSORASV16-00000301-M</t>
  </si>
  <si>
    <t>0917094849001</t>
  </si>
  <si>
    <t>ITURRALDE ROSALES YOLANDA ELIZABETH</t>
  </si>
  <si>
    <t>NAC-DNCOIOG16-00005369</t>
  </si>
  <si>
    <t>DZ8-GSORASO16-00000378-M</t>
  </si>
  <si>
    <t>0906504659001</t>
  </si>
  <si>
    <t>JIMENEZ RUGEL JULIO CESAR</t>
  </si>
  <si>
    <t>NAC-DNCOPEC16-00161802-M</t>
  </si>
  <si>
    <t>DZ8-GSORASN16-00000074-M</t>
  </si>
  <si>
    <t>0929717320001</t>
  </si>
  <si>
    <t>JORDAN VITE KARLA LISSETTE</t>
  </si>
  <si>
    <t>NAC-DNCOIOG16-00005382</t>
  </si>
  <si>
    <t>DZ8-GSORASN16-00000385-M</t>
  </si>
  <si>
    <t>0992754826001</t>
  </si>
  <si>
    <t>JUNIORCIA S.A.</t>
  </si>
  <si>
    <t>NAC-DNCOIOG16-00005502</t>
  </si>
  <si>
    <t>DZ8-GPNRASV16-00000083-M</t>
  </si>
  <si>
    <t>0992760133001</t>
  </si>
  <si>
    <t>JUPREXPORT S.A.</t>
  </si>
  <si>
    <t>NAC-DNCOPEC16-00161908-M</t>
  </si>
  <si>
    <t>DZ8-GPNRASV16-00000033-M</t>
  </si>
  <si>
    <t>0992783958001</t>
  </si>
  <si>
    <t>JUSTIGLOBAL S.A.</t>
  </si>
  <si>
    <t>DZ8-GPNOGEV17-00000212-M</t>
  </si>
  <si>
    <t>DZ8-GPNRASV17-00000167-M</t>
  </si>
  <si>
    <t>0992667826001</t>
  </si>
  <si>
    <t>KALEVIS S.A.</t>
  </si>
  <si>
    <t>NAC-DNCOPEC16-00161773-M</t>
  </si>
  <si>
    <t>DZ8-GSORASV16-00000242-M</t>
  </si>
  <si>
    <t>0992790059001</t>
  </si>
  <si>
    <t>KALISPEL S.A.</t>
  </si>
  <si>
    <t>NAC-DNCOPEC16-00161786-M</t>
  </si>
  <si>
    <t>DZ8-GSORASV16-00000119-M</t>
  </si>
  <si>
    <t>0992862726001</t>
  </si>
  <si>
    <t>KAPRIKEN S.A.</t>
  </si>
  <si>
    <t>NAC-DNCOPEC16-00161864-M</t>
  </si>
  <si>
    <t>DZ8-GSORASV16-00000129-M</t>
  </si>
  <si>
    <t>0992800992001</t>
  </si>
  <si>
    <t>KELIROSCH S. A.</t>
  </si>
  <si>
    <t>NAC-DNCOPEC16-00161915-M</t>
  </si>
  <si>
    <t>DZ8-GSORASV16-00000145-M</t>
  </si>
  <si>
    <t>0992456507001</t>
  </si>
  <si>
    <t>KENANCORP S.A.</t>
  </si>
  <si>
    <t>NAC-DNCOPEC16-00161949-M</t>
  </si>
  <si>
    <t>DZ8-GSORASV16-00000157-M</t>
  </si>
  <si>
    <t>0992487674001</t>
  </si>
  <si>
    <t>KENDOGROUP S.A.</t>
  </si>
  <si>
    <t>NAC-DNCOPEC16-00161551-M</t>
  </si>
  <si>
    <t>DZ8-GPNRASV16-00000011-M</t>
  </si>
  <si>
    <t>0992448180001</t>
  </si>
  <si>
    <t>KINGCOMPANY S.A.</t>
  </si>
  <si>
    <t>DZ8-GPNOGEV17-00000199-M</t>
  </si>
  <si>
    <t>DZ8-GPNRASV17-00000182-M</t>
  </si>
  <si>
    <t>0992305274001</t>
  </si>
  <si>
    <t>KLIMEX S.A.</t>
  </si>
  <si>
    <t>DZ8-GSOOPEC18-00000002-M</t>
  </si>
  <si>
    <t>DZ8-GSORASC18-00000003-M</t>
  </si>
  <si>
    <t>0992806346001</t>
  </si>
  <si>
    <t>KOMERZETY S.A.</t>
  </si>
  <si>
    <t>NAC-DNCOPEC16-00161858-M</t>
  </si>
  <si>
    <t>DZ8-GSORASV16-00000123-M</t>
  </si>
  <si>
    <t>0992741805001</t>
  </si>
  <si>
    <t>KRASIMIR S.A.</t>
  </si>
  <si>
    <t>DZ8-GPNOGEC18-00000012-M</t>
  </si>
  <si>
    <t>DZ8-GPNRASC18-00000008-M</t>
  </si>
  <si>
    <t>0992987898001</t>
  </si>
  <si>
    <t>KREALOCORP S.A.</t>
  </si>
  <si>
    <t>DZ8-GPNOGEI17-00000169-M</t>
  </si>
  <si>
    <t>DZ8-GSORASV17-00000096-M</t>
  </si>
  <si>
    <t>0992899050001</t>
  </si>
  <si>
    <t>LABORMEDEN S.A.</t>
  </si>
  <si>
    <t>DZ8-GPNOGEC19-00000023-M</t>
  </si>
  <si>
    <t>DZ8-GPNRASC19-00000011-M</t>
  </si>
  <si>
    <t>0992329114001</t>
  </si>
  <si>
    <t>LANCOT S.A.</t>
  </si>
  <si>
    <t>NAC-DNCOPEC16-00161585-M</t>
  </si>
  <si>
    <t>DZ8-GCERASV16-00000023-M</t>
  </si>
  <si>
    <t>0992400927001</t>
  </si>
  <si>
    <t>LANDERGROUP &amp; CIA S.A.</t>
  </si>
  <si>
    <t>NAC-DNCOPEC16-00161813-M</t>
  </si>
  <si>
    <t>DZ8-GSORASV16-00000087-M</t>
  </si>
  <si>
    <t>Empresa inexistente / fantasma o supuesta / sociedad con actividades supuestas / transacciones inexistentes.</t>
  </si>
  <si>
    <t>0703956698001</t>
  </si>
  <si>
    <t>LARGO OCHOA KLEBER ENRIQUE</t>
  </si>
  <si>
    <t>NAC-DNCOIOG16-00005383</t>
  </si>
  <si>
    <t>DZ8-GPNRASN16-00000084-M</t>
  </si>
  <si>
    <t>0992683880001</t>
  </si>
  <si>
    <t>LASTSOFTWARE S.A.</t>
  </si>
  <si>
    <t>NAC-DNCOPEC16-00161844-M</t>
  </si>
  <si>
    <t>DZ8-GSORASV16-00000112-M</t>
  </si>
  <si>
    <t>0992609966001</t>
  </si>
  <si>
    <t>LATINFACTOR S.A.</t>
  </si>
  <si>
    <t>DZ8-GPNOGEV17-00000436-M</t>
  </si>
  <si>
    <t>DZ8-GPNRASV17-00000123-M</t>
  </si>
  <si>
    <t>0992809922001</t>
  </si>
  <si>
    <t>LAVAGANAP S.A.</t>
  </si>
  <si>
    <t>DZ8-GPNOGEC18-00000044-M</t>
  </si>
  <si>
    <t>DZ8-GPNRASC18-00000018-M</t>
  </si>
  <si>
    <t>0992793686001</t>
  </si>
  <si>
    <t>LAVIÑACORP S.A.</t>
  </si>
  <si>
    <t>NAC-DNCOPEC16-00161982-M</t>
  </si>
  <si>
    <t>DZ8-GSORASV16-00000179-M</t>
  </si>
  <si>
    <t>0992659645001</t>
  </si>
  <si>
    <t>LEBEDEC S.A.</t>
  </si>
  <si>
    <t>NAC-DNCOPEC16-00161901-M</t>
  </si>
  <si>
    <t>DZ8-GPNRASV16-00000021-M</t>
  </si>
  <si>
    <t>0992845023001</t>
  </si>
  <si>
    <t>LEISTUNG S.A.</t>
  </si>
  <si>
    <t>DZ8-GPNOGEV17-00000481-M</t>
  </si>
  <si>
    <t>DZ8-GPNRASV17-00000203-M</t>
  </si>
  <si>
    <t>0992790911001</t>
  </si>
  <si>
    <t>LEJLEJA S.A.</t>
  </si>
  <si>
    <t>NAC-DNCOIOG16-00005494</t>
  </si>
  <si>
    <t>DZ8-GPNRASV16-00000085-M</t>
  </si>
  <si>
    <t>0992782145001</t>
  </si>
  <si>
    <t>LEMANTEC S.A.</t>
  </si>
  <si>
    <t>DZ8-GPNOGEV17-00000458-M</t>
  </si>
  <si>
    <t>DZ8-GPNRASV17-00000199-M</t>
  </si>
  <si>
    <t>0917411431001</t>
  </si>
  <si>
    <t>LEON ORTEGA MARIA DEL ROSARIO</t>
  </si>
  <si>
    <t>DZ8-GPNOGEC18-00000064-M</t>
  </si>
  <si>
    <t>DZ8-GPNRASC19-00000068-M</t>
  </si>
  <si>
    <t>0917757601001</t>
  </si>
  <si>
    <t>LEON PAZMIÑO MARIO PAUL</t>
  </si>
  <si>
    <t>DZ8-GPNOGEN17-00000276-M</t>
  </si>
  <si>
    <t>DZ8-GSORASN17-00000058-M</t>
  </si>
  <si>
    <t>0912498466001</t>
  </si>
  <si>
    <t>LEON VARGAS ANTONIO WILLIAM</t>
  </si>
  <si>
    <t>DZ8-GPNOGEN17-00000272-M</t>
  </si>
  <si>
    <t>DZ8-GSORASN17-00000054-M</t>
  </si>
  <si>
    <t>0992793058001</t>
  </si>
  <si>
    <t>LEVIXTURE S.A.</t>
  </si>
  <si>
    <t>NAC-DNCOIOG16-00005496</t>
  </si>
  <si>
    <t>DZ8-GPNRASV16-00000086-M</t>
  </si>
  <si>
    <t>0930747290001</t>
  </si>
  <si>
    <t>LEYTON MACIAS MAYRA ALEJANDRA</t>
  </si>
  <si>
    <t>NAC-DNCOIOG16-00005426</t>
  </si>
  <si>
    <t>DZ8-GPNRASN16-00000087-M</t>
  </si>
  <si>
    <t>0922967807001</t>
  </si>
  <si>
    <t>LEYTON MACIAS RUTH MERCEDES</t>
  </si>
  <si>
    <t>NAC-DNCOIOG16-00005323</t>
  </si>
  <si>
    <t>DZ8-GPNRASN16-00000088-M</t>
  </si>
  <si>
    <t>0992323647001</t>
  </si>
  <si>
    <t>LICOMPANY S.A.</t>
  </si>
  <si>
    <t>DZ8-GPNOGEV17-00000230-M</t>
  </si>
  <si>
    <t>DZ8-GPNRASV17-00000213-M</t>
  </si>
  <si>
    <t>0992679956001</t>
  </si>
  <si>
    <t>LIDERGESTION S.A.</t>
  </si>
  <si>
    <t>NAC-DNCOPEC16-00161842-M</t>
  </si>
  <si>
    <t>DZ8-GSORASV16-00000110-M</t>
  </si>
  <si>
    <t>0992792426001</t>
  </si>
  <si>
    <t>LIFEPRODUCTS S.A.</t>
  </si>
  <si>
    <t>NAC-DNCOIOG16-00005485</t>
  </si>
  <si>
    <t>DZ8-GPNRASV16-00000089-M</t>
  </si>
  <si>
    <t>0928711472001</t>
  </si>
  <si>
    <t>LIMONES ASENCIO MARTHA GABRIELA</t>
  </si>
  <si>
    <t>DZ8-GPNOGEN17-00000287-M</t>
  </si>
  <si>
    <t>DZ8-GSORASN17-00000068-M</t>
  </si>
  <si>
    <t>0923031538001</t>
  </si>
  <si>
    <t>LINO LUZARDO MONICA CECIBEL</t>
  </si>
  <si>
    <t>DZ8-GPNOGEN17-00000281-M</t>
  </si>
  <si>
    <t>DZ8-GSORASN17-00000062-M</t>
  </si>
  <si>
    <t>0992836458001</t>
  </si>
  <si>
    <t>LINSAGTRADE S.A.</t>
  </si>
  <si>
    <t>NAC-DNCOPEC16-00161569-M</t>
  </si>
  <si>
    <t>DZ8-GCERASV16-00000018-M</t>
  </si>
  <si>
    <t>0992791640001</t>
  </si>
  <si>
    <t>LISEFSERVIC S.A.</t>
  </si>
  <si>
    <t>NAC-DNCOPEC16-00161735-M</t>
  </si>
  <si>
    <t>DZ8-GSORASV16-00000228-M</t>
  </si>
  <si>
    <t>0992832568001</t>
  </si>
  <si>
    <t>LLANSTANEX S.A.</t>
  </si>
  <si>
    <t>DZ8-GPNOGEV17-00000624-M</t>
  </si>
  <si>
    <t>DZ8-GPNRASV17-00000234-M</t>
  </si>
  <si>
    <t>Empresa inexistente / fantasma o supuesta / sociedad con actividades supuestas y/o transacciones inexistentes.</t>
  </si>
  <si>
    <t>0992780460001</t>
  </si>
  <si>
    <t>LONDOLIMP S.A.</t>
  </si>
  <si>
    <t>DZ8-GPNOGEV17-00000211-M</t>
  </si>
  <si>
    <t>DZ8-GPNRASV17-00000183-M</t>
  </si>
  <si>
    <t>0992755318001</t>
  </si>
  <si>
    <t>LORDSOL S.A.</t>
  </si>
  <si>
    <t>DZ8-GPNOGEV17-00000450-M</t>
  </si>
  <si>
    <t>DZ8-GPNRASV17-00000137-M</t>
  </si>
  <si>
    <t>0992494387001</t>
  </si>
  <si>
    <t>LORSUDEG S.A.</t>
  </si>
  <si>
    <t>NAC-DNCOIOG16-00005511</t>
  </si>
  <si>
    <t>DZ8-GPNRASV16-00000090-M</t>
  </si>
  <si>
    <t>0992815310001</t>
  </si>
  <si>
    <t>LUMOLVI S.A.</t>
  </si>
  <si>
    <t>DZ8-GPNOGEV17-00000219-M</t>
  </si>
  <si>
    <t>DZ8-GPNRASV17-00000196-M</t>
  </si>
  <si>
    <t>0992737751001</t>
  </si>
  <si>
    <t>LUXURIEVENTS S.A.</t>
  </si>
  <si>
    <t>DZ8-GPNOGEV17-00000237-M</t>
  </si>
  <si>
    <t>DZ8-GSORASV17-00000029-M</t>
  </si>
  <si>
    <t>0992420855001</t>
  </si>
  <si>
    <t>M.REYES &amp; ASOCIADOS S.A.</t>
  </si>
  <si>
    <t>DZ8-GPNOGEV17-00000198-M</t>
  </si>
  <si>
    <t>DZ8-GPNRASV17-00000162-M</t>
  </si>
  <si>
    <t>0992737387001</t>
  </si>
  <si>
    <t>MACROINGENIERIA S.A.</t>
  </si>
  <si>
    <t>NAC-DNCOPEC16-00161976-M</t>
  </si>
  <si>
    <t>DZ8-GPNRASV16-00000042-M</t>
  </si>
  <si>
    <t>0992567503001</t>
  </si>
  <si>
    <t>MACROSECORP S.A.</t>
  </si>
  <si>
    <t>NAC-DNCOPEC16-00161829-M</t>
  </si>
  <si>
    <t>DZ8-GPNRASV16-00000045-M</t>
  </si>
  <si>
    <t>0992474750001</t>
  </si>
  <si>
    <t>MADERQUY S.A.</t>
  </si>
  <si>
    <t>NAC-DNCOPEC16-00161890-M</t>
  </si>
  <si>
    <t>DZ8-GSORASV16-00000093-M</t>
  </si>
  <si>
    <t>0900590811001</t>
  </si>
  <si>
    <t>MAGALLANES MAGALLANES WASHINGTON EFRAIN</t>
  </si>
  <si>
    <t>NAC-DNCOIOG16-00005446</t>
  </si>
  <si>
    <t>DZ8-GPNRASN16-00000091-M</t>
  </si>
  <si>
    <t>0992713062001</t>
  </si>
  <si>
    <t>MAGNACTIVIDAD S.A.</t>
  </si>
  <si>
    <t>NAC-DNCOPEC16-00161973-M</t>
  </si>
  <si>
    <t>DZ8-GSORASV16-00000172-M</t>
  </si>
  <si>
    <t>0992762888001</t>
  </si>
  <si>
    <t>MAGNOTECNICA S.A.</t>
  </si>
  <si>
    <t>DZ8-GPNOGEV17-00000168-M</t>
  </si>
  <si>
    <t>DZ8-GSORASV17-00000099-M</t>
  </si>
  <si>
    <t>Empresa inexistente / fantasma con actividades supuestas y/o transacciones inexistentes</t>
  </si>
  <si>
    <t>0992780886001</t>
  </si>
  <si>
    <t>MAGRUPRED S.A.</t>
  </si>
  <si>
    <t>NAC-DNCOPEC16-00161674-M</t>
  </si>
  <si>
    <t>DZ8-GSORASV16-00000194-M</t>
  </si>
  <si>
    <t>0992940298001</t>
  </si>
  <si>
    <t>MAHANAIM FACILITY S.A.</t>
  </si>
  <si>
    <t>DZ8-GPNOGEC19-00000038-M</t>
  </si>
  <si>
    <t>DZ8-GPNRASC19-00000035-M</t>
  </si>
  <si>
    <t>0992693223001</t>
  </si>
  <si>
    <t>MANTIFAST S.A.</t>
  </si>
  <si>
    <t>NAC-DNCOPEC16-00161725-M</t>
  </si>
  <si>
    <t>DZ8-GPNRASV16-00000019-M</t>
  </si>
  <si>
    <t>0992694947001</t>
  </si>
  <si>
    <t>MAQBIANSA S.A.</t>
  </si>
  <si>
    <t>DZ8-GPNOGEV17-00000444-M</t>
  </si>
  <si>
    <t>DZ8-GPNRASV17-00000211-M</t>
  </si>
  <si>
    <t>0992758597001</t>
  </si>
  <si>
    <t>MARALMAC S.A.</t>
  </si>
  <si>
    <t>NAC-DNCOPEC16-00161611-M</t>
  </si>
  <si>
    <t>DZ8-GCERASV16-00000039-M</t>
  </si>
  <si>
    <t>0992662727001</t>
  </si>
  <si>
    <t>MARKATENTION S.A.</t>
  </si>
  <si>
    <t>NAC-DNCOPEC16-00161720-M</t>
  </si>
  <si>
    <t>DZ8-GSORASV16-00000218-M</t>
  </si>
  <si>
    <t>0992547928001</t>
  </si>
  <si>
    <t>MARKETING SUPPORT S.A. MARKSUPPORT</t>
  </si>
  <si>
    <t>DZ8-GPNOGEI17-00000120-M</t>
  </si>
  <si>
    <t>DZ8-GSORASV17-00000098-M</t>
  </si>
  <si>
    <t>0992537612001</t>
  </si>
  <si>
    <t>MARYPESCORP S.A.</t>
  </si>
  <si>
    <t>NAC-DNCOPEC16-00161707-M</t>
  </si>
  <si>
    <t>DZ8-GSORASV16-00000208-M</t>
  </si>
  <si>
    <t>0992920084001</t>
  </si>
  <si>
    <t>MATCONSFER S. A.</t>
  </si>
  <si>
    <t>DZ8-GPNOGEC18-00000013-M</t>
  </si>
  <si>
    <t>DZ8-GPNRASC18-00000013-M</t>
  </si>
  <si>
    <t>0992921773001</t>
  </si>
  <si>
    <t>MATERFERCON S.A.</t>
  </si>
  <si>
    <t>DZ8-GPNOGEC18-00000014-M</t>
  </si>
  <si>
    <t>DZ8-GPNRASC18-00000014-M</t>
  </si>
  <si>
    <t>0992545526001</t>
  </si>
  <si>
    <t>MAXELCAR S.A.</t>
  </si>
  <si>
    <t>DZ8-GPNOGEV17-00000425-M</t>
  </si>
  <si>
    <t>DZ8-GPNRASV17-00000112-M</t>
  </si>
  <si>
    <t>0992655941001</t>
  </si>
  <si>
    <t>MAYOALEC S.A.</t>
  </si>
  <si>
    <t>NAC-DNCOPEC16-00161834-M</t>
  </si>
  <si>
    <t>DZ8-GSORASV16-00000107-M</t>
  </si>
  <si>
    <t>0992651776001</t>
  </si>
  <si>
    <t>MEDISERMAS S.A. MEDICINAS, SERVICIOS Y MAS</t>
  </si>
  <si>
    <t>NAC-DNCOPEC16-00161657-M</t>
  </si>
  <si>
    <t>DZ8-GPNRASV16-00000013-M</t>
  </si>
  <si>
    <t>0992537345001</t>
  </si>
  <si>
    <t>MEDYSERVICON S.A.</t>
  </si>
  <si>
    <t>NAC-DNCOPEC16-00161706-M</t>
  </si>
  <si>
    <t>DZ8-GSORASV16-00000207-M</t>
  </si>
  <si>
    <t>0992215224001</t>
  </si>
  <si>
    <t>MEGA MEDICINA MEGAMED S.A.</t>
  </si>
  <si>
    <t>NAC-DNCOPEC16-00161883-M</t>
  </si>
  <si>
    <t>DZ8-GSORASV16-00000081-M</t>
  </si>
  <si>
    <t>0991428372001</t>
  </si>
  <si>
    <t>MEGAGLOBE S.A.</t>
  </si>
  <si>
    <t>NAC-DNCOIOG16-00005506</t>
  </si>
  <si>
    <t>DZ8-GPNRASV16-00000092-M</t>
  </si>
  <si>
    <t>0992647655001</t>
  </si>
  <si>
    <t>MEGAVADUZ S.A.</t>
  </si>
  <si>
    <t>NAC-DNCOPEC16-00161656-M</t>
  </si>
  <si>
    <t>DZ8-GCERASV16-00000062-M</t>
  </si>
  <si>
    <t>1307030245001</t>
  </si>
  <si>
    <t>MEJIA OLIVO LUIS GONZALO</t>
  </si>
  <si>
    <t>DZ8-GPNOGEC18-00000060-M</t>
  </si>
  <si>
    <t>DZ8-GPNRASC19-00000063-M</t>
  </si>
  <si>
    <t>1311146458001</t>
  </si>
  <si>
    <t>MEJIA SALTOS DENYS VALDEMAR</t>
  </si>
  <si>
    <t>DZ8-GPNOGEC19-00000058-M</t>
  </si>
  <si>
    <t>DZ8-GPNRASC19-00000058-M</t>
  </si>
  <si>
    <t>0992479272001</t>
  </si>
  <si>
    <t>MEJORSERVI S.A.</t>
  </si>
  <si>
    <t>DZ8-GPNOGEV17-00000411-M</t>
  </si>
  <si>
    <t>DZ8-GPNRASV17-00000098-M</t>
  </si>
  <si>
    <t>Empresa inexistente, fantasma o  supuesta</t>
  </si>
  <si>
    <t>0992782056001</t>
  </si>
  <si>
    <t>MENAPRO S.A.</t>
  </si>
  <si>
    <t>DZ8-GPNOGEV17-00000457-M</t>
  </si>
  <si>
    <t>DZ8-GPNRASV17-00000198-M</t>
  </si>
  <si>
    <t>1707624845001</t>
  </si>
  <si>
    <t>MENDEZ DE JESUS CARLOS IGNACIO</t>
  </si>
  <si>
    <t>DZ8-GPNOGEN17-00000299-M</t>
  </si>
  <si>
    <t>DZ8-GPNRASN17-00000054-M</t>
  </si>
  <si>
    <t>0921996344001</t>
  </si>
  <si>
    <t>MENDOZA LAJONES PAUL HUMBERTO</t>
  </si>
  <si>
    <t>DZ8-GPNOGEN17-00000280-M</t>
  </si>
  <si>
    <t>DZ8-GSORASN17-00000061-M</t>
  </si>
  <si>
    <t>0992664258001</t>
  </si>
  <si>
    <t>MERCAPUBLISA MERCADO Y PUBLICIDAD S.A.</t>
  </si>
  <si>
    <t>NAC-DNCOPEC16-00161662-M</t>
  </si>
  <si>
    <t>DZ8-GSORASV16-00000272-M</t>
  </si>
  <si>
    <t>0922352604001</t>
  </si>
  <si>
    <t>MERO MERO JUAN CARLOS</t>
  </si>
  <si>
    <t>NAC-DNCOIOG16-00005386</t>
  </si>
  <si>
    <t>DZ8-GPNRASN16-00000093-M</t>
  </si>
  <si>
    <t>0919322115001</t>
  </si>
  <si>
    <t>MESIAS SABANDO JORGE ARMANDO</t>
  </si>
  <si>
    <t>DZ8-GPNOGEO17-00000583-M</t>
  </si>
  <si>
    <t>DZ8-GPNRASC18-00000005-M</t>
  </si>
  <si>
    <t>DZ8-GTROGEC19-00000144-M</t>
  </si>
  <si>
    <t>0907901433001</t>
  </si>
  <si>
    <t>MESTANZA HERRERA MIGUEL ANTONIO</t>
  </si>
  <si>
    <t>NAC-DNCOIOG16-00005434</t>
  </si>
  <si>
    <t>DZ8-GPNRASN16-00000094-M</t>
  </si>
  <si>
    <t>0992212608001</t>
  </si>
  <si>
    <t>METALPLASTICSA S.A.</t>
  </si>
  <si>
    <t>NAC-DNCOPEC16-00161749-M</t>
  </si>
  <si>
    <t>DZ8-GPNRASV16-00000025-M</t>
  </si>
  <si>
    <t>0992796901001</t>
  </si>
  <si>
    <t>MINERA SAN THOMAS S.A. MINESANTHOMA</t>
  </si>
  <si>
    <t>DZ8-GPNOGEV17-00000216-M</t>
  </si>
  <si>
    <t>DZ8-GPNRASV17-00000184-M</t>
  </si>
  <si>
    <t>0992752017001</t>
  </si>
  <si>
    <t>MIPORCAROLIC S.A.</t>
  </si>
  <si>
    <t>NAC-DNCOPEC16-00161609-M</t>
  </si>
  <si>
    <t>DZ8-GCERASV16-00000037-M</t>
  </si>
  <si>
    <t>0992732202001</t>
  </si>
  <si>
    <t>MITOME S.A.</t>
  </si>
  <si>
    <t>NAC-DNCOPEC16-00161728-M</t>
  </si>
  <si>
    <t>DZ8-GPNRASV16-00000047-M</t>
  </si>
  <si>
    <t>0992799951001</t>
  </si>
  <si>
    <t>MIXKINSOL S.A.</t>
  </si>
  <si>
    <t>NAC-DNCOPEC16-00161677-M</t>
  </si>
  <si>
    <t>DZ8-GSORASV16-00000197-M</t>
  </si>
  <si>
    <t>0992712651001</t>
  </si>
  <si>
    <t>MOCEDOCORP S.A.</t>
  </si>
  <si>
    <t>NAC-DNCOPEC16-00161608-M</t>
  </si>
  <si>
    <t>DZ8-GCERASV16-00000036-M</t>
  </si>
  <si>
    <t>0992645628001</t>
  </si>
  <si>
    <t>MODENAR S.A.</t>
  </si>
  <si>
    <t>DZ8-GSOOPEC18-00000013-M</t>
  </si>
  <si>
    <t>DZ8-GSORASC18-00000005-M</t>
  </si>
  <si>
    <t>0992881453001</t>
  </si>
  <si>
    <t>MODERDEPAR CONSTRUCCIONES S.A.</t>
  </si>
  <si>
    <t>DZ8-GPNOGEV17-00000486-M</t>
  </si>
  <si>
    <t>DZ8-GPNRASV17-00000206-M</t>
  </si>
  <si>
    <t>0992390514001</t>
  </si>
  <si>
    <t>MONSENT S.A.</t>
  </si>
  <si>
    <t>NAC-DNCOPEC16-00161885-M</t>
  </si>
  <si>
    <t>DZ8-GSORASV16-00000086-M</t>
  </si>
  <si>
    <t>0910310689001</t>
  </si>
  <si>
    <t>MONTOYA DIAZ ROLANDO CLEMENTE</t>
  </si>
  <si>
    <t>DZ8-GPNOGEN17-00000269-M</t>
  </si>
  <si>
    <t>DZ8-GSORASN17-00000051-M</t>
  </si>
  <si>
    <t>0902374701001</t>
  </si>
  <si>
    <t>MORALES RAMIREZ GLORIA GLADYS</t>
  </si>
  <si>
    <t>NAC-DNCOIOG16-00005400</t>
  </si>
  <si>
    <t>DZ8-GPNRASN16-00000095-M</t>
  </si>
  <si>
    <t>DZ8-GTROGEC19-00000533-M</t>
  </si>
  <si>
    <t>0910061415001</t>
  </si>
  <si>
    <t>MORAN MATICUREMA JAIME JAVIER</t>
  </si>
  <si>
    <t>DZ8-GSOOPEC18-00000015-M</t>
  </si>
  <si>
    <t>DZ8-GPNRASC19-00000042-M</t>
  </si>
  <si>
    <t>0929444461001</t>
  </si>
  <si>
    <t>MORAN MOLINA CARLOS ADRIAN</t>
  </si>
  <si>
    <t>NAC-DNCOIOG16-00005380</t>
  </si>
  <si>
    <t>DZ8-GPNRASN16-00000096-M</t>
  </si>
  <si>
    <t>0916847080001</t>
  </si>
  <si>
    <t>MOREIRA MURILLO SARA BECKY</t>
  </si>
  <si>
    <t>DZ8-GSOOPEC18-00000016-M</t>
  </si>
  <si>
    <t>DZ8-GPNRASC18-00000027-M</t>
  </si>
  <si>
    <t>0992793031001</t>
  </si>
  <si>
    <t>MOSORETSA S.A.</t>
  </si>
  <si>
    <t>NAC-DNCOIOG16-00005486</t>
  </si>
  <si>
    <t>DZ8-GPNRASV16-00000097-M</t>
  </si>
  <si>
    <t>0914907076001</t>
  </si>
  <si>
    <t>MOSQUERA VERA WALCER LEONARDO</t>
  </si>
  <si>
    <t>DZ8-GPNOGEC19-00000056-M</t>
  </si>
  <si>
    <t>DZ8-GPNRASC19-00000051-M</t>
  </si>
  <si>
    <t>0992899506001</t>
  </si>
  <si>
    <t>MOVILPRIME S.A.</t>
  </si>
  <si>
    <t>NAC-DNCOPEC16-00161923-M</t>
  </si>
  <si>
    <t>DZ8-GSORASV16-00000151-M</t>
  </si>
  <si>
    <t>0929530921001</t>
  </si>
  <si>
    <t>MOYA BADILLO KRISTEL DENNISSE</t>
  </si>
  <si>
    <t>DZ8-GPNOGEC19-00000020-M</t>
  </si>
  <si>
    <t>DZ8-GPNRASC19-00000004-M</t>
  </si>
  <si>
    <t>0992108185001</t>
  </si>
  <si>
    <t>MULMERCONST S.A.</t>
  </si>
  <si>
    <t>NAC-DNCOPEC16-00161805-M</t>
  </si>
  <si>
    <t>DZ8-GSORASV16-00000079-M</t>
  </si>
  <si>
    <t>0992647485001</t>
  </si>
  <si>
    <t>MULTIBEVSA S.A.</t>
  </si>
  <si>
    <t>NAC-DNCOPEC16-00161601-M</t>
  </si>
  <si>
    <t>DZ8-GCERASV16-00000031-M</t>
  </si>
  <si>
    <t>0992695463001</t>
  </si>
  <si>
    <t>MULTICOME S.A.</t>
  </si>
  <si>
    <t>NAC-DNCOPEC16-00161775-M</t>
  </si>
  <si>
    <t>DZ8-GSORASV16-00000243-M</t>
  </si>
  <si>
    <t>0992647744001</t>
  </si>
  <si>
    <t>MULTIDISEÑO S.A.</t>
  </si>
  <si>
    <t>NAC-DNCOPEC16-00161715-M</t>
  </si>
  <si>
    <t>DZ8-GSORASV16-00000213-M</t>
  </si>
  <si>
    <t>0992468394001</t>
  </si>
  <si>
    <t>MYCORPORATION S.A.</t>
  </si>
  <si>
    <t>NAC-DNCOIOG16-00005476</t>
  </si>
  <si>
    <t>DZ8-GPNRASV16-00000098-M</t>
  </si>
  <si>
    <t>0925707770001</t>
  </si>
  <si>
    <t>NARANJO POTES JENIFFER CINTIA</t>
  </si>
  <si>
    <t>DZ8-GPNOGEC18-00000043-M</t>
  </si>
  <si>
    <t>DZ8-GPNRASC18-00000029-M</t>
  </si>
  <si>
    <t>0992774266001</t>
  </si>
  <si>
    <t>NAREOSERV S.A.</t>
  </si>
  <si>
    <t>DZ8-GPNOGEV17-00000210-M</t>
  </si>
  <si>
    <t>DZ8-GPNRASV17-00000163-M</t>
  </si>
  <si>
    <t>0992341777001</t>
  </si>
  <si>
    <t>NATIEMCO S.A.</t>
  </si>
  <si>
    <t>NAC-DNCOIOG16-00005519</t>
  </si>
  <si>
    <t>DZ8-GPNRASV16-00000099-M</t>
  </si>
  <si>
    <t>0910072818001</t>
  </si>
  <si>
    <t>NAVARRETE VILLACIS EDUARDO ENRIQUE</t>
  </si>
  <si>
    <t xml:space="preserve">DZ8-GPNOGEC18-00000045-M </t>
  </si>
  <si>
    <t>DZ8-GPNRASC18-00000034-M</t>
  </si>
  <si>
    <t>0992803835001</t>
  </si>
  <si>
    <t>NAVITMUNDO S.A.</t>
  </si>
  <si>
    <t>NAC-DNCOIOG16-00005481</t>
  </si>
  <si>
    <t>DZ8-GPNRASV16-00000100-M</t>
  </si>
  <si>
    <t>0992696079001</t>
  </si>
  <si>
    <t>NAZCAMEDIA S.A.</t>
  </si>
  <si>
    <t>NAC-DNCOPEC16-00161666-M</t>
  </si>
  <si>
    <t>DZ8-GCERASV16-00000057-M</t>
  </si>
  <si>
    <t>0992734493001</t>
  </si>
  <si>
    <t>NEGOVENTAS S.A.</t>
  </si>
  <si>
    <t>NAC-DNCOPEC16-00161849-M</t>
  </si>
  <si>
    <t>DZ8-GPNRASV16-00000034-M</t>
  </si>
  <si>
    <t>0992878177001</t>
  </si>
  <si>
    <t>NEPROBUS S.A.</t>
  </si>
  <si>
    <t>NAC-DNCOPEC16-00161737-M</t>
  </si>
  <si>
    <t>DZ8-GSORASV16-00000294-M</t>
  </si>
  <si>
    <t>0992682914001</t>
  </si>
  <si>
    <t>NEUTRINN S.A.</t>
  </si>
  <si>
    <t>NAC-DNCOPEC16-00161970-M</t>
  </si>
  <si>
    <t>DZ8-GSORASV16-00000170-M</t>
  </si>
  <si>
    <t>0992331178001</t>
  </si>
  <si>
    <t>NEWTRADE S.A.</t>
  </si>
  <si>
    <t>NAC-DNCOIOG16-00005492</t>
  </si>
  <si>
    <t>DZ8-GPNRASV16-00000101-M</t>
  </si>
  <si>
    <t>0992552727001</t>
  </si>
  <si>
    <t>NONAYSERVICES S.A.</t>
  </si>
  <si>
    <t>NAC-DNCOPEC16-00161959-M</t>
  </si>
  <si>
    <t>DZ8-GSORASV16-00000297-M</t>
  </si>
  <si>
    <t>0992774711001</t>
  </si>
  <si>
    <t>NONNAPERS S.A.</t>
  </si>
  <si>
    <t>NAC-DNCOPEC16-00161782-M</t>
  </si>
  <si>
    <t>DZ8-GSORASV16-00000248-M</t>
  </si>
  <si>
    <t>0992391588001</t>
  </si>
  <si>
    <t>NOVAMEGA S.A.</t>
  </si>
  <si>
    <t>DZ8-GPNOGEV17-00000397-M</t>
  </si>
  <si>
    <t>DZ8-GPNRASV17-00000084-M</t>
  </si>
  <si>
    <t>Empresa inexistente, fantasma o supuesta</t>
  </si>
  <si>
    <t>0992801964001</t>
  </si>
  <si>
    <t>NOVASTAL S.A.</t>
  </si>
  <si>
    <t>NAC-DNCOPEC16-00161984-M</t>
  </si>
  <si>
    <t>DZ8-GSORASV16-00000181-M</t>
  </si>
  <si>
    <t>0992782633001</t>
  </si>
  <si>
    <t>NOVEBAR S.A.</t>
  </si>
  <si>
    <t>DZ8-GPNOGEC18-00000047-M</t>
  </si>
  <si>
    <t>DZ8-GPNRASC18-00000030-M</t>
  </si>
  <si>
    <t>0992793651001</t>
  </si>
  <si>
    <t>OCEAN PEZ C.A. OCEAPEC</t>
  </si>
  <si>
    <t>DZ8-GPNOGEV17-00000136-M</t>
  </si>
  <si>
    <t>DZ8-GSORASV17-00000100-M</t>
  </si>
  <si>
    <t>0917303687001</t>
  </si>
  <si>
    <t>OCHOA CHANGO CARLOS ANDRES</t>
  </si>
  <si>
    <t>DZ8-GPNOGEN17-00000306-M</t>
  </si>
  <si>
    <t>DZ8-GPNRASN17-00000050-M</t>
  </si>
  <si>
    <t>0992800410001</t>
  </si>
  <si>
    <t>OMEGALIDER S.A.</t>
  </si>
  <si>
    <t>DZ8-GPNOGEC19-00000007-M</t>
  </si>
  <si>
    <t>DZ8-GPNRASC19-00000037-M</t>
  </si>
  <si>
    <t>0992643803001</t>
  </si>
  <si>
    <t>ONETACORP S.A.</t>
  </si>
  <si>
    <t>DZ8-GPNOGEV17-00000635-M</t>
  </si>
  <si>
    <t>DZ8-GPNRASV17-00000225-M</t>
  </si>
  <si>
    <t>0909304982001</t>
  </si>
  <si>
    <t>ORDOÑEZ MORAN DOLORES JUDITH</t>
  </si>
  <si>
    <t>DZ8-GPNOGEC19-00000017-M</t>
  </si>
  <si>
    <t>DZ8-GPNRASC19-00000008-M</t>
  </si>
  <si>
    <t>0992800976001</t>
  </si>
  <si>
    <t>ORLANTELLCA S.A.</t>
  </si>
  <si>
    <t>NAC-DNCOPEC16-00161857-M</t>
  </si>
  <si>
    <t>DZ8-GSORASV16-00000122-M</t>
  </si>
  <si>
    <t>0800373037001</t>
  </si>
  <si>
    <t>ORTIZ HURTADO SEGUNDO LUIS</t>
  </si>
  <si>
    <t>DZ8-GPNOGEN17-00000261-M</t>
  </si>
  <si>
    <t>DZ8-GSORASN17-00000046-M</t>
  </si>
  <si>
    <t>0991334920001</t>
  </si>
  <si>
    <t>OVANDI S.A.</t>
  </si>
  <si>
    <t>DZ8-GPNOGEV17-00000195-M</t>
  </si>
  <si>
    <t>DZ8-GPNRASV17-00000187-M</t>
  </si>
  <si>
    <t>0992880694001</t>
  </si>
  <si>
    <t>OVERTECECSA S.A.</t>
  </si>
  <si>
    <t>DZ8-GPNOGEV17-00000485-M</t>
  </si>
  <si>
    <t>DZ8-GPNRASV17-00000205-M</t>
  </si>
  <si>
    <t>0992169222001</t>
  </si>
  <si>
    <t>PACFORT S.A.</t>
  </si>
  <si>
    <t>NAC-DNCOPEC16-00161639-M</t>
  </si>
  <si>
    <t>DZ8-GCERASV16-00000046-M</t>
  </si>
  <si>
    <t>0910974559001</t>
  </si>
  <si>
    <t>PALACIOS SANCHEZ JUAN JOSE</t>
  </si>
  <si>
    <t>NAC-DNCOIOG16-00005381</t>
  </si>
  <si>
    <t>DZ8-GPNRASN16-00000104-M</t>
  </si>
  <si>
    <t>0930425426001</t>
  </si>
  <si>
    <t>PALMA BERMELLO JESUS ALBERTO</t>
  </si>
  <si>
    <t>NAC-DNCOIOG16-00005360</t>
  </si>
  <si>
    <t>DZ8-GPNRASN16-00000105-M</t>
  </si>
  <si>
    <t>0992748109001</t>
  </si>
  <si>
    <t>PALMIPEDE S A</t>
  </si>
  <si>
    <t>NAC-DNCOPEC16-00161850-M</t>
  </si>
  <si>
    <t>DZ8-GSORASV16-00000113-M</t>
  </si>
  <si>
    <t>0300823481001</t>
  </si>
  <si>
    <t>PARRA JARA VICTOR GONZALO</t>
  </si>
  <si>
    <t>DZ8-GPNOGEN17-00000259-M</t>
  </si>
  <si>
    <t>DZ8-GSORASN17-00000045-M</t>
  </si>
  <si>
    <t>DZ8-GTROGEC19-00000242-M</t>
  </si>
  <si>
    <t>1305072413001</t>
  </si>
  <si>
    <t>PARRALES SANTANA MARIO ALFREDO</t>
  </si>
  <si>
    <t>DZ8-GPNOGEN17-00000297-M</t>
  </si>
  <si>
    <t>DZ8-GPNRASN17-00000055-M</t>
  </si>
  <si>
    <t>0992447346001</t>
  </si>
  <si>
    <t>PETROLEOS NACIONALES Y DERIVADOS PETRONAC S.A.</t>
  </si>
  <si>
    <t>DZ8-GPNOGEV17-00000241-M</t>
  </si>
  <si>
    <t>DZ8-GSORASV17-00000032-M</t>
  </si>
  <si>
    <t>1311075111001</t>
  </si>
  <si>
    <t>PINARGOTE AVILA SANDRO JAVIER</t>
  </si>
  <si>
    <t>DZ8-GPNOPEC18-00000013-M</t>
  </si>
  <si>
    <t>DZ8-GPNRASC19-00000072-M</t>
  </si>
  <si>
    <t>0911316172001</t>
  </si>
  <si>
    <t>PINO ULLOA MILTON ECUADOR</t>
  </si>
  <si>
    <t>DZ8-GSOOPEO17-00000167-M</t>
  </si>
  <si>
    <t>DZ8-GPNRASO17-0000058-M</t>
  </si>
  <si>
    <t>0992778326001</t>
  </si>
  <si>
    <t>PINOMICORP S.A.</t>
  </si>
  <si>
    <t>DZ8-GPNOGEV17-00000627-M</t>
  </si>
  <si>
    <t>DZ8-GPNRASV17-00000230-M</t>
  </si>
  <si>
    <t>0992674784001</t>
  </si>
  <si>
    <t>PISIDIA S.A.</t>
  </si>
  <si>
    <t>NAC-DNCOIOG16-00005463</t>
  </si>
  <si>
    <t>DZ8-GPNRASV16-00000106-M</t>
  </si>
  <si>
    <t>0906723119001</t>
  </si>
  <si>
    <t>PIZARRO SALINAS DIONICIO</t>
  </si>
  <si>
    <t>NAC-DNCOIOG16-00005310</t>
  </si>
  <si>
    <t>DZ8-GPNRASN16-00000107-M</t>
  </si>
  <si>
    <t>0992537663001</t>
  </si>
  <si>
    <t>PLASTISTAR S.A.</t>
  </si>
  <si>
    <t>NAC-DNCOPEC16-00161828-M</t>
  </si>
  <si>
    <t>DZ8-GSORASV16-00000279-M</t>
  </si>
  <si>
    <t>0940928286001</t>
  </si>
  <si>
    <t>PLUAS VARGAS EVER ABRAHAN</t>
  </si>
  <si>
    <t>DZ8-GPNOPEC18-00000047-M</t>
  </si>
  <si>
    <t>DZ8-GPNRASC18-00000019-M</t>
  </si>
  <si>
    <t>0992413026001</t>
  </si>
  <si>
    <t>PLUSPERFEC S.A.</t>
  </si>
  <si>
    <t>NAC-DNCOIOG16-00005467</t>
  </si>
  <si>
    <t>DZ8-GPNRASV16-00000109-M</t>
  </si>
  <si>
    <t>0992464887001</t>
  </si>
  <si>
    <t>PLUSWORK S.A.</t>
  </si>
  <si>
    <t>NAC-DNCOPEC16-00161595-M</t>
  </si>
  <si>
    <t>DZ8-GCERASV16-00000028-M</t>
  </si>
  <si>
    <t>0992408553001</t>
  </si>
  <si>
    <t>POLCAN S.A.</t>
  </si>
  <si>
    <t>NAC-DNCOPEC16-00161887-M</t>
  </si>
  <si>
    <t>DZ8-GSORASV16-00000088-M</t>
  </si>
  <si>
    <t>0992747781001</t>
  </si>
  <si>
    <t>POLMONE S A</t>
  </si>
  <si>
    <t>NAC-DNCOPEC16-00161979-M</t>
  </si>
  <si>
    <t>DZ8-GSORASV16-00000176-M</t>
  </si>
  <si>
    <t>0911995876001</t>
  </si>
  <si>
    <t>PORTILLA GUABIL CARLOS ENRIQUE</t>
  </si>
  <si>
    <t>DZ8-GPNOGEC19-00000049-M</t>
  </si>
  <si>
    <t>DZ8-GPNRASC19-00000060-M</t>
  </si>
  <si>
    <t>0992504366001</t>
  </si>
  <si>
    <t>PRELUXTEG S.A</t>
  </si>
  <si>
    <t>NAC-DNCOPEC16-00161822-M</t>
  </si>
  <si>
    <t>DZ8-GSORASV16-00000096-M</t>
  </si>
  <si>
    <t>0992430516001</t>
  </si>
  <si>
    <t>PREMIADI S.A.</t>
  </si>
  <si>
    <t>NAC-DNCOIOG16-00005461</t>
  </si>
  <si>
    <t>DZ8-GPNRASV16-00000110-M</t>
  </si>
  <si>
    <t>0992436670001</t>
  </si>
  <si>
    <t>PROAMBIENSA S.A.</t>
  </si>
  <si>
    <t>DZ8-GPNOGEV17-00000245-M</t>
  </si>
  <si>
    <t>DZ8-GSORASV17-00000035-M</t>
  </si>
  <si>
    <t>0992478764001</t>
  </si>
  <si>
    <t>PROBINPE S.A.</t>
  </si>
  <si>
    <t>NAC-DNCOPEC16-00161596-M</t>
  </si>
  <si>
    <t>DZ8-GCERASV16-00000029-M</t>
  </si>
  <si>
    <t>0992596147001</t>
  </si>
  <si>
    <t>PROCESADORA DE ALIMENTOS S.A. PDA.</t>
  </si>
  <si>
    <t>DZ8-GPNOGEV17-00000431-M</t>
  </si>
  <si>
    <t>DZ8-GPNRASV17-00000118-M</t>
  </si>
  <si>
    <t>0992639385001</t>
  </si>
  <si>
    <t>PRODEMARDEX S.A.</t>
  </si>
  <si>
    <t>NAC-DNCOPEC16-00161831-M</t>
  </si>
  <si>
    <t>DZ8-GSORASV16-00000104-M</t>
  </si>
  <si>
    <t>0992671289001</t>
  </si>
  <si>
    <t>PRODUMAGNA S.A.</t>
  </si>
  <si>
    <t>DZ8-GPNOGEV17-00000248-M</t>
  </si>
  <si>
    <t>DZ8-GSORASV17-00000037-M</t>
  </si>
  <si>
    <t>0992665475001</t>
  </si>
  <si>
    <t>PROFACTOR S.A.</t>
  </si>
  <si>
    <t>NAC-DNCOPEC16-00161663-M</t>
  </si>
  <si>
    <t>DZ8-GCERASV16-00000055-M</t>
  </si>
  <si>
    <t>0992441097001</t>
  </si>
  <si>
    <t>PROFECONSTRU S.A.</t>
  </si>
  <si>
    <t>NAC-DNCOPEC16-00161757-M</t>
  </si>
  <si>
    <t>DZ8-GSORASV16-00000234-M</t>
  </si>
  <si>
    <t>0992808411001</t>
  </si>
  <si>
    <t>PROPULMASTER S.A.</t>
  </si>
  <si>
    <t>DZ8-GPNOGEC18-00000008-M</t>
  </si>
  <si>
    <t>DZ8-GSORASC18-00000001-M</t>
  </si>
  <si>
    <t>0992310855001</t>
  </si>
  <si>
    <t>PROSERVITEC S.A.</t>
  </si>
  <si>
    <t>NAC-DNCOPEC16-00161699-M</t>
  </si>
  <si>
    <t>DZ8-GSORASV16-00000202-M</t>
  </si>
  <si>
    <t>0992834897001</t>
  </si>
  <si>
    <t>PROVEDIGITAL S.A.</t>
  </si>
  <si>
    <t>DZ8-GPNOGEV17-00000630-M</t>
  </si>
  <si>
    <t>DZ8-GPNRASV17-00000220-M</t>
  </si>
  <si>
    <t>0992692820001</t>
  </si>
  <si>
    <t>PROYNEGOLD S.A.</t>
  </si>
  <si>
    <t>NAC-DNCOPEC16-00161904-M</t>
  </si>
  <si>
    <t>DZ8-GSORASV16-00000139-M</t>
  </si>
  <si>
    <t>0992793066001</t>
  </si>
  <si>
    <t>PTOLOMEUS S.A.</t>
  </si>
  <si>
    <t>NAC-DNCOIOG16-00005497</t>
  </si>
  <si>
    <t>DZ8-GPNRASV16-00000111-M</t>
  </si>
  <si>
    <t>0992537124001</t>
  </si>
  <si>
    <t>PUBLICICON S.A.</t>
  </si>
  <si>
    <t>NAC-DNCOPEC16-00161653-M</t>
  </si>
  <si>
    <t>DZ8-GSORASV16-00000296-M</t>
  </si>
  <si>
    <t>0992910259001</t>
  </si>
  <si>
    <t>PUBLICIDAD Y DISEÑO PUBLIDISEÑO S.A.</t>
  </si>
  <si>
    <t>DZ8-GSOOPEC18-00000018-M</t>
  </si>
  <si>
    <t>DZ8-GPNRASC18-00000032-M</t>
  </si>
  <si>
    <t>0992654007001</t>
  </si>
  <si>
    <t>PUBLICIDAD, MARKETING Y SERVICIOS S.A. PUMARKSERV</t>
  </si>
  <si>
    <t>NAC-DNCOPEC16-00161603-M</t>
  </si>
  <si>
    <t>DZ8-GSORASV16-00000278-M</t>
  </si>
  <si>
    <t>0993049565001</t>
  </si>
  <si>
    <t>PUBLIGRANTFS S.A.</t>
  </si>
  <si>
    <t>DZ8-GPNOGEU17-00000642-M</t>
  </si>
  <si>
    <t>DZ8-GPNRASU17-00000228-M</t>
  </si>
  <si>
    <t>Empresa inexistente / fantasma o supuesta con actividades supuestas y/o transacciones inexistentes.</t>
  </si>
  <si>
    <t>0992903155001</t>
  </si>
  <si>
    <t>PUBLIMARKT PMCA C.A</t>
  </si>
  <si>
    <t>DZ8-GPNOGEC19-00000027-M</t>
  </si>
  <si>
    <t>DZ8-GPNRASC19-00000018-M</t>
  </si>
  <si>
    <t>0992537361001</t>
  </si>
  <si>
    <t>PUBLIMARSTAR S.A.</t>
  </si>
  <si>
    <t>NAC-DNCOPEC16-00161892-M</t>
  </si>
  <si>
    <t>DZ8-GSORASV16-00000100-M</t>
  </si>
  <si>
    <t>Empresa inexistente / fantasma o supuesta con actividades supuestas / transacciones inexistentes.</t>
  </si>
  <si>
    <t>0992936495001</t>
  </si>
  <si>
    <t>PUBLI-WORLD SOCIEDAD ANONIMA</t>
  </si>
  <si>
    <t>DZ8-GPNOGEV17-00000639-M</t>
  </si>
  <si>
    <t>DZ8-GPNRASV17-00000232-M</t>
  </si>
  <si>
    <t xml:space="preserve"> Empresa inexistente fantasma con actividades supuestas y/o transacciones inexistentes.</t>
  </si>
  <si>
    <t>0913177499001</t>
  </si>
  <si>
    <t>PUMA MOROCHO JULIO GERBERTO</t>
  </si>
  <si>
    <t>DZ8-GPNOGEO17-00000322-M</t>
  </si>
  <si>
    <t>DZ8-GPNRASO17-00000074-M</t>
  </si>
  <si>
    <t>0992739215001</t>
  </si>
  <si>
    <t>PYGLAS S.A.</t>
  </si>
  <si>
    <t>NAC-DNCOPEC16-00161977-M</t>
  </si>
  <si>
    <t>DZ8-GSORASV16-00000174-M</t>
  </si>
  <si>
    <t>0992343478001</t>
  </si>
  <si>
    <t>QUALITYSI S.A.</t>
  </si>
  <si>
    <t>NAC-DNCOPEC16-00161586-M</t>
  </si>
  <si>
    <t>DZ8-GPNRASV16-00000035-M</t>
  </si>
  <si>
    <t>Empresa fantasma con actividades supuestas y/o transacciones inexistentes</t>
  </si>
  <si>
    <t>1205334780001</t>
  </si>
  <si>
    <t>QUINTANA MARTINEZ MAYRA MABEL</t>
  </si>
  <si>
    <t>DZ8-GSOOPEC18-00000019-M</t>
  </si>
  <si>
    <t>DZ8-GPNRASC19-00000025-M</t>
  </si>
  <si>
    <t>0916221104001</t>
  </si>
  <si>
    <t>QUINTO CAMBA JAVIER FRANCISCO</t>
  </si>
  <si>
    <t>DZ8-GPNOGEN17-00000275-M</t>
  </si>
  <si>
    <t>DZ8-GSORASN17-00000057-M</t>
  </si>
  <si>
    <t>0901063768001</t>
  </si>
  <si>
    <t>QUIROZ CEDEÑO SERGIO ENRIQUE</t>
  </si>
  <si>
    <t>DZ8-GPNOGEN17-00000263-M</t>
  </si>
  <si>
    <t>DZ8-GSORASN17-00000048-M</t>
  </si>
  <si>
    <t>0909532939001</t>
  </si>
  <si>
    <t>QUIROZ MARCILLO ALEJANDRO ENRIQUE</t>
  </si>
  <si>
    <t>DZ8-GSOOPEC18-00000020-M</t>
  </si>
  <si>
    <t>03/12/2018
04/12/2018
05/12/2018</t>
  </si>
  <si>
    <t>DZ8-GPNRASC19-00000071-M</t>
  </si>
  <si>
    <t>0921935847001</t>
  </si>
  <si>
    <t>QUIROZ PARRALES HENRY RICHARD</t>
  </si>
  <si>
    <t>DZ8-GPNOGEC19-00000003-M</t>
  </si>
  <si>
    <t>DZ8-GPNRASC19-00000020-M</t>
  </si>
  <si>
    <t>0926173758001</t>
  </si>
  <si>
    <t>QUIROZ VILLAVICENCIO DIEGO ANDRES</t>
  </si>
  <si>
    <t>DZ8-GPNOPEC18-00000056-M</t>
  </si>
  <si>
    <t>DZ8-GPNRASC18-00000026-M</t>
  </si>
  <si>
    <t>0992791926001</t>
  </si>
  <si>
    <t>RAFAELUPER S.A.</t>
  </si>
  <si>
    <t>NAC-DNCOPEC16-00161856-M</t>
  </si>
  <si>
    <t>DZ8-GSORASV16-00000120-M</t>
  </si>
  <si>
    <t>1703150415001</t>
  </si>
  <si>
    <t>RAMOS RAMOS MARIA ALEJANDRINA</t>
  </si>
  <si>
    <t>DZ8-GPNOGEC20-00000001-M</t>
  </si>
  <si>
    <t>DZ8-GPNRASC20-00000001-M</t>
  </si>
  <si>
    <t>0992801018001</t>
  </si>
  <si>
    <t>RATESFACON S.A.</t>
  </si>
  <si>
    <t>DZ8-GPNOGEV17-00000218-M</t>
  </si>
  <si>
    <t>DZ8-GPNRASV17-00000197-M</t>
  </si>
  <si>
    <t>0992358149001</t>
  </si>
  <si>
    <t>REFINSA S.A.</t>
  </si>
  <si>
    <t>DZ8-GPNOGEV17-00000196-M</t>
  </si>
  <si>
    <t xml:space="preserve"> DZ8-GPNRASI17-00000164-M</t>
  </si>
  <si>
    <t>0992695935001</t>
  </si>
  <si>
    <t>REFLORESA S.A</t>
  </si>
  <si>
    <t>NAC-DNCOPEC16-00161726-M</t>
  </si>
  <si>
    <t>DZ8-GSORASV16-00000223-M</t>
  </si>
  <si>
    <t>0992526947001</t>
  </si>
  <si>
    <t>REGINEW S.A.</t>
  </si>
  <si>
    <t>NAC-DNCOPEC16-00161554-M</t>
  </si>
  <si>
    <t>DZ8-GCERASV16-00000009-M</t>
  </si>
  <si>
    <t>0992717645001</t>
  </si>
  <si>
    <t>REGISTORE S.A.</t>
  </si>
  <si>
    <t>NAC-DNCOIOG16-00005513</t>
  </si>
  <si>
    <t>DZ8-GPNRASC16-00000120-M</t>
  </si>
  <si>
    <t>0991471529001</t>
  </si>
  <si>
    <t>RELECSA REPARACIONES ELECTRONICAS DEL ECUADOR S.A.</t>
  </si>
  <si>
    <t>NAC-DNCOPEC16-00161937-M</t>
  </si>
  <si>
    <t>DZ8-GSORASV16-00000154-M</t>
  </si>
  <si>
    <t>0992816589001</t>
  </si>
  <si>
    <t>RELIVOUREC S.A.</t>
  </si>
  <si>
    <t>DZ8-GPNOGEV17-00000220-M</t>
  </si>
  <si>
    <t>DZ8-GPNRASV17-00000185-M</t>
  </si>
  <si>
    <t>0992283904001</t>
  </si>
  <si>
    <t>REPUESTOS RUSIA IMPORT C.A. - RUSIAIMPORT</t>
  </si>
  <si>
    <t>NAC-DNCOPEC16-00161808-M</t>
  </si>
  <si>
    <t>DZ8-GSORASV16-00000083-M</t>
  </si>
  <si>
    <t>0951901792001</t>
  </si>
  <si>
    <t>RESABALA BAQUE RAMON AGUSTIN</t>
  </si>
  <si>
    <t>NAC-DNCOIOG16-00005303</t>
  </si>
  <si>
    <t>DZ8-GPNRASC16-00000121-M</t>
  </si>
  <si>
    <t>0992791071001</t>
  </si>
  <si>
    <t>RESISVES S.A</t>
  </si>
  <si>
    <t>NAC-DNCOPEC16-00161734-M</t>
  </si>
  <si>
    <t>DZ8-GSORASV16-00000227-M</t>
  </si>
  <si>
    <t>0992899298001</t>
  </si>
  <si>
    <t>REVISAUMED S. A.</t>
  </si>
  <si>
    <t xml:space="preserve">DZ8-GPNOGEC19-00000022-M </t>
  </si>
  <si>
    <t>DZ8-GPNRASC19-00000013-M</t>
  </si>
  <si>
    <t>0992706287001</t>
  </si>
  <si>
    <t>REVOCAREP S.A.</t>
  </si>
  <si>
    <t>NAC-DNCOPEC16-00161776-M</t>
  </si>
  <si>
    <t>DZ8-GSORASV16-00000244-M</t>
  </si>
  <si>
    <t>0919426114001</t>
  </si>
  <si>
    <t>REYES QUIMIS JIMMY ALFREDO</t>
  </si>
  <si>
    <t>DZ8-GPNOGEN17-00000277-M</t>
  </si>
  <si>
    <t>DZ8-GSORASN17-00000059-M</t>
  </si>
  <si>
    <t>0909545121001</t>
  </si>
  <si>
    <t>REYES VINCES ROLANDO GEOVANNI</t>
  </si>
  <si>
    <t>NAC-DNCOIOG16-00005385</t>
  </si>
  <si>
    <t>DZ8-GPNRASC16-00000122-M</t>
  </si>
  <si>
    <t>0992662859001</t>
  </si>
  <si>
    <t>RIFOR S.A.</t>
  </si>
  <si>
    <t>DZ8-GPNOGEC18-00000003-M</t>
  </si>
  <si>
    <t>DZ8-GPNRASC18-00000007-M</t>
  </si>
  <si>
    <t>1311733875001</t>
  </si>
  <si>
    <t>RISCO MARCILLO COLOMBIA CAROLINA</t>
  </si>
  <si>
    <t>NAC-DNCOIOG16-00005457</t>
  </si>
  <si>
    <t>DZ8-GPNRASC16-00000123-M</t>
  </si>
  <si>
    <t>0930731260001</t>
  </si>
  <si>
    <t>RIVAS RUGEL DAVID SAMUEL</t>
  </si>
  <si>
    <t>DZ8-GPNOGEC19-00000129-M</t>
  </si>
  <si>
    <t>DZ8-GPNRASC19-00000076-M</t>
  </si>
  <si>
    <t>0931397061001</t>
  </si>
  <si>
    <t>RIVAS RUGEL TABITA DAMARIS</t>
  </si>
  <si>
    <t>DZ8-GSOOPEC18-00000021</t>
  </si>
  <si>
    <t>DZ8-GPNRASC19-00000075-M</t>
  </si>
  <si>
    <t>0914035282001</t>
  </si>
  <si>
    <t>RIVAS VITERI MARIA VERONICA</t>
  </si>
  <si>
    <t>DZ8-GPNOGEC19-00000128-M</t>
  </si>
  <si>
    <t>DZ8-GPNRASC19-00000077-M</t>
  </si>
  <si>
    <t>0925849804001</t>
  </si>
  <si>
    <t>RIVERA GONZALEZ JONATHAN ANTONIO</t>
  </si>
  <si>
    <t>DZ8-GPNOGEN17-00000282-M</t>
  </si>
  <si>
    <t>DZ8-GSORASN17-00000063-M</t>
  </si>
  <si>
    <t>0910536176001</t>
  </si>
  <si>
    <t>ROBALINO VELIZ KURT SANTO</t>
  </si>
  <si>
    <t>NAC-DNCOIOG16-00005387</t>
  </si>
  <si>
    <t>DZ8-GPNRASC16-00000124-M</t>
  </si>
  <si>
    <t>0992596686001</t>
  </si>
  <si>
    <t>ROBRYCORP S.A.</t>
  </si>
  <si>
    <t>NAC-DNCOPEC16-00161708-M</t>
  </si>
  <si>
    <t>DZ8-GPNRASV16-00000017-M</t>
  </si>
  <si>
    <t>0927426908001</t>
  </si>
  <si>
    <t>RODRIGUEZ MORA BLANCA FLOR</t>
  </si>
  <si>
    <t>DZ8-GPNOGEN17-00000285-M</t>
  </si>
  <si>
    <t>DZ8-GSORASN17-00000066-M</t>
  </si>
  <si>
    <t>0905766994001</t>
  </si>
  <si>
    <t>RODRIGUEZ RODRIGUEZ JOSE ELIAS</t>
  </si>
  <si>
    <t>NAC-DNCOIOG16-00005435</t>
  </si>
  <si>
    <t>DZ8-GPNRASC16-00000125-M</t>
  </si>
  <si>
    <t>0704001239001</t>
  </si>
  <si>
    <t>RODRIGUEZ ROMERO BRAULIO GUSTAVO</t>
  </si>
  <si>
    <t>NAC-DNCOIOG16-00005320</t>
  </si>
  <si>
    <t>DZ8-GPNRASC16-00000126-M</t>
  </si>
  <si>
    <t>0914414354001</t>
  </si>
  <si>
    <t>ROMERO RAMIREZ RICHARD ANTONIO</t>
  </si>
  <si>
    <t>DZ8-GPNOGEC19-00000083-M</t>
  </si>
  <si>
    <t>DZ8-GPNRASC19-00000066-M</t>
  </si>
  <si>
    <t>0900086083001</t>
  </si>
  <si>
    <t>ROSALES LEITON JORGE WILFRIDO</t>
  </si>
  <si>
    <t>DZ8-GPNOGEC19-00000052-M</t>
  </si>
  <si>
    <t>DZ8-GPNRASC19-00000049-M</t>
  </si>
  <si>
    <t>0992399473001</t>
  </si>
  <si>
    <t>SAINT-PAUL S.A. SOCIEDAD COMERCIAL, INDUSTRIAL &amp; AGRICOLA</t>
  </si>
  <si>
    <t>DZ8-GPNOGEC18-00000017-M</t>
  </si>
  <si>
    <t>DZ8-GPNRASC18-00000009-M</t>
  </si>
  <si>
    <t>0930758057001</t>
  </si>
  <si>
    <t>SALAZAR CASTRO SHIRLEY JAZMIN</t>
  </si>
  <si>
    <t>NAC-DNCOIOG16-00005395</t>
  </si>
  <si>
    <t>DZ8-GPNRASC16-00000130-M</t>
  </si>
  <si>
    <t>1312471012001</t>
  </si>
  <si>
    <t>SALAZAR DOMINGUEZ JORGE MANUEL</t>
  </si>
  <si>
    <t>NAC-DNCOIOG16-00005338</t>
  </si>
  <si>
    <t>DZ8-GPNRASC16-00000131-M</t>
  </si>
  <si>
    <t>1307618221001</t>
  </si>
  <si>
    <t>SALTOS CEVALLOS JORGE LUIS</t>
  </si>
  <si>
    <t>DZ8-GPNOGEC19-00000061-M</t>
  </si>
  <si>
    <t>DZ8-GPNRASC19-00000055-M</t>
  </si>
  <si>
    <t>DZ8-GPNOGEC21-00000107-M</t>
  </si>
  <si>
    <t>0704364553001</t>
  </si>
  <si>
    <t>SAMANIEGO JIMBO DIEGO ARMANDO</t>
  </si>
  <si>
    <t>NAC-DNCOIOG16-00005356</t>
  </si>
  <si>
    <t>DZ8-GPNRASC16-00000132-M</t>
  </si>
  <si>
    <t>0992785772001</t>
  </si>
  <si>
    <t>SAMSKABIR S.A.</t>
  </si>
  <si>
    <t>DZ8-GPNOGEC19-00000012-M</t>
  </si>
  <si>
    <t>DZ8-GPNRASC19-00000043-M</t>
  </si>
  <si>
    <t>0992746831001</t>
  </si>
  <si>
    <t>SANADRIAN S.A.</t>
  </si>
  <si>
    <t>NAC-DNCOPEC16-00161670-M</t>
  </si>
  <si>
    <t>DZ8-GSORASV16-00000191-M</t>
  </si>
  <si>
    <t>0992665408001</t>
  </si>
  <si>
    <t>SANCET S.A.</t>
  </si>
  <si>
    <t>NAC-DNCOPEC16-00161557-M</t>
  </si>
  <si>
    <t>DZ8-GCERASV16-00000012-M</t>
  </si>
  <si>
    <t>0992915838001</t>
  </si>
  <si>
    <t>SANE - C SOCIEDAD ANONIMA</t>
  </si>
  <si>
    <t xml:space="preserve">DZ8-GPNOGEV17-00000633-M </t>
  </si>
  <si>
    <t>DZ8-GPNRASV17-00000223-M</t>
  </si>
  <si>
    <t>1205840398001</t>
  </si>
  <si>
    <t>SARMIENTO LEON SANDRA NARCISA</t>
  </si>
  <si>
    <t>DZ8-GPNOGEC19-00000054-M</t>
  </si>
  <si>
    <t>DZ8-GPNRASC19-00000047-M</t>
  </si>
  <si>
    <t>0992803924001</t>
  </si>
  <si>
    <t>SAVEWIN S.A.</t>
  </si>
  <si>
    <t>NAC-DNCOPEC16-00161788-M</t>
  </si>
  <si>
    <t>DZ8-GPNRASV16-00000028-M</t>
  </si>
  <si>
    <t>0992919868001</t>
  </si>
  <si>
    <t>SAYANSI S. A.</t>
  </si>
  <si>
    <t>DZ8-GPNOGEV17-00000331-M</t>
  </si>
  <si>
    <t>DZ8-GPNRASV17-00000080-M</t>
  </si>
  <si>
    <t>0993010200001</t>
  </si>
  <si>
    <t>SEACOAST S.A.</t>
  </si>
  <si>
    <t>DZ8-GPNOGEI17-00000558-M</t>
  </si>
  <si>
    <t>DZ8-GPNRASI17-00000216-M</t>
  </si>
  <si>
    <t>0992729678001</t>
  </si>
  <si>
    <t>SEGUCED CIA LTDA.</t>
  </si>
  <si>
    <t>NAC-DNCOPEC16-00161560-M</t>
  </si>
  <si>
    <t>DZ8-GCERASV16-00000060-M</t>
  </si>
  <si>
    <t>0991422757001</t>
  </si>
  <si>
    <t>SEGURIDAD Y VIGILANCIA TECSEGURIDAD S.A.</t>
  </si>
  <si>
    <t>NAC-DNCOPEC16-00161540-M</t>
  </si>
  <si>
    <t>DZ8-GCERASV16-00000005-M</t>
  </si>
  <si>
    <t>0992798742001</t>
  </si>
  <si>
    <t>SELIMONEC S.A.</t>
  </si>
  <si>
    <t>DZ8-GPNOGEV17-00000217-M</t>
  </si>
  <si>
    <t>DZ8-GPNRASV17-00000188-M</t>
  </si>
  <si>
    <t>0992789204001</t>
  </si>
  <si>
    <t>SENIH TELECOMUNICACIONES S.A. TELSENIHSA</t>
  </si>
  <si>
    <t>NAC-DNCOPEC16-00161675-M</t>
  </si>
  <si>
    <t>DZ8-GSORASV16-00000195-M</t>
  </si>
  <si>
    <t>0992802499001</t>
  </si>
  <si>
    <t>SERINELSA S.A</t>
  </si>
  <si>
    <t>DZ8-GPNOGEC19-00000035-M</t>
  </si>
  <si>
    <t>DZ8-GPNRASC19-00000021-M</t>
  </si>
  <si>
    <t>0992200170001</t>
  </si>
  <si>
    <t>SERINTEGRA S.A. SERVICIOS INTEGRADOS</t>
  </si>
  <si>
    <t>NAC-DNCOPEC16-00161583-M</t>
  </si>
  <si>
    <t>DZ8-GCERASV16-00000022-M</t>
  </si>
  <si>
    <t>0992899271001</t>
  </si>
  <si>
    <t>SERJURISCON S.A.</t>
  </si>
  <si>
    <t xml:space="preserve">DZ8-GPNOGEC19-00000024-M </t>
  </si>
  <si>
    <t>DZ8-GPNRASC19-00000012-M</t>
  </si>
  <si>
    <t>0925391260001</t>
  </si>
  <si>
    <t>SERRANO TARIRA PAOLA CRISTINA</t>
  </si>
  <si>
    <t>NAC-DNCOIOG16-00005337</t>
  </si>
  <si>
    <t>DZ8-GPNRASC16-00000133-M</t>
  </si>
  <si>
    <t>0992681705001</t>
  </si>
  <si>
    <t>SERVIBONUS S.A.</t>
  </si>
  <si>
    <t>NAC-DNCOPEC16-00161969-M</t>
  </si>
  <si>
    <t>DZ8-GSORASV16-00000189-M</t>
  </si>
  <si>
    <t>0992662794001</t>
  </si>
  <si>
    <t>SERVICICAL S.A.</t>
  </si>
  <si>
    <t>NAC-DNCOPEC16-00161839-M</t>
  </si>
  <si>
    <t>DZ8-GSORASV16-00000280-M</t>
  </si>
  <si>
    <t>0992553316001</t>
  </si>
  <si>
    <t>SERVICIOS ASOCIADOS S.A. SERVIASO</t>
  </si>
  <si>
    <t>NAC-DNCOIOG16-00005479</t>
  </si>
  <si>
    <t>DZ8-GPNRASC16-00000134-M</t>
  </si>
  <si>
    <t>0992641770001</t>
  </si>
  <si>
    <t>SERVICIOS GLOBALES RIMSW S.A.</t>
  </si>
  <si>
    <t>NAC-DNCOPEC16-00161556-M</t>
  </si>
  <si>
    <t>DZ8-GCERASV16-00000011-M</t>
  </si>
  <si>
    <t>Empresa inexistente / fantasma o supuesta con actividades y/o transacciones inexistentes</t>
  </si>
  <si>
    <t>0992664126001</t>
  </si>
  <si>
    <t>SERVICOMSARIAL S.A.</t>
  </si>
  <si>
    <t>NAC-DNCOPEC16-00161661-M</t>
  </si>
  <si>
    <t>DZ8-GCERASV16-00000054-M</t>
  </si>
  <si>
    <t>0992528591001</t>
  </si>
  <si>
    <t>SERVIFASTCORP S.A.</t>
  </si>
  <si>
    <t>NAC-DNCOPEC16-00161826-M</t>
  </si>
  <si>
    <t>DZ8-GSORASV16-00000098-M</t>
  </si>
  <si>
    <t>0992334029001</t>
  </si>
  <si>
    <t>SERVIMPRENDI S.A.</t>
  </si>
  <si>
    <t>NAC-DNCOPEC16-00161700-M</t>
  </si>
  <si>
    <t>DZ8-GSORASV16-00000203-M</t>
  </si>
  <si>
    <t>0992621052001</t>
  </si>
  <si>
    <t>SERVIVOLUNTAD S.A.</t>
  </si>
  <si>
    <t>NAC-DNCOPEC16-00161600-M</t>
  </si>
  <si>
    <t>DZ8-GCERASV16-00000030-M</t>
  </si>
  <si>
    <t>0992537132001</t>
  </si>
  <si>
    <t>SERVYCICONTI S.A.</t>
  </si>
  <si>
    <t>NAC-DNCOPEC16-00161705-M</t>
  </si>
  <si>
    <t>DZ8-GSORASV16-00000273-M</t>
  </si>
  <si>
    <t>0992857196001</t>
  </si>
  <si>
    <t>SIDNOVA S.A.</t>
  </si>
  <si>
    <t xml:space="preserve">DZ8-GPNOGEV17-00000632-M </t>
  </si>
  <si>
    <t>DZ8-GPNRASV17-00000222-M</t>
  </si>
  <si>
    <t>0992792043001</t>
  </si>
  <si>
    <t>SLOVOR S.A.</t>
  </si>
  <si>
    <t>NAC-DNCOIOG16-00005484</t>
  </si>
  <si>
    <t>DZ8-GPNRASC16-00000135-M</t>
  </si>
  <si>
    <t>0992511206001</t>
  </si>
  <si>
    <t>SOCIOGROUP S.A.</t>
  </si>
  <si>
    <t>DZ8-GPNOGEV17-00000418-M</t>
  </si>
  <si>
    <t>DZ8-GPNRASV17-00000105-M</t>
  </si>
  <si>
    <t>0992788496001</t>
  </si>
  <si>
    <t>SOCIREALY S.A.</t>
  </si>
  <si>
    <t>DZ8-GPNOGEC19-00000044-M</t>
  </si>
  <si>
    <t>DZ8-GSORASC19-00000001-M</t>
  </si>
  <si>
    <t>0992813326001</t>
  </si>
  <si>
    <t>SOLARVOLT S.A.</t>
  </si>
  <si>
    <t>NAC-DNCOPEC16-00161860-M</t>
  </si>
  <si>
    <t>DZ8-GSORASV16-00000126-M</t>
  </si>
  <si>
    <t>0992717734001</t>
  </si>
  <si>
    <t>SOLMAXTEL S.A.</t>
  </si>
  <si>
    <t>NAC-DNCOIOG16-00005507</t>
  </si>
  <si>
    <t>DZ8-GPNRASC16-00000136-M</t>
  </si>
  <si>
    <t>0992755164001</t>
  </si>
  <si>
    <t>SOLPORLLI S.A.</t>
  </si>
  <si>
    <t>NAC-DNCOIOG16-00005468</t>
  </si>
  <si>
    <t>DZ8-GPNRASC16-00000138-M</t>
  </si>
  <si>
    <t>0992797002001</t>
  </si>
  <si>
    <t>SOLTIANKEN S.A.</t>
  </si>
  <si>
    <t>DZ8-GPNOGEC18-00000007-M</t>
  </si>
  <si>
    <t>DZ8-GSORASC18-00000002-M</t>
  </si>
  <si>
    <t>0992980788001</t>
  </si>
  <si>
    <t>SOLUINDUST S.A.</t>
  </si>
  <si>
    <t>DZ8-GPNOGEC19-00000037-M</t>
  </si>
  <si>
    <t>DZ8-GPNRASC19-00000028-M</t>
  </si>
  <si>
    <t>0913809745001</t>
  </si>
  <si>
    <t>SORIANO SALAS INGRID ELIZABETH</t>
  </si>
  <si>
    <t>DZ8-GPNOPEC18-00000054-M</t>
  </si>
  <si>
    <t>DZ8-GPNRASC19-00000056-M</t>
  </si>
  <si>
    <t>0992793384001</t>
  </si>
  <si>
    <t>SORSSY S.A.</t>
  </si>
  <si>
    <t>NAC-DNCOPEC16-00161565-M</t>
  </si>
  <si>
    <t>DZ8-GCERASV16-00000015-M</t>
  </si>
  <si>
    <t>0992854030001</t>
  </si>
  <si>
    <t>SOUTH AMERICAN BUILDERS S.A. SOUTHBUILSA</t>
  </si>
  <si>
    <t>NAC-DNCOPEC16-00161986-M</t>
  </si>
  <si>
    <t>DZ8-GSORASV16-00000183-M</t>
  </si>
  <si>
    <t>0992614277001</t>
  </si>
  <si>
    <t>SPARROWTEL S.A.</t>
  </si>
  <si>
    <t>DZ8-GPNOGEV17-00000202-M</t>
  </si>
  <si>
    <t>DZ8-GPNRASV17-00000189-M</t>
  </si>
  <si>
    <t>0993008400001</t>
  </si>
  <si>
    <t>STEELCONSTRU S.A.</t>
  </si>
  <si>
    <t>DZ8-GPNOGEI17-00000554-M</t>
  </si>
  <si>
    <t>DZ8-GPNRASI17-00000207-M</t>
  </si>
  <si>
    <t>0992426705001</t>
  </si>
  <si>
    <t>STONAGI S.A.</t>
  </si>
  <si>
    <t>NAC-DNCOPEC16-00161547-M</t>
  </si>
  <si>
    <t>DZ8-GCERASV16-00000006-M</t>
  </si>
  <si>
    <t>0992931124001</t>
  </si>
  <si>
    <t>SUCCESSVIP COMPAÑIA ANONIMA</t>
  </si>
  <si>
    <t>NAC-DNCOPEC16-00161570-M</t>
  </si>
  <si>
    <t>DZ8-GCERASV16-00000019-M</t>
  </si>
  <si>
    <t>0992538864001</t>
  </si>
  <si>
    <t>SUNSERVICORP S.A.</t>
  </si>
  <si>
    <t>DZ8-GPNOGEC19-00000057-M</t>
  </si>
  <si>
    <t>DZ8-GPNRASC19-00000048-M</t>
  </si>
  <si>
    <t>0992647477001</t>
  </si>
  <si>
    <t>SUPERDIGITAL S.A.</t>
  </si>
  <si>
    <t>NAC-DNCOPEC16-00161896-M</t>
  </si>
  <si>
    <t>DZ8-GSORASV16-00000133-M</t>
  </si>
  <si>
    <t>0993009342001</t>
  </si>
  <si>
    <t>SUPPLY-BUSINESS S.A.</t>
  </si>
  <si>
    <t>DZ8-GPNOGEU17-00000644-M</t>
  </si>
  <si>
    <t>DZ8-GPNRASU17-00000229-M</t>
  </si>
  <si>
    <t>0993009563001</t>
  </si>
  <si>
    <t>SUPPLY-ELEMENTS S.A.</t>
  </si>
  <si>
    <t>DZ8-GPNOGEI17-00000557-M</t>
  </si>
  <si>
    <t>DZ8-GPNRASI17-00000217-M</t>
  </si>
  <si>
    <t>0992688556001</t>
  </si>
  <si>
    <t>SUSHIEXPRESS S.A.</t>
  </si>
  <si>
    <t>NAC-DNCOIOG16-00005464</t>
  </si>
  <si>
    <t>DZ8-GPNRASC16-00000139-M</t>
  </si>
  <si>
    <t>0992717173001</t>
  </si>
  <si>
    <t>SYNERGYVENTAS S.A</t>
  </si>
  <si>
    <t>DZ8-GPNOGEC19-00000001-M</t>
  </si>
  <si>
    <t>DZ8-GPNRASC19-00000010-M</t>
  </si>
  <si>
    <t>0992845236001</t>
  </si>
  <si>
    <t>TABULCORP S.A.</t>
  </si>
  <si>
    <t>DZ8-GPNOGEV17-00000629-M</t>
  </si>
  <si>
    <t>DZ8-GPNRASV17-00000219-M</t>
  </si>
  <si>
    <t>0992736135001</t>
  </si>
  <si>
    <t>TANUGUIR S.A.</t>
  </si>
  <si>
    <t>DZ8-GPNOGEV17-00000207-M</t>
  </si>
  <si>
    <t>DZ8-GPNRASV17-00000190-M</t>
  </si>
  <si>
    <t>0992809949001</t>
  </si>
  <si>
    <t>TARDIVOF S.A.</t>
  </si>
  <si>
    <t>NAC-DNCOPEC16-00161859-M</t>
  </si>
  <si>
    <t>DZ8-GSORASV16-00000125-M</t>
  </si>
  <si>
    <t>0992657480001</t>
  </si>
  <si>
    <t>TECHCITY S.A.</t>
  </si>
  <si>
    <t>NAC-DNCOPEC16-00161604-M</t>
  </si>
  <si>
    <t>DZ8-GCERASV16-00000033-M</t>
  </si>
  <si>
    <t>0992995823001</t>
  </si>
  <si>
    <t>TECHMONITOR INGENIERIA S.A.</t>
  </si>
  <si>
    <t>DZ8-GPNOGEI17-00000537-M</t>
  </si>
  <si>
    <t>DZ8-GPNRASC17-00000044-M</t>
  </si>
  <si>
    <t>2091756377001</t>
  </si>
  <si>
    <t>TECHNOLOGY &amp; ASOCIADOS ASISTECHSA S.A.</t>
  </si>
  <si>
    <t>NAC-DNCOPEC16-00162000-M</t>
  </si>
  <si>
    <t>DZ8-GPNRASV16-00000036-M</t>
  </si>
  <si>
    <t>0992509279001</t>
  </si>
  <si>
    <t>TECNOLOGIA TELEFONICA MODERCEL S.A.</t>
  </si>
  <si>
    <t>NAC-DNCOPEC16-00161824-M</t>
  </si>
  <si>
    <t>DZ8-GSORASV16-00000097-M</t>
  </si>
  <si>
    <t>0992736364001</t>
  </si>
  <si>
    <t>TECNONERSA S.A</t>
  </si>
  <si>
    <t>DZ8-GPNOGEC19-00000028-M</t>
  </si>
  <si>
    <t>DZ8-GPNRASC19-00000027-M</t>
  </si>
  <si>
    <t>0992537221001</t>
  </si>
  <si>
    <t>TECONSTRY S.A.</t>
  </si>
  <si>
    <t>NAC-DNCOPEC16-00161957-M</t>
  </si>
  <si>
    <t>DZ8-GSORASV16-00000161-M</t>
  </si>
  <si>
    <t>0992673729001</t>
  </si>
  <si>
    <t>TECPERFECTLY S.A.</t>
  </si>
  <si>
    <t>NAC-DNCOPEC16-00161606-M</t>
  </si>
  <si>
    <t>DZ8-GCERASV16-00000034-M</t>
  </si>
  <si>
    <t>0992670487001</t>
  </si>
  <si>
    <t>TEGOGAR S.A.</t>
  </si>
  <si>
    <t>NAC-DNCOPEC16-00161722-M</t>
  </si>
  <si>
    <t>DZ8-GSORASV16-00000220-M</t>
  </si>
  <si>
    <t>0992170751001</t>
  </si>
  <si>
    <t>TELCOMIL S.A.</t>
  </si>
  <si>
    <t>NAC-DNCOPEC16-00161881-M</t>
  </si>
  <si>
    <t>DZ8-GSORASV16-00000080-M</t>
  </si>
  <si>
    <t>0991511687001</t>
  </si>
  <si>
    <t>TELEBAK S.A.</t>
  </si>
  <si>
    <t>NAC-DNCOPEC16-00161880-M</t>
  </si>
  <si>
    <t>DZ8-GSORASV16-00000078-M</t>
  </si>
  <si>
    <t>0992942096001</t>
  </si>
  <si>
    <t>TELECLIDER S.A</t>
  </si>
  <si>
    <t>DZ8-GPNOGEC19-00000030-M</t>
  </si>
  <si>
    <t>DZ8-GPNRASC19-00000022-M</t>
  </si>
  <si>
    <t>0992674377001</t>
  </si>
  <si>
    <t>TELECOMCEL S.A.</t>
  </si>
  <si>
    <t>NAC-DNCOPEC16-00161607-M</t>
  </si>
  <si>
    <t>DZ8-GCERASV16-00000035-M</t>
  </si>
  <si>
    <t>0992898186001</t>
  </si>
  <si>
    <t>TELECOMUNICACIONES DE ELITE TELECOMUNDELITE S.A.</t>
  </si>
  <si>
    <t>NAC-DNCOPEC16-00161865-M</t>
  </si>
  <si>
    <t>DZ8-GSORASV16-00000130-M</t>
  </si>
  <si>
    <t>0992498153001</t>
  </si>
  <si>
    <t>TELEXITO S.A.</t>
  </si>
  <si>
    <t>NAC-DNCOPEC16-00161650-M</t>
  </si>
  <si>
    <t>DZ8-GCERASV16-00000051-M</t>
  </si>
  <si>
    <t>0992668547001</t>
  </si>
  <si>
    <t>TERRAGESTION S.A.</t>
  </si>
  <si>
    <t>NAC-DNCOIOG16-00005522</t>
  </si>
  <si>
    <t>DZ8-GPNRASC16-00000140-M</t>
  </si>
  <si>
    <t>0992734345001</t>
  </si>
  <si>
    <t>TERRALINEAS S.A.</t>
  </si>
  <si>
    <t>NAC-DNCOPEC16-00161848-M</t>
  </si>
  <si>
    <t>DZ8-GPNRASV16-00000037-M</t>
  </si>
  <si>
    <t>0992698403001</t>
  </si>
  <si>
    <t>TERRASEA S.A.</t>
  </si>
  <si>
    <t>NAC-DNCOPEC16-00161846-M</t>
  </si>
  <si>
    <t>DZ8-GPNRASV16-00000049-M</t>
  </si>
  <si>
    <t>0992747846001</t>
  </si>
  <si>
    <t>TERRAYORK S.A.</t>
  </si>
  <si>
    <t>NAC-DNCOPEC16-00161730-M</t>
  </si>
  <si>
    <t>DZ8-GSORASV16-00000225-M</t>
  </si>
  <si>
    <t>0992799617001</t>
  </si>
  <si>
    <t>TEXIGOLDI S.A.</t>
  </si>
  <si>
    <t>DZ8-GPNOGEV17-00000472-M</t>
  </si>
  <si>
    <t>DZ8-GPNRASV17-00000201-M</t>
  </si>
  <si>
    <t>0992789387001</t>
  </si>
  <si>
    <t>TEXYSELLI S.A.</t>
  </si>
  <si>
    <t>DZ8-GPNOGEC19-00000008-M</t>
  </si>
  <si>
    <t>DZ8-GPNRASC19-00000041-M</t>
  </si>
  <si>
    <t>0992775238001</t>
  </si>
  <si>
    <t>TIRIDENCORP S.A.</t>
  </si>
  <si>
    <t>DZ8-GSOOGEV17-00000077-M</t>
  </si>
  <si>
    <t>DZ8-GSORASV17-00000101-M</t>
  </si>
  <si>
    <t>0922809132001</t>
  </si>
  <si>
    <t>TOMALA MENDOZA HENRRY GREGORIO</t>
  </si>
  <si>
    <t>DZ8-GPNOPEC18-00000055-M</t>
  </si>
  <si>
    <t>DZ8-GPNRASC18-00000023-M</t>
  </si>
  <si>
    <t>0916314818001</t>
  </si>
  <si>
    <t>TOMALA VERA HIPOLITO HECTOR</t>
  </si>
  <si>
    <t>DZ8-GPNOGEC19-00000019-M</t>
  </si>
  <si>
    <t>DZ8-GPNRASC19-00000006-M</t>
  </si>
  <si>
    <t>0912349313001</t>
  </si>
  <si>
    <t>TORRES ZAMORA ANGEL ARSENIO</t>
  </si>
  <si>
    <t>DZ8-GPNOGEN17-00000321-M</t>
  </si>
  <si>
    <t>DZ8-GPNRASN17-00000076-M</t>
  </si>
  <si>
    <t>0992940174001</t>
  </si>
  <si>
    <t>TORRESIGMA S.A</t>
  </si>
  <si>
    <t>DZ8-GPNOGEC19-00000031-M</t>
  </si>
  <si>
    <t>DZ8-GPNRASC19-00000023-M</t>
  </si>
  <si>
    <t>0992768851001</t>
  </si>
  <si>
    <t>TORROXCORP S.A.</t>
  </si>
  <si>
    <t>NAC-DNCOPEC16-00161779-M</t>
  </si>
  <si>
    <t>DZ8-GSORASV16-00000274-M</t>
  </si>
  <si>
    <t>0993012262001</t>
  </si>
  <si>
    <t>TOWER-CONSTRUK S.A.</t>
  </si>
  <si>
    <t>DZ8-GPNOGEI17-00000560-M</t>
  </si>
  <si>
    <t>DZ8-GPNRASI17-00000218-M</t>
  </si>
  <si>
    <t>0992758392001</t>
  </si>
  <si>
    <t>TRANSINMAGISTER S.A.</t>
  </si>
  <si>
    <t>DZ8-GPNOGEV17-00000628-M</t>
  </si>
  <si>
    <t>DZ8-GPNRASV17-00000238-M</t>
  </si>
  <si>
    <t>0992439424001</t>
  </si>
  <si>
    <t>TRANSMACRO S.A.</t>
  </si>
  <si>
    <t>NAC-DNCOPEC16-00161643-M</t>
  </si>
  <si>
    <t>DZ8-GCERASV16-00000047-M</t>
  </si>
  <si>
    <t>Empresa inexistente, fantasma; o sociedad con actividades supuestas y/o transacciones inexistentes</t>
  </si>
  <si>
    <t>0992509198001</t>
  </si>
  <si>
    <t>TRANSPYASE S.A.</t>
  </si>
  <si>
    <t>NAC-DNCOPEC16-00161598-M</t>
  </si>
  <si>
    <t>DZ8-GSORASV16-00000295-M</t>
  </si>
  <si>
    <t>0992624965001</t>
  </si>
  <si>
    <t>TRIDIMENCIONAR S.A.</t>
  </si>
  <si>
    <t>NAC-DNCOPEC16-00161961-M</t>
  </si>
  <si>
    <t>DZ8-GSORASV16-00000164-M</t>
  </si>
  <si>
    <t>0992837802001</t>
  </si>
  <si>
    <t>TROBLASTO S. A.</t>
  </si>
  <si>
    <t>DZ8-GPNOGEV17-00000221-M</t>
  </si>
  <si>
    <t>DZ8-GPNRASV17-00000191-M</t>
  </si>
  <si>
    <t>0992814845001</t>
  </si>
  <si>
    <t>TRONYBIRSA S.A.</t>
  </si>
  <si>
    <t>NAC-DNCOPEC16-00161917-M</t>
  </si>
  <si>
    <t>DZ8-GSORASV16-00000147-M</t>
  </si>
  <si>
    <t>0992734647001</t>
  </si>
  <si>
    <t>TRUSTIFRINS S.A.</t>
  </si>
  <si>
    <t>DZ8-GPNOGEV17-00000249-M</t>
  </si>
  <si>
    <t>DZ8-GSORASV17-00000038-M</t>
  </si>
  <si>
    <t>0992657510001</t>
  </si>
  <si>
    <t>TURISMAGIC S.A.</t>
  </si>
  <si>
    <t>NAC-DNCOPEC16-00161964-M</t>
  </si>
  <si>
    <t>DZ8-GSORASV16-00000165-M</t>
  </si>
  <si>
    <t>0931126965001</t>
  </si>
  <si>
    <t>TUTIVEN VARGAS DIANA MELISSA</t>
  </si>
  <si>
    <t>DZ8-GPNOGEC19-00000060-M</t>
  </si>
  <si>
    <t>DZ8-GPNRASC19-00000050-M</t>
  </si>
  <si>
    <t>0956658041001</t>
  </si>
  <si>
    <t>TUTIVEN VARGAS JOSE GASTON</t>
  </si>
  <si>
    <t>DZ8-GPNOGEN17-00000293-M</t>
  </si>
  <si>
    <t>DZ8-GPNRASN17-00000056-M</t>
  </si>
  <si>
    <t>0992793260001</t>
  </si>
  <si>
    <t>UGARITURE S.A.</t>
  </si>
  <si>
    <t>NAC-DNCOIOG16-00005528</t>
  </si>
  <si>
    <t>DZ8-GPNRASC16-00000141-M</t>
  </si>
  <si>
    <t>0992709162001</t>
  </si>
  <si>
    <t>UNIKACONSTRU S.A.</t>
  </si>
  <si>
    <t>NAC-DNCOPEC16-00161777-M</t>
  </si>
  <si>
    <t>DZ8-GSORASV16-00000245-M</t>
  </si>
  <si>
    <t>0992659785001</t>
  </si>
  <si>
    <t>UNIONCOMPANY S A</t>
  </si>
  <si>
    <t>NAC-DNCOPEC16-00161965-M</t>
  </si>
  <si>
    <t>DZ8-GSORASV16-00000166-M</t>
  </si>
  <si>
    <t>0992636556001</t>
  </si>
  <si>
    <t>UNIVERFERSA S.A.</t>
  </si>
  <si>
    <t>NAC-DNCOPEC16-00161767-M</t>
  </si>
  <si>
    <t>DZ8-GSORASV16-00000238-M</t>
  </si>
  <si>
    <t>0992950307001</t>
  </si>
  <si>
    <t>UPPERCONSTRUTION S.A.</t>
  </si>
  <si>
    <t>DZ8-GPNOPEC18-00000044-M</t>
  </si>
  <si>
    <t>DZ8-GPNRASC18-00000024-M</t>
  </si>
  <si>
    <t>0992676744001</t>
  </si>
  <si>
    <t>UPSTANDING S.A.</t>
  </si>
  <si>
    <t>NAC-DNCOPEC16-00161665-M</t>
  </si>
  <si>
    <t>DZ8-GCERASV16-00000056-M</t>
  </si>
  <si>
    <t>0918828021001</t>
  </si>
  <si>
    <t>VARGAS ALVAREZ JESSICA JENNIFFER</t>
  </si>
  <si>
    <t>DZ8-GPNOGEN17-00000324-M</t>
  </si>
  <si>
    <t>DZ8-GPNRASN17-00000063-M</t>
  </si>
  <si>
    <t>0956927552001</t>
  </si>
  <si>
    <t>VARGAS ESPINOZA ANGELICA ALEJANDRA</t>
  </si>
  <si>
    <t>DZ8-GPNOGEN17-00000294-M</t>
  </si>
  <si>
    <t>DZ8-GPNRASN17-00000057-M</t>
  </si>
  <si>
    <t>0911676146001</t>
  </si>
  <si>
    <t>VARGAS GOMEZ PRISCILA CECILIA</t>
  </si>
  <si>
    <t>DZ8-GPNOGEN17-00000270-M</t>
  </si>
  <si>
    <t>DZ8-GSORASN17-00000052-M</t>
  </si>
  <si>
    <t>0906003611001</t>
  </si>
  <si>
    <t>VARGAS RAMIREZ CARLOS JORGE</t>
  </si>
  <si>
    <t>NAC-DNCOIOG16-00005300</t>
  </si>
  <si>
    <t>DZ8-GPNRASC16-00000143-M</t>
  </si>
  <si>
    <t>0992920319001</t>
  </si>
  <si>
    <t>VARIETY S.A.</t>
  </si>
  <si>
    <t>NAC-DNCOPEC16-00161683-M</t>
  </si>
  <si>
    <t>DZ8-GSORASV16-00000199-M</t>
  </si>
  <si>
    <t>0992742631001</t>
  </si>
  <si>
    <t>VAZISCOL S.A.</t>
  </si>
  <si>
    <t>NAC-DNCOPEC16-00161978-M</t>
  </si>
  <si>
    <t>DZ8-GSORASV16-00000175-M</t>
  </si>
  <si>
    <t>0992899204001</t>
  </si>
  <si>
    <t>VEINSUODON S.A</t>
  </si>
  <si>
    <t>DZ8-GPNOGEC19-00000002-M</t>
  </si>
  <si>
    <t>DZ8-GPNRASC19-00000016-M</t>
  </si>
  <si>
    <t>0991256571001</t>
  </si>
  <si>
    <t>VENTURAN S.A.</t>
  </si>
  <si>
    <t>NAC-DNCOPEC16-00161695-M</t>
  </si>
  <si>
    <t>DZ8-GPNRASV16-00000038-M</t>
  </si>
  <si>
    <t>1307084747001</t>
  </si>
  <si>
    <t>VERGARA MIRANDA LONNY ELIZABE</t>
  </si>
  <si>
    <t>DZ8-GPNOPEC18-00000040-M</t>
  </si>
  <si>
    <t>DZ8-GSORASC19-00000003-M</t>
  </si>
  <si>
    <t>0992754850001</t>
  </si>
  <si>
    <t>VERSADEY S. A.</t>
  </si>
  <si>
    <t>NAC-DNCOPEC16-00161906-M</t>
  </si>
  <si>
    <t>DZ8-GSORASV16-00000140-M</t>
  </si>
  <si>
    <t>0992806427001</t>
  </si>
  <si>
    <t>VERZALORD S.A.</t>
  </si>
  <si>
    <t>NAC-DNCOPEC16-00161916-M</t>
  </si>
  <si>
    <t>DZ8-GSORASV16-00000146-M</t>
  </si>
  <si>
    <t>0919206862001</t>
  </si>
  <si>
    <t>VILLALVA MENDIZABAL ANTONIO EDUARDO</t>
  </si>
  <si>
    <t>DZ8-GPNOGEC19-00000018-M</t>
  </si>
  <si>
    <t>DZ8-GPNRASC19-00000009-M</t>
  </si>
  <si>
    <t>0920243292001</t>
  </si>
  <si>
    <t>VILLAMAR BRAVO WILLIAM FABRICIO</t>
  </si>
  <si>
    <t>DZ8-GPNOGEO17-00000640-M</t>
  </si>
  <si>
    <t>DZ8-GPNRASO17-00000231-M</t>
  </si>
  <si>
    <t>1202134647001</t>
  </si>
  <si>
    <t>VILLAMAR ORTEGA HENRRY JONHSON</t>
  </si>
  <si>
    <t>NAC-DNCOIOG16-00005452</t>
  </si>
  <si>
    <t>DZ8-GPNRASC16-00000144-M</t>
  </si>
  <si>
    <t>0930187877001</t>
  </si>
  <si>
    <t>VILLON CAMPOZANO PEDRO ALBERTO</t>
  </si>
  <si>
    <t>DZ8-GPNOGEN17-00000638-M</t>
  </si>
  <si>
    <t>DZ8-GPNRASN17-00000233-M</t>
  </si>
  <si>
    <t>0917708364001</t>
  </si>
  <si>
    <t>VINCES TORRES DAVID ALEX</t>
  </si>
  <si>
    <t>DZ8-GSOOGEN17-00000076-M</t>
  </si>
  <si>
    <t>DZ8-GSORASN17-00000102-M</t>
  </si>
  <si>
    <t>0992615192001</t>
  </si>
  <si>
    <t>VISTASOCIA S.A.</t>
  </si>
  <si>
    <t>DZ8-GPNOGEV17-00000246-M</t>
  </si>
  <si>
    <t>DZ8-GSORASV17-00000036-M</t>
  </si>
  <si>
    <t>0992988843001</t>
  </si>
  <si>
    <t>VITALCONST S.A.</t>
  </si>
  <si>
    <t>DZ8-GPNOGEI17-00000171-M</t>
  </si>
  <si>
    <t>DZ8-GPNRASV17-00000177-M</t>
  </si>
  <si>
    <t>0992544813001</t>
  </si>
  <si>
    <t>VOXET S.A.</t>
  </si>
  <si>
    <t>DZ8-GPNOGEV17-00000201-M</t>
  </si>
  <si>
    <t>DZ8-GPNRASV17-00000192-M</t>
  </si>
  <si>
    <t>0992447788001</t>
  </si>
  <si>
    <t>VOYAGETOURING S.A.</t>
  </si>
  <si>
    <t>NAC-DNCOPEC16-00161548-M</t>
  </si>
  <si>
    <t>DZ8-GCERASV16-00000007-M</t>
  </si>
  <si>
    <t>0992768428001</t>
  </si>
  <si>
    <t>VULTURE S.A.</t>
  </si>
  <si>
    <t>DZ8-GPNOGEV17-00000254-M</t>
  </si>
  <si>
    <t>DZ8-GSORASV17-00000043-M</t>
  </si>
  <si>
    <t>0992423838001</t>
  </si>
  <si>
    <t>WERYX S.A.</t>
  </si>
  <si>
    <t>DZ8-GPNOGEV17-00000401-M</t>
  </si>
  <si>
    <t>DZ8-GPNRASV17-00000088-M</t>
  </si>
  <si>
    <t>0992969555001</t>
  </si>
  <si>
    <t>WESTRAX S.A.</t>
  </si>
  <si>
    <t>DZ8-GPNOGEV17-00000190-M</t>
  </si>
  <si>
    <t>DZ8-GPNRASV17-00000150-M</t>
  </si>
  <si>
    <t>0992800283001</t>
  </si>
  <si>
    <t>WINZOVEN S.A.</t>
  </si>
  <si>
    <t>NAC-DNCOPEC16-00161914-M</t>
  </si>
  <si>
    <t>DZ8-GSORASV16-00000144-M</t>
  </si>
  <si>
    <t>0992525169001</t>
  </si>
  <si>
    <t>WORKCOMTI S.A.</t>
  </si>
  <si>
    <t>NAC-DNCOPEC16-00161553-M</t>
  </si>
  <si>
    <t>DZ8-GPNRASV16-00000048-M</t>
  </si>
  <si>
    <t>0992898801001</t>
  </si>
  <si>
    <t>WORKPRENSA S.A.</t>
  </si>
  <si>
    <t>DZ8-GPNOGEV17-00000093-M</t>
  </si>
  <si>
    <t>DZ8-GPNRASV17-00000077-M</t>
  </si>
  <si>
    <t>0992793996001</t>
  </si>
  <si>
    <t>XIONEGTI S.A.</t>
  </si>
  <si>
    <t>NAC-DNCOPEC16-00161787-M</t>
  </si>
  <si>
    <t>DZ8-GSORASV16-00000121-M</t>
  </si>
  <si>
    <t>0992806176001</t>
  </si>
  <si>
    <t>YENZONAL S.A.</t>
  </si>
  <si>
    <t>NAC-DNCOPEC16-00161789-M</t>
  </si>
  <si>
    <t>DZ8-GPNRASV16-00000029-M</t>
  </si>
  <si>
    <t>0992772530001</t>
  </si>
  <si>
    <t>YERVERI S.A.</t>
  </si>
  <si>
    <t>NAC-DNCOPEC16-00161781-M</t>
  </si>
  <si>
    <t>DZ8-GSORASV16-00000247-M</t>
  </si>
  <si>
    <t>0992511389001</t>
  </si>
  <si>
    <t>YODDOSA S.A.</t>
  </si>
  <si>
    <t>NAC-DNCOPEC16-00161599-M</t>
  </si>
  <si>
    <t>DZ8-GPNRASV16-00000043-M</t>
  </si>
  <si>
    <t>0992641320001</t>
  </si>
  <si>
    <t>YOHIRO S.A.</t>
  </si>
  <si>
    <t>NAC-DNCOPEC16-00161832-M</t>
  </si>
  <si>
    <t>DZ8-GSORASV16-00000105-M</t>
  </si>
  <si>
    <t>0992474122001</t>
  </si>
  <si>
    <t>YUDERT S.A.</t>
  </si>
  <si>
    <t>NAC-DNCOPEC16-00161889-M</t>
  </si>
  <si>
    <t>DZ8-GSORASV16-00000092-M</t>
  </si>
  <si>
    <t>0992459530001</t>
  </si>
  <si>
    <t>YUREXCORP S.A.</t>
  </si>
  <si>
    <t>NAC-DNCOPEC16-00161645-M</t>
  </si>
  <si>
    <t>DZ8-GCERASV16-00000048-M</t>
  </si>
  <si>
    <t>0919257840001</t>
  </si>
  <si>
    <t>ZAMBRANO ALMENDARIZ RICHARD ANIBAL</t>
  </si>
  <si>
    <t>DZ8-GPNOPEC18-00000027-M</t>
  </si>
  <si>
    <t>DZ8-GPNRASC19-00000053-M</t>
  </si>
  <si>
    <t>0924422967001</t>
  </si>
  <si>
    <t>ZAMBRANO MANZABA BENO ERNESTO</t>
  </si>
  <si>
    <t>DZ8-ASOOPEN18-00000001-M</t>
  </si>
  <si>
    <t>DZ8-GPNRASC19-00000001-M</t>
  </si>
  <si>
    <t>0704248988001</t>
  </si>
  <si>
    <t>ZAMBRANO RUMIPULLA JAIME ALBERTO</t>
  </si>
  <si>
    <t>NAC-DNCOIOG16-00005384</t>
  </si>
  <si>
    <t>DZ8-GPNRASC16-00000145-M</t>
  </si>
  <si>
    <t>0925596751001</t>
  </si>
  <si>
    <t>ZAMBRANO VERA CYNTHIA DENISSE</t>
  </si>
  <si>
    <t>DZ8-GPNOPEC18-00000028-M</t>
  </si>
  <si>
    <t>DZ8-GSORASC19-00000004-M</t>
  </si>
  <si>
    <t>NAC-RRRRRVC22-00000197</t>
  </si>
  <si>
    <t>0992759283001</t>
  </si>
  <si>
    <t>ZAMPRIME S.A.</t>
  </si>
  <si>
    <t>NAC-DNCOPEC16-00161907-M</t>
  </si>
  <si>
    <t>DZ8-GSORASV16-00000141-M</t>
  </si>
  <si>
    <t>1792198143001</t>
  </si>
  <si>
    <t>GEMASMART CIA. LTDA.</t>
  </si>
  <si>
    <t>ZONA 9</t>
  </si>
  <si>
    <t>DZ9-GCEOGEC19-00000004-M</t>
  </si>
  <si>
    <t>DZ9-GCERASC20-00000001-M</t>
  </si>
  <si>
    <t>Empresa fantasmas con transacciones inexistentes</t>
  </si>
  <si>
    <t>0903589497001</t>
  </si>
  <si>
    <t>MORAN MACIAS PEDRO FERNANDO</t>
  </si>
  <si>
    <t>DZ9-GTRORIC18-00000026-M</t>
  </si>
  <si>
    <t>DZ9-GSORASC18-00000008-M</t>
  </si>
  <si>
    <t>1792382912001</t>
  </si>
  <si>
    <t>PROMEAMBIENTE S.A PRODUCTOS DEL MEDIO AMBIENTE</t>
  </si>
  <si>
    <t>DZ9-GTRORIC18-00000025-M</t>
  </si>
  <si>
    <t>DZ9-GSORASC18-00000010-M</t>
  </si>
  <si>
    <t>1792118328001</t>
  </si>
  <si>
    <t>SIGMATRON CIA. LTDA.</t>
  </si>
  <si>
    <t xml:space="preserve">DZ9-GCEOGEC19-00000001-M
</t>
  </si>
  <si>
    <t>DZ9-GCERASC19-00000001-M</t>
  </si>
  <si>
    <t>1792106974001</t>
  </si>
  <si>
    <t>SOCIEDAD DE HECHO EXOTIC CHIPS CO.</t>
  </si>
  <si>
    <t>DZ9-GSOORIC19-00000115-M</t>
  </si>
  <si>
    <t>DZ9-GSORASC20-00000002-M</t>
  </si>
  <si>
    <t>1792466210001</t>
  </si>
  <si>
    <t>YOUTH AND CULTURE YOUCULT CIA. LTDA.</t>
  </si>
  <si>
    <t>DZ9-GSOORIC19-00000048-M</t>
  </si>
  <si>
    <t xml:space="preserve">  </t>
  </si>
  <si>
    <t>DZ9-GSORASC20-00000001-M</t>
  </si>
  <si>
    <t>1715413983001</t>
  </si>
  <si>
    <t>ANDRADE QUINTANA PATRICIO CONSTANTINO</t>
  </si>
  <si>
    <t>DZ9-GTRORIC18-00000002-M</t>
  </si>
  <si>
    <t>DZ9-GSORASC18-00000004-M</t>
  </si>
  <si>
    <t>1721588620001</t>
  </si>
  <si>
    <t>ACURIO MONCERRATE KARINA ELENA</t>
  </si>
  <si>
    <t>NAC-DNCOIOG16-00005324</t>
  </si>
  <si>
    <t>DZ9-GPNRSAV16-00000007-M</t>
  </si>
  <si>
    <t>1792502284001</t>
  </si>
  <si>
    <t>AGUIRRE YOVANNY</t>
  </si>
  <si>
    <t>DZ9-GPNOIOC17-00000072-M</t>
  </si>
  <si>
    <t>DZ9-GPNRASC17-00000004-M</t>
  </si>
  <si>
    <t>0600762173001</t>
  </si>
  <si>
    <t>ALCIVAR RECALDE MARCO ANTONIO</t>
  </si>
  <si>
    <t>DZ9-GPNOIOC17-00000066-M</t>
  </si>
  <si>
    <t>DZ9-GPNRASC17-00000018-M</t>
  </si>
  <si>
    <t>1705010989001</t>
  </si>
  <si>
    <t>ALMEIDA MEJIA PATRICIA ROCIO DE LOS ANGELES</t>
  </si>
  <si>
    <t>NAC-DNCOIOG16-00005351</t>
  </si>
  <si>
    <t>DZ9-GPNRSAV16-00000012-M</t>
  </si>
  <si>
    <t>1792623375001</t>
  </si>
  <si>
    <t>ANDINO &amp; PINOS AMPG ASOCIADOS SA</t>
  </si>
  <si>
    <t>DZ9-GPNOIOC17-00000054-M</t>
  </si>
  <si>
    <t>DZ9-GPNRASC17-00000015-M</t>
  </si>
  <si>
    <t>Empresa inexistente y/o fantasma</t>
  </si>
  <si>
    <t>1712485224001</t>
  </si>
  <si>
    <t>ANDRADE ALCÁZAR SANTIAGO ALEJANDRO</t>
  </si>
  <si>
    <t>DZ9-GPNOGEC18-00000002-M</t>
  </si>
  <si>
    <t>DZ9-GCERASC18-00000002-M</t>
  </si>
  <si>
    <t>1501104473001</t>
  </si>
  <si>
    <t>ANDY CERDA FREDY SANDRO</t>
  </si>
  <si>
    <t>DZ9-GPNOIOC17-00000057-M</t>
  </si>
  <si>
    <t>DZ9-GPNRASC17-00000019-M</t>
  </si>
  <si>
    <t>1792107652001</t>
  </si>
  <si>
    <t>APRENDIENDO A APRENDER METODOS APRENDEME CIA. LTDA.</t>
  </si>
  <si>
    <t>NAC-DNCOIOG16-00005477</t>
  </si>
  <si>
    <t>DZ9-GSORSAV16-00000036-M</t>
  </si>
  <si>
    <t>1714976006001</t>
  </si>
  <si>
    <t>ARIAS LOZADA CRISTHIAN PATRICIO</t>
  </si>
  <si>
    <t>NAC-DNCOIOG16-00005421</t>
  </si>
  <si>
    <t>DZ9-GPNRSAV16-00000004-M</t>
  </si>
  <si>
    <t>1792708346001</t>
  </si>
  <si>
    <t>ASESORA MAGANI GAVELA ASEMAGANI CIA.LTDA.</t>
  </si>
  <si>
    <t>DZ9-GPNOIOC17-00000053-M</t>
  </si>
  <si>
    <t>DZ9-GPNRASC17-00000028-M</t>
  </si>
  <si>
    <t>1792485533001</t>
  </si>
  <si>
    <t>ASESORIA TECNOLOGICA BARESCO S.A.</t>
  </si>
  <si>
    <t>DZ9-GTRORIC18-00000109-M</t>
  </si>
  <si>
    <t>DZ9-GPNRASC18-00000009-M</t>
  </si>
  <si>
    <t>1792656222001</t>
  </si>
  <si>
    <t>ASOCIACION DE CUENTAS EN PARTICIPACION BH INNOVACIONES</t>
  </si>
  <si>
    <t>DZ9-GPNOIOC17-00000091-M</t>
  </si>
  <si>
    <t>DZ9-GPNRASC17-00000011-M</t>
  </si>
  <si>
    <t>Empresa inexistente / fantasma</t>
  </si>
  <si>
    <t>117012018OGTN018118</t>
  </si>
  <si>
    <t>1311332546001</t>
  </si>
  <si>
    <t>BARRETO ANCHUNDIA DANIEL EDUARDO</t>
  </si>
  <si>
    <t>NAC-DNCOIOG16-00005304</t>
  </si>
  <si>
    <t>DZ9-GPNRSAV16-00000011-M</t>
  </si>
  <si>
    <t>0916903701001</t>
  </si>
  <si>
    <t>BASTIDAS MALDONADO MARCO ROLANDO</t>
  </si>
  <si>
    <t>DZ9-APNOGE2417-0001009-M</t>
  </si>
  <si>
    <t>DZ9-GPNRASC17-00000047-M</t>
  </si>
  <si>
    <t>1706578075001</t>
  </si>
  <si>
    <t>BERRU CARRION JOSE ARMANDO</t>
  </si>
  <si>
    <t>DZ9-GPNOIOC17-00000062-M</t>
  </si>
  <si>
    <t>DZ9-GPNRASC17-00000039-M</t>
  </si>
  <si>
    <t>117012019OGTN011614</t>
  </si>
  <si>
    <t>1709388183001</t>
  </si>
  <si>
    <t>CASCO GUERRA LENIN PATRICIO</t>
  </si>
  <si>
    <t>DZ9-GTRORIC18-00000112-M</t>
  </si>
  <si>
    <t>DZ9-GCERASC18-00000012-M</t>
  </si>
  <si>
    <t>NAC-RRRRRVC21-00000254</t>
  </si>
  <si>
    <t>117012019OGTN012413</t>
  </si>
  <si>
    <t>1792703905001</t>
  </si>
  <si>
    <t>BLOCKFAST ECUADOR S A</t>
  </si>
  <si>
    <t>DZ9-GPNOIOC17-00000059-M</t>
  </si>
  <si>
    <t>DZ9-GPNRASC17-00000029-M</t>
  </si>
  <si>
    <t>1713940979001</t>
  </si>
  <si>
    <t>BRAVO JIMENEZ ANGEL GUSTAVO</t>
  </si>
  <si>
    <t>DZ9-GPNOGEC18-00000001-M</t>
  </si>
  <si>
    <t>DZ9-GCERASC18-00000001-M</t>
  </si>
  <si>
    <t>1792649951001</t>
  </si>
  <si>
    <t>BRB REPS S.A.</t>
  </si>
  <si>
    <t>DZ9-GPNOIOC17-00000086-M</t>
  </si>
  <si>
    <t>DZ9-GPNRASC17-00000012-M</t>
  </si>
  <si>
    <t>1792342767001</t>
  </si>
  <si>
    <t>BUCANOS S.C.C.</t>
  </si>
  <si>
    <t>DZ9-GPNOIOC17-00000049-M</t>
  </si>
  <si>
    <t>DZ9-GPNRASC17-00000023-M</t>
  </si>
  <si>
    <t>1710636372001</t>
  </si>
  <si>
    <t>CALDERON DIAZ BYRON RICHARD</t>
  </si>
  <si>
    <t>NAC-DNCOIOG16-00005302</t>
  </si>
  <si>
    <t>DZ9-GPNRSAV16-00000016-M</t>
  </si>
  <si>
    <t>1790949583001</t>
  </si>
  <si>
    <t>CARBUROS Y HERRAMIENTAS CARHER CIA. LTDA.</t>
  </si>
  <si>
    <t>NAC-DNCOIOG16-00005488</t>
  </si>
  <si>
    <t>DZ9-GSORSAV16-00000035-M</t>
  </si>
  <si>
    <t>1792122929001</t>
  </si>
  <si>
    <t>CCGMINING SOUTH AMERICA CIA. LTDA.</t>
  </si>
  <si>
    <t>DZ9-GTRORIC18-00000095-M</t>
  </si>
  <si>
    <t>DZ9-GPNRASC18-00000016-M</t>
  </si>
  <si>
    <t>1790581810001</t>
  </si>
  <si>
    <t>CHILE CHICAIZA LUIS HUMBERTO</t>
  </si>
  <si>
    <t>DZ9-GPNOIOC17-00000099-M</t>
  </si>
  <si>
    <t>DZ9-GPNRASC17-00000036-M</t>
  </si>
  <si>
    <t>1792207681001</t>
  </si>
  <si>
    <t>CMCOMUNICACION CIA. LTDA.</t>
  </si>
  <si>
    <t>NAC-DNCOIOG16-00005508</t>
  </si>
  <si>
    <t>DZ9-GSORSAV16-00000037-M</t>
  </si>
  <si>
    <t>1792534194001</t>
  </si>
  <si>
    <t>CONSTRUCCIONES ECOLOGICAS INDUSTRIALES SOCIEDAD CIVIL Y COMERCIAL</t>
  </si>
  <si>
    <t>DZ9-GPNOIOC17-00000074-M</t>
  </si>
  <si>
    <t>DZ9-GPNRASC17-00000020-M</t>
  </si>
  <si>
    <t>1792433010001</t>
  </si>
  <si>
    <t>COMCOLEMPA ASESORIA EMPRESARIAL S.A.</t>
  </si>
  <si>
    <t>NAC-DNCOPEC16-00161631-M</t>
  </si>
  <si>
    <t>DZ9-GSORSAV16-00000028-M</t>
  </si>
  <si>
    <t>1792694248001</t>
  </si>
  <si>
    <t>COMERCIALIZADORA CCVP CIA. LTDA.</t>
  </si>
  <si>
    <t>DZ9-GPNOIOC17-00000060-M</t>
  </si>
  <si>
    <t>DZ9-GPNRASC17-00000016-M</t>
  </si>
  <si>
    <t>1792135168001</t>
  </si>
  <si>
    <t>COMERMAGANI S.A.</t>
  </si>
  <si>
    <t>NAC-DNCOPEC16-00161574-M</t>
  </si>
  <si>
    <t>DZ9-GSORSAV16-00000012-M</t>
  </si>
  <si>
    <t>1792289939001</t>
  </si>
  <si>
    <t>COMPAÑIA NACIONAL DE TRIBUTACION MORILLO &amp; PAREDES ASOCIADOS CIA. LTDA.</t>
  </si>
  <si>
    <t>NAC-DNCOIOG16-00005525</t>
  </si>
  <si>
    <t>DZ9-GSORSAV16-00000038-M</t>
  </si>
  <si>
    <t>1791737253001</t>
  </si>
  <si>
    <t>CONSORCIO TEXTIL AMERICANO COTEA SCCI</t>
  </si>
  <si>
    <t>DZ9-GPNOGEC19-00000001-M</t>
  </si>
  <si>
    <t>DZ9-GPNRASC19-00000002-M</t>
  </si>
  <si>
    <t>1792715911001</t>
  </si>
  <si>
    <t>CONSTRUCCHICAIZA CONSTRUCTORES CIA LTDA</t>
  </si>
  <si>
    <t>DZ9-GPNOIOC17-00000064-M</t>
  </si>
  <si>
    <t>DZ9-GPNRASC17-00000030-M</t>
  </si>
  <si>
    <t>117012018OGTN008407</t>
  </si>
  <si>
    <t>1709823098001</t>
  </si>
  <si>
    <t>DAVILA JURADO CARLOS IVAN</t>
  </si>
  <si>
    <t>NAC-DNCOIOG16-00005313</t>
  </si>
  <si>
    <t>DZ9-GPNRSAV16-00000008-M</t>
  </si>
  <si>
    <t>0400089215001</t>
  </si>
  <si>
    <t>DAVILA PASPUEL CARLOS EFREN</t>
  </si>
  <si>
    <t>NAC-DNCOIOG16-00005399</t>
  </si>
  <si>
    <t>DZ9-GPNRSAV16-00000014-M</t>
  </si>
  <si>
    <t>1792390931001</t>
  </si>
  <si>
    <t>DEFENSA Y REPRESENTACION JURIDICA DEYREPJUR CIA LTDA.</t>
  </si>
  <si>
    <t>NAC-DNCOPEC16-00161799-M</t>
  </si>
  <si>
    <t>DZ9-GSORSAV16-00000011-M</t>
  </si>
  <si>
    <t>1792378370001</t>
  </si>
  <si>
    <t>DELINEO ASESORES S.A.</t>
  </si>
  <si>
    <t>DZ9-GTRORIC18-00000078-M</t>
  </si>
  <si>
    <t>DZ9-GSORASC18-00000001-M</t>
  </si>
  <si>
    <t>Empresa con transacciones inexistentes</t>
  </si>
  <si>
    <t>1791742060001</t>
  </si>
  <si>
    <t>ECPOLPARTNERS S.A</t>
  </si>
  <si>
    <t>NAC-DNCOPEC16-00161867-M</t>
  </si>
  <si>
    <t>DZ9-GSORSAV16-00000013-M</t>
  </si>
  <si>
    <t>1792414075001</t>
  </si>
  <si>
    <t>ECUTECCOM TECNOLOGIA CONSULTORIA S.A.</t>
  </si>
  <si>
    <t>DZ9-GPNOIOC17-00000050-M</t>
  </si>
  <si>
    <t>DZ9-GPNRASC17-00000024-M</t>
  </si>
  <si>
    <t>1792482143001</t>
  </si>
  <si>
    <t>ES CONCRETO</t>
  </si>
  <si>
    <t>DZ9-GTRORIC18-00000073-M</t>
  </si>
  <si>
    <t>DZ9-GCERASC18-00000006-M</t>
  </si>
  <si>
    <t>1715680631001</t>
  </si>
  <si>
    <t>ESPINOZA VILLARREAL JUAN FRANCISCO</t>
  </si>
  <si>
    <t>DZ9-GPNOIOC17-00000080-M</t>
  </si>
  <si>
    <t>DZ9-GPNRASC17-00000014-M</t>
  </si>
  <si>
    <t>1710268226001</t>
  </si>
  <si>
    <t>FLAUTERO CORREDOR FERNANDO</t>
  </si>
  <si>
    <t>NAC-DNCOIOG16-00005311</t>
  </si>
  <si>
    <t>DZ9-GPNRSAV16-00000010-M</t>
  </si>
  <si>
    <t>117012017OGTN017584</t>
  </si>
  <si>
    <t>1792262674001</t>
  </si>
  <si>
    <t>FLOWERDEPOT S.A.</t>
  </si>
  <si>
    <t>NAC-DNCOPEC16-00161687-M</t>
  </si>
  <si>
    <t>DZ9-GSORSAV16-00000027-M</t>
  </si>
  <si>
    <t>1707390900001</t>
  </si>
  <si>
    <t>FONSECA ROJAS CARLOS MANUEL</t>
  </si>
  <si>
    <t>NAC-DNCOIOG16-00005375</t>
  </si>
  <si>
    <t>DZ9-GPNRSAV16-00000017-M</t>
  </si>
  <si>
    <t>117012018OGTN009281</t>
  </si>
  <si>
    <t>1792433703001</t>
  </si>
  <si>
    <t>GENERADORA ELECTRICA DEL VALLE DELVAGENEC S.A</t>
  </si>
  <si>
    <t>DZ9-GPNOIOC17-00000051-M</t>
  </si>
  <si>
    <t>DZ9-GPNRASC17-00000025-M</t>
  </si>
  <si>
    <t>1792377676001</t>
  </si>
  <si>
    <t>GESINKOB ASESORIA &amp; GESTION EMPRESARIAL COMPAÑIA LIMITADA</t>
  </si>
  <si>
    <t>NAC-DNCOPEC16-00161689-M</t>
  </si>
  <si>
    <t>DZ9-GSORSAV16-00000019-M</t>
  </si>
  <si>
    <t>1792391482001</t>
  </si>
  <si>
    <t>GESTION INTEGRAL DEL AGUA DE HUELVA S.A.</t>
  </si>
  <si>
    <t>NAC-DNCOPEC16-00161800-M</t>
  </si>
  <si>
    <t>DZ9-GSORSAV16-00000024-M</t>
  </si>
  <si>
    <t>1792722373001</t>
  </si>
  <si>
    <t>GRBT CONSTRUCCIONES S.A.</t>
  </si>
  <si>
    <t>DZ9-GPNOIOC17-00000069-M</t>
  </si>
  <si>
    <t>DZ9-GPNRASC17-00000031-M</t>
  </si>
  <si>
    <t>1715576748001</t>
  </si>
  <si>
    <t>GUACOLLANTE TATAYO LUIS ARTURO</t>
  </si>
  <si>
    <t>DZ9-GPNOIOC17-00000077-M</t>
  </si>
  <si>
    <t>DZ9-GPNRASC17-00000009-M</t>
  </si>
  <si>
    <t>DZ9-GPNOGEC20-00000016-M</t>
  </si>
  <si>
    <t>1792471303001</t>
  </si>
  <si>
    <t>GUERRERO RAMIREZ WILSON ANDRES</t>
  </si>
  <si>
    <t>DZ9-GPNOIOC17-00000082-M</t>
  </si>
  <si>
    <t>DZ9-GPNRASC17-00000003-M</t>
  </si>
  <si>
    <t>1714080932001</t>
  </si>
  <si>
    <t>GUILLEN ESCUDERO DANNY ISRAEL</t>
  </si>
  <si>
    <t>DZ9-GPNOIOC17-00000075-M</t>
  </si>
  <si>
    <t>DZ9-GPNRASC17-00000008-M</t>
  </si>
  <si>
    <t>1792375207001</t>
  </si>
  <si>
    <t>IMPORTVAC</t>
  </si>
  <si>
    <t>NAC-DNCOPEC16-00161688-M</t>
  </si>
  <si>
    <t>DZ9-GSORSAV16-00000002-M</t>
  </si>
  <si>
    <t>1791773861001</t>
  </si>
  <si>
    <t>INTISAYA VIAJES Y TURISMO CIA. LTDA</t>
  </si>
  <si>
    <t>NAC-DNCOPEC16-00161994-M</t>
  </si>
  <si>
    <t>DZ9-GSORSAV16-00000006-M</t>
  </si>
  <si>
    <t>1714586060001</t>
  </si>
  <si>
    <t>JACOME LLIVE JOHAN STUARD</t>
  </si>
  <si>
    <t>DZ9-GTRORIC18-00000035-M</t>
  </si>
  <si>
    <t>DZ9-GPNRASC18-00000015-M</t>
  </si>
  <si>
    <t>1400826374001</t>
  </si>
  <si>
    <t>JIMPIKIT ANCHUMIR HERNAN JESUS</t>
  </si>
  <si>
    <t>DZ9-GPNOIOC17-00000100-M</t>
  </si>
  <si>
    <t>DZ9-GPNRASC17-00000021-M</t>
  </si>
  <si>
    <t>1792427169001</t>
  </si>
  <si>
    <t>JMGM SERVICIOS COMPARTIDOS</t>
  </si>
  <si>
    <t>NAC-DNCOPEC16-00161999-M</t>
  </si>
  <si>
    <t>DZ9-GSORSAV16-00000004-M</t>
  </si>
  <si>
    <t>1792679737001</t>
  </si>
  <si>
    <t>JULIO CRESPO ECUADOR JULCRES S.A</t>
  </si>
  <si>
    <t>DZ9-GPNOIOC17-00000092-M</t>
  </si>
  <si>
    <t>DZ9-GPNRASC17-00000013-M</t>
  </si>
  <si>
    <t>1792353505001</t>
  </si>
  <si>
    <t>KILATESGOLD S.A.</t>
  </si>
  <si>
    <t>NAC-DNCOIOG16-00005478</t>
  </si>
  <si>
    <t>DZ9-GSORSAV16-00000040-M</t>
  </si>
  <si>
    <t>1792592992001</t>
  </si>
  <si>
    <t>KIT KAYNAMI INBOUND TOURISM</t>
  </si>
  <si>
    <t>DZ9-GPNOIOC17-00000061-M</t>
  </si>
  <si>
    <t>DZ9-GPNRASC17-00000032-M</t>
  </si>
  <si>
    <t>1706734025001</t>
  </si>
  <si>
    <t>LAIME NOGUERA LUIS PATRICIO</t>
  </si>
  <si>
    <t>DZ9-GPNOIOC18-00000005-M</t>
  </si>
  <si>
    <t>DZ9-GPNRASC18-00000007-M</t>
  </si>
  <si>
    <t>1792418062001</t>
  </si>
  <si>
    <t>LITIO ESTACION PUBLICITARIA LITIOPUBLICITY S.A.</t>
  </si>
  <si>
    <t>NAC-DNCOPEC16-00161630-M</t>
  </si>
  <si>
    <t>DZ9-GSORSAV16-00000014-M</t>
  </si>
  <si>
    <t>1792403367001</t>
  </si>
  <si>
    <t>MASMOVILEC MODELOS INTERACTIVOS CIA. LTDA.</t>
  </si>
  <si>
    <t>NAC-DNCOPEC16-00161629-M</t>
  </si>
  <si>
    <t>DZ9-GSORSAV16-00000034-M</t>
  </si>
  <si>
    <t>117012018OGTS001195</t>
  </si>
  <si>
    <t>RECHAZA</t>
  </si>
  <si>
    <t>1792089859001</t>
  </si>
  <si>
    <t>MILANFASHION CIA. LTDA.</t>
  </si>
  <si>
    <t>NAC-DNCOPEC16-00161625-M</t>
  </si>
  <si>
    <t>DZ9-GSORSAV16-00000020-M</t>
  </si>
  <si>
    <t>1791882946001</t>
  </si>
  <si>
    <t>MONTBEACH TOURS CIA. LTDA.</t>
  </si>
  <si>
    <t>NAC-DNCOPEC16-00161741-M</t>
  </si>
  <si>
    <t>DZ9-GSORSAV16-00000029-M</t>
  </si>
  <si>
    <t>1708803638001</t>
  </si>
  <si>
    <t>MORALES VILLARREAL CRISTOBAL NORMANDIER</t>
  </si>
  <si>
    <t>NAC-DNCOIOG16-00005420</t>
  </si>
  <si>
    <t>DZ9-GPNRSAV16-00000001-M</t>
  </si>
  <si>
    <t>DZ9-GCEPTPTI19-00000686-M</t>
  </si>
  <si>
    <t>1716161615001</t>
  </si>
  <si>
    <t>MUÑOZ CELI LUIGY ALBERTO</t>
  </si>
  <si>
    <t>DZ9-GPNOIOC17-00000083-M</t>
  </si>
  <si>
    <t>DZ9-GPNRASC17-00000010-M</t>
  </si>
  <si>
    <t>1792060869001</t>
  </si>
  <si>
    <t>MVM MAXIVISION MICROEMPRESARIAL CIA. LTDA.</t>
  </si>
  <si>
    <t>DZ9-GPNOIOC17-00000047-M</t>
  </si>
  <si>
    <t>DZ9-GPNRASC17-00000026-M</t>
  </si>
  <si>
    <t>1792511895001</t>
  </si>
  <si>
    <t>NOBOA NUÑEZ SERVICIOS PARA LA CONSTRUCCION CIA. LTDA.</t>
  </si>
  <si>
    <t>DZ9-GTRORIC18-00000100-M</t>
  </si>
  <si>
    <t>DZ9-GCERASC18-00000013-M</t>
  </si>
  <si>
    <t>1703825883001</t>
  </si>
  <si>
    <t>PAREDES DÁVILA EDUARDO IVÁN</t>
  </si>
  <si>
    <t>DZ9-GPNOGEC19-00000026-M</t>
  </si>
  <si>
    <t>DZ9-GPNRASC20-00000001-M</t>
  </si>
  <si>
    <t>1711394757001</t>
  </si>
  <si>
    <t>PILPE TOAPANTA ALEXANDER JAVIER</t>
  </si>
  <si>
    <t>DZ9-GPNOIOC17-00000056-M</t>
  </si>
  <si>
    <t>DZ9-GPNRASC17-00000005-M</t>
  </si>
  <si>
    <t>1792336007001</t>
  </si>
  <si>
    <t>PUBLICIDAD Y PROMOCIONES PUBLIPROMOTION S.A.</t>
  </si>
  <si>
    <t>NAC-DNCOPEC16-00161931-M</t>
  </si>
  <si>
    <t>DZ9-GSORSAV16-00000016-M</t>
  </si>
  <si>
    <t>1716737935001</t>
  </si>
  <si>
    <t>REVILLA MURILLO MARLENE ANGELITA</t>
  </si>
  <si>
    <t>DZ9-GTRORIC18-00000118-M</t>
  </si>
  <si>
    <t>DZ9-GPNRASC18-00000008-M</t>
  </si>
  <si>
    <t>DZ9-GSOOGEC21-00000240-M</t>
  </si>
  <si>
    <t>1792253969001</t>
  </si>
  <si>
    <t>RIELEQUIP CIA. LTDA</t>
  </si>
  <si>
    <t>NAC-DNCOPEC16-00161686-M</t>
  </si>
  <si>
    <t>DZ9-GSORSAV16-00000031-M</t>
  </si>
  <si>
    <t>1710998301001</t>
  </si>
  <si>
    <t>RIVADENEIRA ALMEIDA PATRICIA ALEJANDRA</t>
  </si>
  <si>
    <t>NAC-DNCOIOG16-00005352</t>
  </si>
  <si>
    <t>DZ9-GPNRSAV16-00000009-M</t>
  </si>
  <si>
    <t>1710114461001</t>
  </si>
  <si>
    <t>SALAZAR VILLAVICENCIO FABIAN MARCELO</t>
  </si>
  <si>
    <t>DZ9-GSOOGEC19-00000001-M</t>
  </si>
  <si>
    <t>DZ9-GSORASC19-00000002-M</t>
  </si>
  <si>
    <t>1714973235001</t>
  </si>
  <si>
    <t>SAMBUCCI VALDIVIESO ESTEBAN DANILO</t>
  </si>
  <si>
    <t>DZ9-GTRORIC18-00000004-M</t>
  </si>
  <si>
    <t>DZ9-GSORASC18-00000012-M</t>
  </si>
  <si>
    <t>0926723636001</t>
  </si>
  <si>
    <t>SANTY SAENZ DE VITERI AURORA ANDREA</t>
  </si>
  <si>
    <t>NAC-DNCOIOG16-00005425</t>
  </si>
  <si>
    <t>DZ9-GPNRSAV16-00000006-M</t>
  </si>
  <si>
    <t>1792588928001</t>
  </si>
  <si>
    <t>SECURITYOPERATIONCENTERECUADOR CIA.LTDA.</t>
  </si>
  <si>
    <t>DZ9-GPNOIOC17-00000076-M</t>
  </si>
  <si>
    <t>DZ9-GPNRASC17-00000034-M</t>
  </si>
  <si>
    <t>Empresa fantasma o inexistente</t>
  </si>
  <si>
    <t>1792718074001</t>
  </si>
  <si>
    <t>SFCLOGISTIC CIA.LTDA.</t>
  </si>
  <si>
    <t>DZ9-GTRORIC18-00000070-M</t>
  </si>
  <si>
    <t>DZ9-GPNRASC18-00000012-M</t>
  </si>
  <si>
    <t>1308457272001</t>
  </si>
  <si>
    <t>SEGOVIA ESPINOZA MARIA RUBELIA</t>
  </si>
  <si>
    <t>DZ9-GCEORIC18-00000105-M</t>
  </si>
  <si>
    <t>DZ9-GCERASC18-00000004-M</t>
  </si>
  <si>
    <t>1792353815001</t>
  </si>
  <si>
    <t>SERVICIOS ELECTROMECANICOS ELECMEC CIA. TDA</t>
  </si>
  <si>
    <t>NAC-DNCOPEC16-00161872-M</t>
  </si>
  <si>
    <t>DZ9-GSORSAV16-00000008-M</t>
  </si>
  <si>
    <t>1713392486001</t>
  </si>
  <si>
    <t>SILVA PAZMIÑO DIEGO FERNANDO</t>
  </si>
  <si>
    <t>DZ9-GPNOIOC17-00000090-M</t>
  </si>
  <si>
    <t>DZ9-GPNRASC17-00000037-M</t>
  </si>
  <si>
    <t>1792282314001</t>
  </si>
  <si>
    <t>SIMPLIFICATE</t>
  </si>
  <si>
    <t>NAC-DNCOPEC16-00161930-M</t>
  </si>
  <si>
    <t>DZ9-GSORSAV16-00000021-M</t>
  </si>
  <si>
    <t>1792226600001</t>
  </si>
  <si>
    <t>STEMCELL CENTRO DE ANTIENVEJECIMIENTO CIA. LTDA.</t>
  </si>
  <si>
    <t>NAC-DNCOIOG16-00005460</t>
  </si>
  <si>
    <t>DZ9-GSORSAV16-00000041-M</t>
  </si>
  <si>
    <t>1792383773001</t>
  </si>
  <si>
    <t>SUMINISTROSCADEX S.A.</t>
  </si>
  <si>
    <t>DZ9-GTROGEC18-00000031-M</t>
  </si>
  <si>
    <t>DZ9-GPNRASC19-00000001-M</t>
  </si>
  <si>
    <t>Empresa con actividades y/o transacciones Inexistentes</t>
  </si>
  <si>
    <t>1791893638001</t>
  </si>
  <si>
    <t>SUPLIMET ECUADOR S.A.</t>
  </si>
  <si>
    <t>NAC-DNCOPEC16-00161624-M</t>
  </si>
  <si>
    <t>DZ9-GSORSAV16-00000026-M</t>
  </si>
  <si>
    <t>1712202124001</t>
  </si>
  <si>
    <t>TAYUPANTA NOROÑA JOSE IVAN</t>
  </si>
  <si>
    <t>DZ9-GPNOGEC18-00000005-M</t>
  </si>
  <si>
    <t>DZ9-GPNRASC18-00000005-M</t>
  </si>
  <si>
    <t>1792316839001</t>
  </si>
  <si>
    <t>TEXTIGRAND S.A.</t>
  </si>
  <si>
    <t>DZ9-GTRORIC18-00000092-M</t>
  </si>
  <si>
    <t>DZ9-GSORASC18-00000002-M</t>
  </si>
  <si>
    <t>1792336015001</t>
  </si>
  <si>
    <t>TEXTIQUALITY S.A.</t>
  </si>
  <si>
    <t>NAC-DNCOPEC16-00161997-M</t>
  </si>
  <si>
    <t>DZ9-GSORSAV16-00000009-M</t>
  </si>
  <si>
    <t>1712284528001</t>
  </si>
  <si>
    <t>TOAQUIZA CHICAIZA JULIO ERNESTO</t>
  </si>
  <si>
    <t>DZ9-GPNOIOC17-00000068-M</t>
  </si>
  <si>
    <t>DZ9-GPNRASC17-00000006-M</t>
  </si>
  <si>
    <t>1716862816001</t>
  </si>
  <si>
    <t>VALENCIA VILLEGAS VIVIANA YOLIMA</t>
  </si>
  <si>
    <t>DZ9-GPNOIOC17-00000105-M</t>
  </si>
  <si>
    <t>DZ9-GPNRASC18-00000001-M</t>
  </si>
  <si>
    <t>1792222958001</t>
  </si>
  <si>
    <t>VARELAMEDICAL S.A.</t>
  </si>
  <si>
    <t>NAC-DNCOPEC16-00161626-M</t>
  </si>
  <si>
    <t>DZ9-GSORSAV16-00000001-M</t>
  </si>
  <si>
    <t>1792627222001</t>
  </si>
  <si>
    <t>VASG PLAY GARDEN</t>
  </si>
  <si>
    <t>NAC-DNCOPEC16-00161745-M</t>
  </si>
  <si>
    <t>DZ9-GSORSAV16-00000007-M</t>
  </si>
  <si>
    <t>1713933842001</t>
  </si>
  <si>
    <t>VINUEZA DIAZ WASHINGTON FRANCISCO</t>
  </si>
  <si>
    <t>DZ9-GPNOIOC17-00000101-M</t>
  </si>
  <si>
    <t>DZ9-GPNRASC17-00000007-M</t>
  </si>
  <si>
    <t>1791715713001</t>
  </si>
  <si>
    <t>WORLDTRANSPORT S.A.</t>
  </si>
  <si>
    <t>NAC-DNCOIOG16-00005317</t>
  </si>
  <si>
    <t>DZ9-GSORSAV16-00000042-M</t>
  </si>
  <si>
    <t>1792224764001</t>
  </si>
  <si>
    <t>ZEN SPA</t>
  </si>
  <si>
    <t>DZ9-GPNOIOC17-00000048-M</t>
  </si>
  <si>
    <t>DZ9-GPNRASC17-00000027-M</t>
  </si>
  <si>
    <t>1792447348001</t>
  </si>
  <si>
    <t>CENTRO DE ATENCION NEUROPSICOLOGICA INTEGRAL Y SALUD S.A. PSICOCANPISSA</t>
  </si>
  <si>
    <t>DZ9-GPNOGEC19-00000014-M</t>
  </si>
  <si>
    <t>DZ9-GPNRASC19-00000003-M</t>
  </si>
  <si>
    <t>0992121467001</t>
  </si>
  <si>
    <t>ALMANTOP S.A.</t>
  </si>
  <si>
    <t>DZ8-GPNOGEC20-00000103-M</t>
  </si>
  <si>
    <t>DZ8-GPNRASC20-00000052-M</t>
  </si>
  <si>
    <t>0992167807001</t>
  </si>
  <si>
    <t>PRESERCORP S.A.</t>
  </si>
  <si>
    <t>DZ8-GTROGEC20-00000203-M</t>
  </si>
  <si>
    <t>DZ8-GPNRASC20-00000036-M</t>
  </si>
  <si>
    <t>0908700545001</t>
  </si>
  <si>
    <t>MORAN TUTIVEN EDINSON GONZALO</t>
  </si>
  <si>
    <t>DZ8-GTROGEC20-00000204-M</t>
  </si>
  <si>
    <t>DZ8-GPNRASC20-00000034-M</t>
  </si>
  <si>
    <t>0927932152001</t>
  </si>
  <si>
    <t>VILLALTA MENDOZA SANDY GERARDIN</t>
  </si>
  <si>
    <t>DZ8-GTROGEC20-00000205-M</t>
  </si>
  <si>
    <t>DZ8-GPNRASC20-00000035-M</t>
  </si>
  <si>
    <t>2390016738001</t>
  </si>
  <si>
    <t>MAFECASIN S.A.</t>
  </si>
  <si>
    <t>PSD-GTROGEC20-00000011-M</t>
  </si>
  <si>
    <t>PSD-GTRRASC20-00000008-M</t>
  </si>
  <si>
    <t>1718769647001</t>
  </si>
  <si>
    <t>INTRIAGO HERNANDEZ MIREYA EDELMIRA</t>
  </si>
  <si>
    <t>PSD-GTROGEC20-00000012-M</t>
  </si>
  <si>
    <t>PSD-GTRRASC20-00000007-M</t>
  </si>
  <si>
    <t>1708601065001</t>
  </si>
  <si>
    <t>DE LA TORRE LOPEZ CARLOS ALBERTO</t>
  </si>
  <si>
    <t>DZ9-GPNOIOC17-00000079-M</t>
  </si>
  <si>
    <t>DZ9-GPNRASC17-00000038-M</t>
  </si>
  <si>
    <t>NAC-RRRRRVC20-00000207</t>
  </si>
  <si>
    <t>2490032285001</t>
  </si>
  <si>
    <t>ACUACULTURA Y PESCA FISH-OCEAN S.A.</t>
  </si>
  <si>
    <t>PSE-GTROGEC21-00000004-M</t>
  </si>
  <si>
    <t>PSE-GTRRASC21-00000004-M</t>
  </si>
  <si>
    <t>2490032307001</t>
  </si>
  <si>
    <t>ALIMENTOS FRESCOS DEL MAR ALIFRESHMAR S.A</t>
  </si>
  <si>
    <t>PSE-GTROGEC21-00000002-M</t>
  </si>
  <si>
    <t>PSE-GTRRASC21-00000001-M</t>
  </si>
  <si>
    <t>Empresa inexistente o fantasma, sociedad con actividades supuestas o transacciones inexistentes.</t>
  </si>
  <si>
    <t>2490032293001</t>
  </si>
  <si>
    <t>EMPACADORA Y PROCESADORA DE MARISCOS EMPROMARIS S.A.</t>
  </si>
  <si>
    <t>PSE-GTROGEC21-00000003-M</t>
  </si>
  <si>
    <t>PSE-GTRRASC21-00000003-M</t>
  </si>
  <si>
    <t>2490032277001</t>
  </si>
  <si>
    <t>INDUSTRIA PESQUERA INDUPESCA S.A.</t>
  </si>
  <si>
    <t>PSE-GTROGEC21-00000005-M</t>
  </si>
  <si>
    <t>PSE-GTRRASC21-00000002-M</t>
  </si>
  <si>
    <t>Empresa inexistente fantasma, sociedad con actividades supuestas y/o
transacciones inexistentes</t>
  </si>
  <si>
    <t>1391768737001</t>
  </si>
  <si>
    <t>OPTIMAVISION S.A.</t>
  </si>
  <si>
    <t>DZ4-GSOOGEC21-00000016-M</t>
  </si>
  <si>
    <t>DZ4-GSORASC21-00000001-M</t>
  </si>
  <si>
    <t>2350554545001</t>
  </si>
  <si>
    <t>CARBAJAL CASTILLO MARIA FERNANDA</t>
  </si>
  <si>
    <t>PSD-GTROGEC20-00000019-M</t>
  </si>
  <si>
    <t>PSD-GTRRASC21-00000001-M</t>
  </si>
  <si>
    <t>2300673270001</t>
  </si>
  <si>
    <t>GARCES CASTILLO VALERIA ESTEFANIA</t>
  </si>
  <si>
    <t>PSD-GTROGEC20-00000017-M</t>
  </si>
  <si>
    <t>PSD-GTRRASC21-00000006-M</t>
  </si>
  <si>
    <t>0701006546001</t>
  </si>
  <si>
    <t>VALLEJO LANDAZURI MARIA GLADYS</t>
  </si>
  <si>
    <t>PSD-GTROGEC20-00000021-M</t>
  </si>
  <si>
    <t>PSD-GTRRASC21-00000004-M</t>
  </si>
  <si>
    <t>2300662612001</t>
  </si>
  <si>
    <t>NAZARENO VERA JONNY JAVIER</t>
  </si>
  <si>
    <t>PSD-GTROGEC20-00000018-M</t>
  </si>
  <si>
    <t>PSD-GTRRASC21-00000005-M</t>
  </si>
  <si>
    <t>2300253180001</t>
  </si>
  <si>
    <t>CUSME CASTILLO ERIKA PAOLA</t>
  </si>
  <si>
    <t>PSD-GTROGEC20-00000022-M</t>
  </si>
  <si>
    <t>PSD-GTRRASC21-00000002-M</t>
  </si>
  <si>
    <t>1317958112001</t>
  </si>
  <si>
    <t>GILCES ALVIA JOHNNY JAVIER</t>
  </si>
  <si>
    <t>PSD-GTROGEC20-00000023-M</t>
  </si>
  <si>
    <t>PSD-GTRRASC21-00000003-M</t>
  </si>
  <si>
    <t>1792409829001</t>
  </si>
  <si>
    <t>TLV ENGINEERING ECUADOR</t>
  </si>
  <si>
    <t>PES-GTROGEN20-00000004-M</t>
  </si>
  <si>
    <t>DZ9-GCERASC21-00000003-M</t>
  </si>
  <si>
    <t>EMPRESA FANTASMA</t>
  </si>
  <si>
    <t>1102612999001</t>
  </si>
  <si>
    <t>GARCIA CORDOVA MARLON PATRICIO</t>
  </si>
  <si>
    <t>DZ7-GTROGEC19-00000002-M</t>
  </si>
  <si>
    <t>DZ7-GPNRASC19-00000001-M</t>
  </si>
  <si>
    <t>2490032269001</t>
  </si>
  <si>
    <t>IMPORTADORA Y COMERCIALIZADORA DE ARTICULOS VARIOS IMCOARTSA S.A.</t>
  </si>
  <si>
    <t>PSE-GTROGEC21-00000006-M</t>
  </si>
  <si>
    <t>PSE-GTRRASC21-00000006-M</t>
  </si>
  <si>
    <t>1710861558001</t>
  </si>
  <si>
    <t>TAMAYO MEZA GIOVANNA ARACELY</t>
  </si>
  <si>
    <t>DZ9-GPNOGEC21-00000208-M</t>
  </si>
  <si>
    <t>DZ9-GPNRASC21-00000042-M</t>
  </si>
  <si>
    <t>0703823872001</t>
  </si>
  <si>
    <t>VASQUEZ CHALEN LUIS ALBERTO</t>
  </si>
  <si>
    <t>PEO-GTROGEC21-00000004-M</t>
  </si>
  <si>
    <t>PEO-GTRRASC21-00000001-M</t>
  </si>
  <si>
    <t>0706813409001</t>
  </si>
  <si>
    <t>PINEDA FIGUEROA LUIS DAVID</t>
  </si>
  <si>
    <t>PEO-GTROGEC21-00000005-M</t>
  </si>
  <si>
    <t>PEO-GTRRASC21-00000002-M</t>
  </si>
  <si>
    <t>0701316598001</t>
  </si>
  <si>
    <t>CARVAJAL MUÑOZ WASHINGTON MOISES</t>
  </si>
  <si>
    <t>PEO-GTROGEC21-00000006-M</t>
  </si>
  <si>
    <t>PEO-GTRRASC21-00000003-M</t>
  </si>
  <si>
    <t>0704666841001</t>
  </si>
  <si>
    <t>QUITO BENAVIDES JENNER BLADIMIR</t>
  </si>
  <si>
    <t>PEO-GTROGEC21-00000007-M</t>
  </si>
  <si>
    <t>PEO-GTRRASC21-00000004-M</t>
  </si>
  <si>
    <t>0706272887001</t>
  </si>
  <si>
    <t>MORALES BRITO ROCIO ISABEL</t>
  </si>
  <si>
    <t>PEO-GTROGEC21-00000008-M</t>
  </si>
  <si>
    <t>PEO-GTRRASC21-00000005-M</t>
  </si>
  <si>
    <t>1709550048001</t>
  </si>
  <si>
    <t>GORDON GUERRERO EDISON IVAN</t>
  </si>
  <si>
    <t>DZ9-GCEOGEC21-00000470-M</t>
  </si>
  <si>
    <t>DZ9-GCERASC21-00000094-M</t>
  </si>
  <si>
    <t>1310066020001</t>
  </si>
  <si>
    <t>CHANG ZAMBRANO GUSTAVO HORACIO</t>
  </si>
  <si>
    <t>DZ4-GPNOGEC21-00000045-M</t>
  </si>
  <si>
    <t>DZ4-GPNRASC21-00000011-M</t>
  </si>
  <si>
    <t>1310174766001</t>
  </si>
  <si>
    <t>ROMERO VELEZ DANIEL ARTURO</t>
  </si>
  <si>
    <t>DZ4-GPNOGEC21-00000046-M</t>
  </si>
  <si>
    <t>DZ4-GPNRASC21-00000012-M</t>
  </si>
  <si>
    <t>DZ4-GPNOGEC22-00000045-M</t>
  </si>
  <si>
    <t>1792616492001</t>
  </si>
  <si>
    <t xml:space="preserve"> MEDIPHARMA S.A.</t>
  </si>
  <si>
    <t>COMPAÑIAS ANONIMAS</t>
  </si>
  <si>
    <t>DZ9-GCEOGEC21-00000473-M</t>
  </si>
  <si>
    <t>DZ9-GCERASC21-00000199-M</t>
  </si>
  <si>
    <t>117012022OGTE005370</t>
  </si>
  <si>
    <t>1721604658001</t>
  </si>
  <si>
    <t xml:space="preserve"> DELGADO MOREIRA JAIME ANDRES</t>
  </si>
  <si>
    <t>DZ9-GPNOGEC21-00000209-M</t>
  </si>
  <si>
    <t xml:space="preserve">DZ9-GPNRASC21-00000128-M </t>
  </si>
  <si>
    <t>NAC-RRRRRVC22-00000533</t>
  </si>
  <si>
    <t>FINALIZADO</t>
  </si>
  <si>
    <t>0401316187001</t>
  </si>
  <si>
    <t>GOYES BURBANO ANA MARIA</t>
  </si>
  <si>
    <t>DZ9-GSOOGEC21-00000661-M</t>
  </si>
  <si>
    <t>DZ9-GTRRASC21-00000036-M</t>
  </si>
  <si>
    <t>1500504640001</t>
  </si>
  <si>
    <t>VELASCO QUIJANO XAVIER BERNARDO</t>
  </si>
  <si>
    <t>DZ8-GPNOGEC21-00000199-M</t>
  </si>
  <si>
    <t>DZ8-GPNRASC21-00000055-M</t>
  </si>
  <si>
    <t>0993007358001</t>
  </si>
  <si>
    <t>PROYECTOS SOCIALES PROSOSTENIBLE S.A.</t>
  </si>
  <si>
    <t>DZ8-GPNOIOC21-00000142-M</t>
  </si>
  <si>
    <t>DZ8-GPNRASC21-00000049-M</t>
  </si>
  <si>
    <t>0919139105001</t>
  </si>
  <si>
    <t>RADA NARANJO PATRICIO FABRICIO</t>
  </si>
  <si>
    <t>DZ8-GPNOGEC21-00000207-M</t>
  </si>
  <si>
    <t>DZ8-GPNRASC22-00000005-M</t>
  </si>
  <si>
    <t>0992690631001</t>
  </si>
  <si>
    <t>SIMPLECIA S.A.</t>
  </si>
  <si>
    <t>DZ8-GPNOGEC21-00000208-M</t>
  </si>
  <si>
    <t>DZ8-GPNRASC22-00000003-M</t>
  </si>
  <si>
    <t>0992364572001</t>
  </si>
  <si>
    <t>STAPLES S.A.</t>
  </si>
  <si>
    <t>DZ8-GPNOIOC21-00000143-M</t>
  </si>
  <si>
    <t>DZ8-GPNRASC22-00000001-M</t>
  </si>
  <si>
    <t>0904981206001</t>
  </si>
  <si>
    <t>VILLEGAS PARRA JULIO CESAR</t>
  </si>
  <si>
    <t>DZ8-GPNOGEC21-00000221-M</t>
  </si>
  <si>
    <t>DZ8-GPNRASC22-00000006-M</t>
  </si>
  <si>
    <t>0914236518001</t>
  </si>
  <si>
    <t>VITERI PEREZ VICTOR SEGUNDO</t>
  </si>
  <si>
    <t>DZ8-GPNOGEC22-00000001-M,</t>
  </si>
  <si>
    <t>DZ8-GPNRASC22-00000007-M</t>
  </si>
  <si>
    <t>0992953772001</t>
  </si>
  <si>
    <t>INDUCAMECU S.A.</t>
  </si>
  <si>
    <t>DZ8-GCEOGEC21-00000091-M</t>
  </si>
  <si>
    <t>DZ8-GCERASC22-00000001-M</t>
  </si>
  <si>
    <t>0921956074001</t>
  </si>
  <si>
    <t>LOOR OTERO JOHANNA MARIA</t>
  </si>
  <si>
    <t>DZ8-GPNOIOC21-00000051-M</t>
  </si>
  <si>
    <t>DZ8-GPNRASC21-00000047-M</t>
  </si>
  <si>
    <t>0502602808001</t>
  </si>
  <si>
    <t>ARAUJO ROBAYO DIEGO SEBASTIAN</t>
  </si>
  <si>
    <t xml:space="preserve"> DZ9-GPNOGEC21-00000218-M</t>
  </si>
  <si>
    <t>DZ9-GPNRASC22-00000023-M</t>
  </si>
  <si>
    <t>1724318801001</t>
  </si>
  <si>
    <t>GAITAN VILLAMARIN NELSON ARMANDO</t>
  </si>
  <si>
    <t>DZ9-GPNOGEC21-00000211-M</t>
  </si>
  <si>
    <t>DZ9-GPNRASC22-00000024-M</t>
  </si>
  <si>
    <t>0991404902001</t>
  </si>
  <si>
    <t>CONSTRUCTORA PEYA S.A. PEYASA</t>
  </si>
  <si>
    <t>DZ8-GPNOGEC21-00000197-M</t>
  </si>
  <si>
    <t>DZ8-GPNRASC22-00000013-M</t>
  </si>
  <si>
    <t>Empresa Fantasma</t>
  </si>
  <si>
    <t>0992914106001</t>
  </si>
  <si>
    <t>NOVAMSPEM S.A.</t>
  </si>
  <si>
    <t>DZ8-GPNOGEC22-00000108-M</t>
  </si>
  <si>
    <t>DZ8-GPNRASC22-00000011-M</t>
  </si>
  <si>
    <t>1792564220001</t>
  </si>
  <si>
    <t>IMPORTADORA SUD OIL &amp; DEALER EC TECHNOVITAL C.LTDA.</t>
  </si>
  <si>
    <t>DZ9-GPNOGEC21-00000212-M</t>
  </si>
  <si>
    <t>DZ9-GPNRASC22-00000021-M</t>
  </si>
  <si>
    <t>Sociedad con transacciones y/o actividades inexistentes</t>
  </si>
  <si>
    <t>0992934085001</t>
  </si>
  <si>
    <t>BUSINESS-SUCCESS C.A.</t>
  </si>
  <si>
    <t>DZ8-GCEOGEC21-00000070-M</t>
  </si>
  <si>
    <t>DZ8-GCERASC22-00000002-M</t>
  </si>
  <si>
    <t>0992900342001</t>
  </si>
  <si>
    <t>SERPUBYMER S.A.</t>
  </si>
  <si>
    <t>DZ8-GPNOIOC21-00000141-M</t>
  </si>
  <si>
    <t>DZ8-GPNRASC21-00000048-M</t>
  </si>
  <si>
    <t>1102637574001</t>
  </si>
  <si>
    <t>GUAICHA JUMBO OSWALDO RAMON</t>
  </si>
  <si>
    <t>DZ3-GPNOGEC22-00000002-M</t>
  </si>
  <si>
    <t>DZ3-GPNRASC22-00000001-M</t>
  </si>
  <si>
    <t>0801431081001</t>
  </si>
  <si>
    <t>SANTOS ESPINOZA WILSON DIEGO</t>
  </si>
  <si>
    <t>PSD-GTROGEC22-00000011-M</t>
  </si>
  <si>
    <t>PSD-GTRRASC22-00000019-M</t>
  </si>
  <si>
    <t>PERSONA NATURAL CON ACTIVIDADES SUPUESTAS Y/O TRANSACCIONES INEXISTENTES
natural con actividades supuestas y/o transacciones inexistentes</t>
  </si>
  <si>
    <t>1712541794001</t>
  </si>
  <si>
    <t xml:space="preserve"> JIMENEZ ANDRADE FREDDY LORENZO</t>
  </si>
  <si>
    <t>CCH-CGTOGEC22-00000048-M</t>
  </si>
  <si>
    <t>CCH-CGTRASC22-00000007-M</t>
  </si>
  <si>
    <t>0903570984001</t>
  </si>
  <si>
    <t>AGUIRRE MONTERO JAIME WASHINGTON</t>
  </si>
  <si>
    <t>DZ8-GCEOGEC21-00000086-M</t>
  </si>
  <si>
    <t>DZ8-GCERASC22-00000018-M</t>
  </si>
  <si>
    <t>PERSONA NATURAL CON TRANSACCIONES INEXISTENTES</t>
  </si>
  <si>
    <t xml:space="preserve"> 06/07/2021</t>
  </si>
  <si>
    <t>0910102557001</t>
  </si>
  <si>
    <t>TACLE VERA CICERON SUCRE</t>
  </si>
  <si>
    <t>DZ8-GCEOGEC21-00000072-M</t>
  </si>
  <si>
    <t>DZ8-GCERASC22-00000011-M</t>
  </si>
  <si>
    <t>PERSONA NATURAL CON TRANSACCIONES INEXISTENTES Y ACTIVIDADES SUPUESTAS</t>
  </si>
  <si>
    <t>IMPROCEDENTE</t>
  </si>
  <si>
    <t>0916548191001</t>
  </si>
  <si>
    <t>HERRERA SALCEDO JORGE AUGUSTO</t>
  </si>
  <si>
    <t>DZ8-GCEOGEC21-00000073-M</t>
  </si>
  <si>
    <t>DZ8-GCERASC22-00000013-M</t>
  </si>
  <si>
    <t>0930718861001</t>
  </si>
  <si>
    <t>COBA CHAVEZ KARLA ANTONELLA</t>
  </si>
  <si>
    <t>DZ8-GCEOGEC21-00000075-M</t>
  </si>
  <si>
    <t>DZ8-GCERASC22-00000008-M</t>
  </si>
  <si>
    <t>0992141689001</t>
  </si>
  <si>
    <t>INVESTMENTS &amp; MANAGEMENT S.A. GEVEST</t>
  </si>
  <si>
    <t>DZ8-GCEOGEC21-00000076-M</t>
  </si>
  <si>
    <t>DZ8-GCERASC22-00000004-M</t>
  </si>
  <si>
    <t>EMPRESA FANTASMA O SUPUESTA</t>
  </si>
  <si>
    <t>0992568410001</t>
  </si>
  <si>
    <t>CORPORACION PARA EL DESARROLLO DE LA MICRO, PEQUEÑAS Y MEDIANAS EMPRESAS CORMIPYME</t>
  </si>
  <si>
    <t>DZ8-GCEOGEC21-00000078-M</t>
  </si>
  <si>
    <t>DZ8-GCERASC22-00000012-M</t>
  </si>
  <si>
    <t>0992659270001</t>
  </si>
  <si>
    <t>MASAREPLAST S.A.</t>
  </si>
  <si>
    <t>DZ8-GCEOGEC21-00000079-M</t>
  </si>
  <si>
    <t>DZ8-GCERASC22-00000010-M</t>
  </si>
  <si>
    <t>0992855991001</t>
  </si>
  <si>
    <t>EMUNACORP S.A.</t>
  </si>
  <si>
    <t>DZ8-GCEOGEC21-00000080-M</t>
  </si>
  <si>
    <t>DZ8-GCERASC22-00000014-M</t>
  </si>
  <si>
    <t>0992200006001</t>
  </si>
  <si>
    <t>CONSTRUCTORA PDK S.A.</t>
  </si>
  <si>
    <t>DZ8-GCEOGEC22-00000092-M</t>
  </si>
  <si>
    <t>DZ8-GCERASC22-00000016-M</t>
  </si>
  <si>
    <t>0992810904001</t>
  </si>
  <si>
    <t>RAISMONEL S.A.</t>
  </si>
  <si>
    <t>DZ8-GCEOGEC22-00000019-M</t>
  </si>
  <si>
    <t>DZ8-GCERASC22-00000015-M</t>
  </si>
  <si>
    <t>Preliminar</t>
  </si>
  <si>
    <t>Final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</si>
  <si>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</si>
  <si>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</si>
  <si>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</si>
  <si>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</si>
  <si>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</si>
  <si>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</si>
  <si>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</si>
  <si>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</si>
  <si>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</si>
  <si>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</si>
  <si>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</si>
  <si>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***(Concluir en función al objetivo)</t>
  </si>
  <si>
    <t>FECHA DE CORTE: _/_/20XX</t>
  </si>
  <si>
    <t xml:space="preserve">Determinar que la Compañía no registre operaciones con empresas fantasma. </t>
  </si>
  <si>
    <t>1) ¿Proveedor es empresa fantasma?</t>
  </si>
  <si>
    <t>Información proporcionada por el cliente</t>
  </si>
  <si>
    <t>Cálculos de Auditoría</t>
  </si>
  <si>
    <t>1.-</t>
  </si>
  <si>
    <t>2.-</t>
  </si>
  <si>
    <t>3.-</t>
  </si>
  <si>
    <t>4.-</t>
  </si>
  <si>
    <t>Documentar el papel de trabajo y concluir en función al objetivo.</t>
  </si>
  <si>
    <r>
      <t xml:space="preserve">Descargar el listado de empresas fantasma a la fecha de nuestra revisión. </t>
    </r>
    <r>
      <rPr>
        <sz val="10"/>
        <color rgb="FFFF0000"/>
        <rFont val="Tahoma"/>
        <family val="2"/>
      </rPr>
      <t>***(Incluir fecha de descarga)</t>
    </r>
  </si>
  <si>
    <t>*** El número de filas, así como el formato depende del detalle de compras de la Compañía Modelo S.A.</t>
  </si>
  <si>
    <t>Nro. interno</t>
  </si>
  <si>
    <t>RUC del proveedor</t>
  </si>
  <si>
    <t>Nombre proveedor</t>
  </si>
  <si>
    <t>136.07</t>
  </si>
  <si>
    <t>Verificaciones:</t>
  </si>
  <si>
    <t xml:space="preserve">Solicitar a la Compañía el detalle de compras al _/_/20XX. </t>
  </si>
  <si>
    <t>Subtotal</t>
  </si>
  <si>
    <t>Verificar que la Compañía no se encuentre realizando transacciones con Compañías fantasma.</t>
  </si>
  <si>
    <t xml:space="preserve">Base de compras </t>
  </si>
  <si>
    <t>Calculos según auditoría</t>
  </si>
  <si>
    <t>RUC empresa fantasma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</si>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</sst>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yyyy\-mm\-dd;@"/>
    <numFmt numFmtId="166" formatCode="dd/mm/yyyy;@"/>
    <numFmt numFmtId="167" formatCode="000"/>
    <numFmt numFmtId="168" formatCode="[$-C0A]dd/mm/yyyy"/>
    <numFmt numFmtId="169" formatCode="d&quot; de &quot;mmm&quot; de &quot;yy"/>
    <numFmt numFmtId="170" formatCode="dd\-mm\-yyyy;@"/>
    <numFmt numFmtId="171" formatCode="_(* #,##0_);_(* \(#,##0\);_(* &quot;-&quot;_);_(@_)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2060"/>
      <name val="Tahoma"/>
      <family val="2"/>
    </font>
    <font>
      <sz val="10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indexed="8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indexed="63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0"/>
      <name val="Tahoma"/>
      <family val="2"/>
    </font>
    <font>
      <sz val="10"/>
      <color indexed="63"/>
      <name val="Tahoma"/>
      <family val="2"/>
    </font>
    <font>
      <sz val="10"/>
      <color rgb="FF333333"/>
      <name val="Tahoma"/>
      <family val="2"/>
    </font>
    <font>
      <u/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21"/>
      </patternFill>
    </fill>
    <fill>
      <patternFill patternType="solid">
        <fgColor theme="4"/>
        <bgColor indexed="27"/>
      </patternFill>
    </fill>
    <fill>
      <patternFill patternType="solid">
        <fgColor theme="4"/>
        <bgColor indexed="52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16" fillId="0" borderId="0"/>
    <xf numFmtId="0" fontId="17" fillId="0" borderId="0"/>
    <xf numFmtId="0" fontId="18" fillId="0" borderId="0"/>
    <xf numFmtId="0" fontId="13" fillId="0" borderId="0"/>
    <xf numFmtId="0" fontId="19" fillId="0" borderId="0"/>
    <xf numFmtId="0" fontId="18" fillId="0" borderId="0"/>
    <xf numFmtId="0" fontId="1" fillId="0" borderId="0"/>
    <xf numFmtId="0" fontId="1" fillId="0" borderId="0"/>
  </cellStyleXfs>
  <cellXfs count="149">
    <xf numFmtId="0" fontId="0" fillId="0" borderId="0" xfId="0"/>
    <xf numFmtId="0" fontId="5" fillId="0" borderId="0" xfId="0" applyFont="1"/>
    <xf numFmtId="164" fontId="6" fillId="0" borderId="0" xfId="1" applyNumberFormat="1" applyFont="1" applyFill="1" applyAlignment="1">
      <alignment horizontal="right" vertical="top"/>
    </xf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4" fontId="5" fillId="0" borderId="0" xfId="0" applyNumberFormat="1" applyFont="1"/>
    <xf numFmtId="0" fontId="7" fillId="3" borderId="0" xfId="3" applyFont="1" applyFill="1"/>
    <xf numFmtId="0" fontId="7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7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top"/>
    </xf>
    <xf numFmtId="0" fontId="10" fillId="3" borderId="0" xfId="3" applyFont="1" applyFill="1" applyAlignment="1">
      <alignment horizontal="left" vertical="top"/>
    </xf>
    <xf numFmtId="0" fontId="10" fillId="3" borderId="0" xfId="3" applyFont="1" applyFill="1" applyAlignment="1">
      <alignment vertical="top"/>
    </xf>
    <xf numFmtId="0" fontId="7" fillId="3" borderId="0" xfId="3" applyFont="1" applyFill="1" applyAlignment="1">
      <alignment vertical="top"/>
    </xf>
    <xf numFmtId="0" fontId="11" fillId="0" borderId="2" xfId="0" applyFont="1" applyBorder="1" applyAlignment="1">
      <alignment horizontal="center" vertical="center"/>
    </xf>
    <xf numFmtId="0" fontId="10" fillId="3" borderId="0" xfId="3" applyFont="1" applyFill="1" applyAlignment="1">
      <alignment horizontal="left"/>
    </xf>
    <xf numFmtId="0" fontId="10" fillId="3" borderId="0" xfId="3" applyFont="1" applyFill="1"/>
    <xf numFmtId="0" fontId="5" fillId="3" borderId="0" xfId="3" applyFont="1" applyFill="1"/>
    <xf numFmtId="0" fontId="11" fillId="3" borderId="0" xfId="3" applyFont="1" applyFill="1" applyAlignment="1">
      <alignment horizontal="left"/>
    </xf>
    <xf numFmtId="0" fontId="12" fillId="3" borderId="0" xfId="3" applyFont="1" applyFill="1" applyAlignment="1">
      <alignment horizontal="right"/>
    </xf>
    <xf numFmtId="0" fontId="5" fillId="3" borderId="0" xfId="3" applyFont="1" applyFill="1" applyAlignment="1">
      <alignment horizontal="left"/>
    </xf>
    <xf numFmtId="0" fontId="9" fillId="3" borderId="0" xfId="6" applyFont="1" applyFill="1"/>
    <xf numFmtId="0" fontId="4" fillId="3" borderId="0" xfId="3" applyFont="1" applyFill="1" applyAlignment="1" applyProtection="1">
      <alignment horizontal="left" vertical="center"/>
      <protection hidden="1"/>
    </xf>
    <xf numFmtId="0" fontId="4" fillId="3" borderId="0" xfId="3" applyFont="1" applyFill="1" applyAlignment="1">
      <alignment horizontal="left" vertical="top"/>
    </xf>
    <xf numFmtId="0" fontId="14" fillId="0" borderId="0" xfId="0" applyFont="1"/>
    <xf numFmtId="0" fontId="4" fillId="0" borderId="0" xfId="9" applyFont="1" applyAlignment="1" applyProtection="1">
      <alignment horizontal="left" vertical="center"/>
      <protection hidden="1"/>
    </xf>
    <xf numFmtId="0" fontId="4" fillId="3" borderId="0" xfId="0" applyFont="1" applyFill="1" applyAlignment="1">
      <alignment horizontal="left" vertical="top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4" fontId="5" fillId="0" borderId="2" xfId="0" applyNumberFormat="1" applyFont="1" applyBorder="1" applyAlignment="1">
      <alignment horizontal="left"/>
    </xf>
    <xf numFmtId="49" fontId="5" fillId="0" borderId="2" xfId="0" applyNumberFormat="1" applyFont="1" applyBorder="1"/>
    <xf numFmtId="4" fontId="5" fillId="0" borderId="2" xfId="0" applyNumberFormat="1" applyFont="1" applyBorder="1"/>
    <xf numFmtId="0" fontId="8" fillId="0" borderId="2" xfId="0" applyFont="1" applyBorder="1"/>
    <xf numFmtId="164" fontId="4" fillId="2" borderId="2" xfId="1" applyNumberFormat="1" applyFont="1" applyFill="1" applyBorder="1" applyAlignment="1">
      <alignment horizontal="center" vertical="top" wrapText="1"/>
    </xf>
    <xf numFmtId="164" fontId="6" fillId="0" borderId="2" xfId="1" applyNumberFormat="1" applyFont="1" applyFill="1" applyBorder="1" applyAlignment="1">
      <alignment horizontal="right" vertical="top"/>
    </xf>
    <xf numFmtId="43" fontId="11" fillId="8" borderId="0" xfId="1" applyFont="1" applyFill="1" applyBorder="1" applyAlignment="1">
      <alignment horizontal="center"/>
    </xf>
    <xf numFmtId="171" fontId="6" fillId="3" borderId="0" xfId="6" applyNumberFormat="1" applyFont="1" applyFill="1" applyAlignment="1">
      <alignment horizontal="left"/>
    </xf>
    <xf numFmtId="0" fontId="15" fillId="0" borderId="0" xfId="10" applyFont="1"/>
    <xf numFmtId="0" fontId="20" fillId="4" borderId="2" xfId="10" applyFont="1" applyFill="1" applyBorder="1" applyAlignment="1">
      <alignment horizontal="center" vertical="center" wrapText="1"/>
    </xf>
    <xf numFmtId="49" fontId="20" fillId="4" borderId="2" xfId="10" applyNumberFormat="1" applyFont="1" applyFill="1" applyBorder="1" applyAlignment="1">
      <alignment horizontal="center" vertical="center" wrapText="1"/>
    </xf>
    <xf numFmtId="165" fontId="20" fillId="4" borderId="2" xfId="10" applyNumberFormat="1" applyFont="1" applyFill="1" applyBorder="1" applyAlignment="1">
      <alignment horizontal="center" vertical="center" wrapText="1"/>
    </xf>
    <xf numFmtId="166" fontId="20" fillId="4" borderId="2" xfId="10" applyNumberFormat="1" applyFont="1" applyFill="1" applyBorder="1" applyAlignment="1">
      <alignment horizontal="center" vertical="center" wrapText="1"/>
    </xf>
    <xf numFmtId="14" fontId="20" fillId="4" borderId="2" xfId="10" applyNumberFormat="1" applyFont="1" applyFill="1" applyBorder="1" applyAlignment="1">
      <alignment horizontal="center" vertical="center" wrapText="1"/>
    </xf>
    <xf numFmtId="0" fontId="20" fillId="5" borderId="2" xfId="10" applyFont="1" applyFill="1" applyBorder="1" applyAlignment="1">
      <alignment horizontal="center" vertical="center" wrapText="1"/>
    </xf>
    <xf numFmtId="14" fontId="20" fillId="5" borderId="2" xfId="10" applyNumberFormat="1" applyFont="1" applyFill="1" applyBorder="1" applyAlignment="1">
      <alignment horizontal="center" vertical="center" wrapText="1"/>
    </xf>
    <xf numFmtId="0" fontId="20" fillId="6" borderId="2" xfId="11" applyFont="1" applyFill="1" applyBorder="1" applyAlignment="1">
      <alignment horizontal="center" vertical="center" wrapText="1"/>
    </xf>
    <xf numFmtId="167" fontId="5" fillId="0" borderId="2" xfId="10" applyNumberFormat="1" applyFont="1" applyBorder="1" applyAlignment="1">
      <alignment horizontal="left" vertical="center" wrapText="1"/>
    </xf>
    <xf numFmtId="0" fontId="5" fillId="0" borderId="2" xfId="10" applyFont="1" applyBorder="1" applyAlignment="1">
      <alignment horizontal="left" vertical="center" wrapText="1"/>
    </xf>
    <xf numFmtId="0" fontId="5" fillId="0" borderId="2" xfId="10" applyFont="1" applyBorder="1" applyAlignment="1">
      <alignment horizontal="center" vertical="center" wrapText="1"/>
    </xf>
    <xf numFmtId="15" fontId="5" fillId="0" borderId="2" xfId="10" applyNumberFormat="1" applyFont="1" applyBorder="1" applyAlignment="1">
      <alignment horizontal="left" vertical="center" wrapText="1"/>
    </xf>
    <xf numFmtId="166" fontId="5" fillId="0" borderId="2" xfId="10" applyNumberFormat="1" applyFont="1" applyBorder="1" applyAlignment="1">
      <alignment horizontal="left" vertical="center" wrapText="1"/>
    </xf>
    <xf numFmtId="2" fontId="5" fillId="0" borderId="2" xfId="10" applyNumberFormat="1" applyFont="1" applyBorder="1" applyAlignment="1">
      <alignment horizontal="left" vertical="center" wrapText="1"/>
    </xf>
    <xf numFmtId="14" fontId="5" fillId="0" borderId="2" xfId="10" applyNumberFormat="1" applyFont="1" applyBorder="1" applyAlignment="1">
      <alignment horizontal="left" vertical="center" wrapText="1"/>
    </xf>
    <xf numFmtId="49" fontId="5" fillId="0" borderId="2" xfId="10" applyNumberFormat="1" applyFont="1" applyBorder="1" applyAlignment="1">
      <alignment horizontal="left" vertical="center" wrapText="1"/>
    </xf>
    <xf numFmtId="0" fontId="5" fillId="0" borderId="2" xfId="12" applyFont="1" applyBorder="1" applyAlignment="1">
      <alignment horizontal="left" vertical="center" wrapText="1"/>
    </xf>
    <xf numFmtId="0" fontId="12" fillId="0" borderId="2" xfId="10" applyFont="1" applyBorder="1" applyAlignment="1">
      <alignment horizontal="left" vertical="center" wrapText="1"/>
    </xf>
    <xf numFmtId="4" fontId="7" fillId="0" borderId="2" xfId="12" applyNumberFormat="1" applyFont="1" applyBorder="1" applyAlignment="1">
      <alignment horizontal="left" vertical="center" wrapText="1"/>
    </xf>
    <xf numFmtId="0" fontId="7" fillId="0" borderId="2" xfId="10" applyFont="1" applyBorder="1" applyAlignment="1">
      <alignment horizontal="left" vertical="center" wrapText="1"/>
    </xf>
    <xf numFmtId="0" fontId="7" fillId="0" borderId="2" xfId="10" applyFont="1" applyBorder="1" applyAlignment="1">
      <alignment horizontal="center" vertical="center" wrapText="1"/>
    </xf>
    <xf numFmtId="15" fontId="7" fillId="0" borderId="2" xfId="10" applyNumberFormat="1" applyFont="1" applyBorder="1" applyAlignment="1">
      <alignment horizontal="left" vertical="center" wrapText="1"/>
    </xf>
    <xf numFmtId="166" fontId="7" fillId="0" borderId="2" xfId="10" applyNumberFormat="1" applyFont="1" applyBorder="1" applyAlignment="1">
      <alignment horizontal="left" vertical="center" wrapText="1"/>
    </xf>
    <xf numFmtId="14" fontId="5" fillId="0" borderId="2" xfId="10" applyNumberFormat="1" applyFont="1" applyBorder="1" applyAlignment="1">
      <alignment horizontal="right" vertical="center" wrapText="1"/>
    </xf>
    <xf numFmtId="49" fontId="7" fillId="0" borderId="2" xfId="10" applyNumberFormat="1" applyFont="1" applyBorder="1" applyAlignment="1">
      <alignment vertical="center" wrapText="1"/>
    </xf>
    <xf numFmtId="0" fontId="7" fillId="0" borderId="2" xfId="10" applyFont="1" applyBorder="1" applyAlignment="1">
      <alignment vertical="center" wrapText="1"/>
    </xf>
    <xf numFmtId="15" fontId="15" fillId="0" borderId="2" xfId="13" applyNumberFormat="1" applyFont="1" applyBorder="1" applyAlignment="1">
      <alignment horizontal="left" vertical="center"/>
    </xf>
    <xf numFmtId="49" fontId="15" fillId="0" borderId="2" xfId="13" applyNumberFormat="1" applyFont="1" applyBorder="1" applyAlignment="1">
      <alignment horizontal="center" vertical="center"/>
    </xf>
    <xf numFmtId="0" fontId="15" fillId="0" borderId="2" xfId="13" applyFont="1" applyBorder="1" applyAlignment="1">
      <alignment horizontal="center" vertical="center"/>
    </xf>
    <xf numFmtId="0" fontId="15" fillId="0" borderId="2" xfId="13" applyFont="1" applyBorder="1" applyAlignment="1">
      <alignment horizontal="left" vertical="center"/>
    </xf>
    <xf numFmtId="0" fontId="5" fillId="0" borderId="2" xfId="14" applyFont="1" applyBorder="1" applyAlignment="1">
      <alignment horizontal="left" vertical="center" wrapText="1"/>
    </xf>
    <xf numFmtId="0" fontId="5" fillId="0" borderId="2" xfId="14" applyFont="1" applyBorder="1" applyAlignment="1">
      <alignment horizontal="center" vertical="center" wrapText="1"/>
    </xf>
    <xf numFmtId="15" fontId="5" fillId="0" borderId="2" xfId="14" applyNumberFormat="1" applyFont="1" applyBorder="1" applyAlignment="1">
      <alignment horizontal="left" vertical="center" wrapText="1"/>
    </xf>
    <xf numFmtId="166" fontId="5" fillId="0" borderId="2" xfId="14" applyNumberFormat="1" applyFont="1" applyBorder="1" applyAlignment="1">
      <alignment horizontal="left" vertical="center" wrapText="1"/>
    </xf>
    <xf numFmtId="0" fontId="5" fillId="0" borderId="2" xfId="10" quotePrefix="1" applyFont="1" applyBorder="1" applyAlignment="1">
      <alignment horizontal="left" vertical="center" wrapText="1"/>
    </xf>
    <xf numFmtId="49" fontId="15" fillId="0" borderId="2" xfId="13" applyNumberFormat="1" applyFont="1" applyBorder="1" applyAlignment="1">
      <alignment horizontal="left" vertical="center"/>
    </xf>
    <xf numFmtId="168" fontId="15" fillId="0" borderId="2" xfId="13" applyNumberFormat="1" applyFont="1" applyBorder="1" applyAlignment="1">
      <alignment horizontal="left" vertical="center" wrapText="1"/>
    </xf>
    <xf numFmtId="0" fontId="15" fillId="0" borderId="2" xfId="10" applyFont="1" applyBorder="1" applyAlignment="1">
      <alignment horizontal="left" vertical="center" wrapText="1"/>
    </xf>
    <xf numFmtId="14" fontId="5" fillId="0" borderId="2" xfId="10" quotePrefix="1" applyNumberFormat="1" applyFont="1" applyBorder="1" applyAlignment="1">
      <alignment horizontal="left" vertical="center" wrapText="1"/>
    </xf>
    <xf numFmtId="1" fontId="5" fillId="0" borderId="2" xfId="10" applyNumberFormat="1" applyFont="1" applyBorder="1" applyAlignment="1">
      <alignment horizontal="left" vertical="center" wrapText="1"/>
    </xf>
    <xf numFmtId="169" fontId="5" fillId="0" borderId="2" xfId="10" applyNumberFormat="1" applyFont="1" applyBorder="1" applyAlignment="1">
      <alignment horizontal="left" vertical="center" wrapText="1"/>
    </xf>
    <xf numFmtId="166" fontId="12" fillId="0" borderId="2" xfId="10" applyNumberFormat="1" applyFont="1" applyBorder="1" applyAlignment="1">
      <alignment horizontal="left" vertical="center" wrapText="1"/>
    </xf>
    <xf numFmtId="0" fontId="7" fillId="0" borderId="2" xfId="10" applyFont="1" applyBorder="1" applyAlignment="1">
      <alignment horizontal="center" vertical="center"/>
    </xf>
    <xf numFmtId="49" fontId="5" fillId="0" borderId="2" xfId="14" applyNumberFormat="1" applyFont="1" applyBorder="1" applyAlignment="1">
      <alignment horizontal="left" vertical="center" wrapText="1"/>
    </xf>
    <xf numFmtId="49" fontId="5" fillId="0" borderId="2" xfId="14" applyNumberFormat="1" applyFont="1" applyBorder="1" applyAlignment="1">
      <alignment horizontal="center" vertical="center" wrapText="1"/>
    </xf>
    <xf numFmtId="170" fontId="5" fillId="0" borderId="2" xfId="14" applyNumberFormat="1" applyFont="1" applyBorder="1" applyAlignment="1">
      <alignment horizontal="left" vertical="center" wrapText="1"/>
    </xf>
    <xf numFmtId="49" fontId="5" fillId="0" borderId="2" xfId="10" quotePrefix="1" applyNumberFormat="1" applyFont="1" applyBorder="1" applyAlignment="1">
      <alignment horizontal="left" vertical="center" wrapText="1"/>
    </xf>
    <xf numFmtId="0" fontId="7" fillId="0" borderId="2" xfId="10" quotePrefix="1" applyFont="1" applyBorder="1"/>
    <xf numFmtId="0" fontId="7" fillId="0" borderId="2" xfId="10" applyFont="1" applyBorder="1"/>
    <xf numFmtId="14" fontId="7" fillId="0" borderId="2" xfId="10" applyNumberFormat="1" applyFont="1" applyBorder="1"/>
    <xf numFmtId="0" fontId="21" fillId="0" borderId="2" xfId="10" applyFont="1" applyBorder="1" applyAlignment="1">
      <alignment vertical="center" wrapText="1"/>
    </xf>
    <xf numFmtId="0" fontId="21" fillId="0" borderId="2" xfId="10" applyFont="1" applyBorder="1" applyAlignment="1">
      <alignment vertical="center"/>
    </xf>
    <xf numFmtId="49" fontId="5" fillId="0" borderId="2" xfId="10" applyNumberFormat="1" applyFont="1" applyBorder="1" applyAlignment="1">
      <alignment horizontal="center" vertical="center" wrapText="1"/>
    </xf>
    <xf numFmtId="15" fontId="5" fillId="0" borderId="2" xfId="10" applyNumberFormat="1" applyFont="1" applyBorder="1" applyAlignment="1">
      <alignment horizontal="center" vertical="center" wrapText="1"/>
    </xf>
    <xf numFmtId="166" fontId="5" fillId="0" borderId="2" xfId="10" applyNumberFormat="1" applyFont="1" applyBorder="1" applyAlignment="1">
      <alignment horizontal="center" vertical="center" wrapText="1"/>
    </xf>
    <xf numFmtId="49" fontId="21" fillId="0" borderId="2" xfId="10" applyNumberFormat="1" applyFont="1" applyBorder="1" applyAlignment="1">
      <alignment vertical="center"/>
    </xf>
    <xf numFmtId="165" fontId="5" fillId="0" borderId="2" xfId="10" applyNumberFormat="1" applyFont="1" applyBorder="1" applyAlignment="1">
      <alignment horizontal="left" vertical="center" wrapText="1"/>
    </xf>
    <xf numFmtId="14" fontId="5" fillId="0" borderId="2" xfId="10" applyNumberFormat="1" applyFont="1" applyBorder="1" applyAlignment="1">
      <alignment horizontal="center" vertical="center" wrapText="1"/>
    </xf>
    <xf numFmtId="49" fontId="22" fillId="0" borderId="2" xfId="15" applyNumberFormat="1" applyFont="1" applyBorder="1" applyAlignment="1">
      <alignment vertical="center"/>
    </xf>
    <xf numFmtId="0" fontId="5" fillId="0" borderId="2" xfId="15" applyFont="1" applyBorder="1" applyAlignment="1">
      <alignment horizontal="left" vertical="center" wrapText="1"/>
    </xf>
    <xf numFmtId="0" fontId="5" fillId="0" borderId="2" xfId="15" applyFont="1" applyBorder="1" applyAlignment="1">
      <alignment horizontal="center" vertical="center" wrapText="1"/>
    </xf>
    <xf numFmtId="15" fontId="5" fillId="0" borderId="2" xfId="15" applyNumberFormat="1" applyFont="1" applyBorder="1" applyAlignment="1">
      <alignment horizontal="left" vertical="center" wrapText="1"/>
    </xf>
    <xf numFmtId="166" fontId="5" fillId="0" borderId="2" xfId="15" applyNumberFormat="1" applyFont="1" applyBorder="1" applyAlignment="1">
      <alignment horizontal="left" vertical="center" wrapText="1"/>
    </xf>
    <xf numFmtId="49" fontId="5" fillId="0" borderId="2" xfId="15" applyNumberFormat="1" applyFont="1" applyBorder="1" applyAlignment="1">
      <alignment vertical="center" wrapText="1"/>
    </xf>
    <xf numFmtId="0" fontId="5" fillId="0" borderId="2" xfId="15" applyFont="1" applyBorder="1" applyAlignment="1">
      <alignment vertical="center" wrapText="1"/>
    </xf>
    <xf numFmtId="15" fontId="5" fillId="0" borderId="2" xfId="15" applyNumberFormat="1" applyFont="1" applyBorder="1" applyAlignment="1">
      <alignment vertical="center" wrapText="1"/>
    </xf>
    <xf numFmtId="166" fontId="5" fillId="0" borderId="2" xfId="15" applyNumberFormat="1" applyFont="1" applyBorder="1" applyAlignment="1">
      <alignment vertical="center" wrapText="1"/>
    </xf>
    <xf numFmtId="0" fontId="21" fillId="0" borderId="2" xfId="10" quotePrefix="1" applyFont="1" applyBorder="1" applyAlignment="1">
      <alignment vertical="center"/>
    </xf>
    <xf numFmtId="0" fontId="5" fillId="0" borderId="2" xfId="16" applyFont="1" applyBorder="1" applyAlignment="1">
      <alignment horizontal="left" vertical="center" wrapText="1"/>
    </xf>
    <xf numFmtId="166" fontId="5" fillId="0" borderId="2" xfId="16" applyNumberFormat="1" applyFont="1" applyBorder="1" applyAlignment="1">
      <alignment horizontal="left" vertical="center" wrapText="1"/>
    </xf>
    <xf numFmtId="0" fontId="5" fillId="0" borderId="2" xfId="10" applyFont="1" applyBorder="1" applyAlignment="1">
      <alignment vertical="center" wrapText="1"/>
    </xf>
    <xf numFmtId="0" fontId="5" fillId="0" borderId="2" xfId="10" quotePrefix="1" applyFont="1" applyBorder="1" applyAlignment="1">
      <alignment horizontal="center" vertical="center" wrapText="1"/>
    </xf>
    <xf numFmtId="14" fontId="22" fillId="0" borderId="2" xfId="10" applyNumberFormat="1" applyFont="1" applyBorder="1" applyAlignment="1">
      <alignment vertical="center" wrapText="1"/>
    </xf>
    <xf numFmtId="166" fontId="5" fillId="0" borderId="2" xfId="10" quotePrefix="1" applyNumberFormat="1" applyFont="1" applyBorder="1" applyAlignment="1">
      <alignment horizontal="left" vertical="center" wrapText="1"/>
    </xf>
    <xf numFmtId="0" fontId="21" fillId="0" borderId="2" xfId="10" applyFont="1" applyBorder="1" applyAlignment="1">
      <alignment horizontal="left" vertical="center"/>
    </xf>
    <xf numFmtId="14" fontId="7" fillId="0" borderId="2" xfId="10" applyNumberFormat="1" applyFont="1" applyBorder="1" applyAlignment="1">
      <alignment horizontal="center" vertical="center" wrapText="1"/>
    </xf>
    <xf numFmtId="49" fontId="7" fillId="0" borderId="2" xfId="10" quotePrefix="1" applyNumberFormat="1" applyFont="1" applyBorder="1" applyAlignment="1">
      <alignment horizontal="left" vertical="center" wrapText="1"/>
    </xf>
    <xf numFmtId="0" fontId="7" fillId="0" borderId="2" xfId="10" quotePrefix="1" applyFont="1" applyBorder="1" applyAlignment="1">
      <alignment vertical="center" wrapText="1"/>
    </xf>
    <xf numFmtId="15" fontId="7" fillId="0" borderId="2" xfId="10" applyNumberFormat="1" applyFont="1" applyBorder="1" applyAlignment="1">
      <alignment horizontal="center" vertical="center" wrapText="1"/>
    </xf>
    <xf numFmtId="166" fontId="7" fillId="0" borderId="2" xfId="10" applyNumberFormat="1" applyFont="1" applyBorder="1" applyAlignment="1">
      <alignment horizontal="center" vertical="center" wrapText="1"/>
    </xf>
    <xf numFmtId="167" fontId="5" fillId="0" borderId="2" xfId="10" applyNumberFormat="1" applyFont="1" applyBorder="1" applyAlignment="1">
      <alignment horizontal="center" vertical="center" wrapText="1"/>
    </xf>
    <xf numFmtId="166" fontId="5" fillId="0" borderId="2" xfId="13" applyNumberFormat="1" applyFont="1" applyBorder="1" applyAlignment="1">
      <alignment horizontal="center" vertical="center"/>
    </xf>
    <xf numFmtId="49" fontId="5" fillId="0" borderId="2" xfId="10" quotePrefix="1" applyNumberFormat="1" applyFont="1" applyBorder="1" applyAlignment="1">
      <alignment horizontal="center" vertical="center"/>
    </xf>
    <xf numFmtId="0" fontId="5" fillId="0" borderId="2" xfId="10" applyFont="1" applyBorder="1" applyAlignment="1">
      <alignment horizontal="center" vertical="center"/>
    </xf>
    <xf numFmtId="14" fontId="5" fillId="0" borderId="2" xfId="10" applyNumberFormat="1" applyFont="1" applyBorder="1" applyAlignment="1">
      <alignment horizontal="center" vertical="center"/>
    </xf>
    <xf numFmtId="166" fontId="5" fillId="0" borderId="2" xfId="10" applyNumberFormat="1" applyFont="1" applyBorder="1" applyAlignment="1">
      <alignment horizontal="center" vertical="center"/>
    </xf>
    <xf numFmtId="14" fontId="7" fillId="0" borderId="2" xfId="10" applyNumberFormat="1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 wrapText="1"/>
    </xf>
    <xf numFmtId="0" fontId="23" fillId="3" borderId="0" xfId="7" applyFont="1" applyFill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0" borderId="2" xfId="8" applyFont="1" applyBorder="1" applyAlignment="1">
      <alignment horizontal="center"/>
    </xf>
    <xf numFmtId="0" fontId="12" fillId="0" borderId="0" xfId="0" applyFont="1"/>
    <xf numFmtId="0" fontId="8" fillId="0" borderId="0" xfId="0" applyFont="1" applyBorder="1"/>
    <xf numFmtId="0" fontId="5" fillId="0" borderId="0" xfId="0" applyFont="1" applyBorder="1"/>
    <xf numFmtId="0" fontId="5" fillId="0" borderId="0" xfId="0" applyFont="1" applyAlignment="1">
      <alignment horizontal="right"/>
    </xf>
    <xf numFmtId="0" fontId="5" fillId="0" borderId="0" xfId="0" applyFont="1" applyFill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</cellXfs>
  <cellStyles count="17">
    <cellStyle name="Excel_BuiltIn_Texto explicativo 1" xfId="14" xr:uid="{ED39492A-368F-4BBD-AE4F-7C7688BBB63B}"/>
    <cellStyle name="Millares" xfId="1" builtinId="3"/>
    <cellStyle name="Millares 13 2 3 3 2 13" xfId="13" xr:uid="{51C1EA64-3C3D-4E30-8CD2-2B52B888E40C}"/>
    <cellStyle name="Millares 2" xfId="2" xr:uid="{F96E9A1E-A5A5-402C-BF68-41EEA9FFDF8E}"/>
    <cellStyle name="Normal" xfId="0" builtinId="0"/>
    <cellStyle name="Normal 2" xfId="10" xr:uid="{D708F476-984A-48D4-8AA0-4CA6CA64FFED}"/>
    <cellStyle name="Normal 2 10" xfId="8" xr:uid="{95DE72DF-0C71-4646-B4B1-AF9703F0187E}"/>
    <cellStyle name="Normal 2 2" xfId="4" xr:uid="{E18AD56F-DD0D-4904-BB1C-D1320FEBCE88}"/>
    <cellStyle name="Normal 2 2 2 2" xfId="5" xr:uid="{A787033B-A737-4938-838C-5DE8A7C03824}"/>
    <cellStyle name="Normal 4" xfId="12" xr:uid="{E7122183-76B7-4B52-997A-1F63C3EFFDB3}"/>
    <cellStyle name="Normal 6" xfId="3" xr:uid="{EF4A6B99-C59E-43E2-B820-1B08A6E3246D}"/>
    <cellStyle name="Normal 6 2" xfId="11" xr:uid="{357D2162-89B9-412E-B6E6-12D552A68FE4}"/>
    <cellStyle name="Normal 6 2 2" xfId="15" xr:uid="{3C79D4B5-F2C2-41FE-9F2F-A26A2BF650A2}"/>
    <cellStyle name="Normal 7" xfId="9" xr:uid="{EDFEF8F3-68A2-472B-9E2E-D37BD1C69EC7}"/>
    <cellStyle name="Normal 8" xfId="16" xr:uid="{57354058-4A95-47F2-B2F6-F72A833B7B4C}"/>
    <cellStyle name="Normal_2102 Sumaria de Efectivo y Equivalentes" xfId="6" xr:uid="{656D5ECA-0253-4FA7-86A2-C2FF4269055D}"/>
    <cellStyle name="Normal_2102.1.1 Analisis de Partidas Conciliatorias" xfId="7" xr:uid="{78926889-E2FD-41CA-8CC6-62A2CC8F5F6D}"/>
  </cellStyles>
  <dxfs count="51"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54"/>
          <bgColor indexed="23"/>
        </patternFill>
      </fill>
    </dxf>
    <dxf>
      <font>
        <b val="0"/>
        <condense val="0"/>
        <extend val="0"/>
        <sz val="11"/>
        <color indexed="63"/>
      </font>
      <fill>
        <patternFill patternType="solid">
          <fgColor indexed="22"/>
          <bgColor indexed="50"/>
        </patternFill>
      </fill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  <dxf>
      <font>
        <b val="0"/>
        <condense val="0"/>
        <extend val="0"/>
        <sz val="11"/>
        <color indexed="63"/>
      </font>
    </dxf>
  </dxfs>
  <tableStyles count="0" defaultTableStyle="TableStyleMedium2" defaultPivotStyle="PivotStyleLight16"/>
  <colors>
    <mruColors>
      <color rgb="FF0000FF"/>
      <color rgb="FF0105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87" Type="http://schemas.openxmlformats.org/officeDocument/2006/relationships/externalLink" Target="externalLinks/externalLink85.xml"/><Relationship Id="rId10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100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103" Type="http://schemas.openxmlformats.org/officeDocument/2006/relationships/calcChain" Target="calcChain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36</xdr:row>
      <xdr:rowOff>89343</xdr:rowOff>
    </xdr:from>
    <xdr:to>
      <xdr:col>13</xdr:col>
      <xdr:colOff>722313</xdr:colOff>
      <xdr:row>36</xdr:row>
      <xdr:rowOff>95250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7077F8C-D614-4686-97F0-C114CBA3DFC7}"/>
            </a:ext>
          </a:extLst>
        </xdr:cNvPr>
        <xdr:cNvCxnSpPr/>
      </xdr:nvCxnSpPr>
      <xdr:spPr>
        <a:xfrm>
          <a:off x="369888" y="3954906"/>
          <a:ext cx="11068050" cy="590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127006</xdr:colOff>
      <xdr:row>63</xdr:row>
      <xdr:rowOff>0</xdr:rowOff>
    </xdr:from>
    <xdr:to>
      <xdr:col>0</xdr:col>
      <xdr:colOff>285756</xdr:colOff>
      <xdr:row>64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85AD37-454A-428C-B3FD-82A88732C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6" y="96440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380207</xdr:colOff>
      <xdr:row>35</xdr:row>
      <xdr:rowOff>110331</xdr:rowOff>
    </xdr:from>
    <xdr:to>
      <xdr:col>1</xdr:col>
      <xdr:colOff>143670</xdr:colOff>
      <xdr:row>36</xdr:row>
      <xdr:rowOff>143669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FFF5737-353A-417A-83BB-20C6CD89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07" y="530939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21353</xdr:colOff>
      <xdr:row>35</xdr:row>
      <xdr:rowOff>108664</xdr:rowOff>
    </xdr:from>
    <xdr:to>
      <xdr:col>15</xdr:col>
      <xdr:colOff>232650</xdr:colOff>
      <xdr:row>37</xdr:row>
      <xdr:rowOff>2461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FB1BF3C7-6186-439A-AE2F-DA7650E7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3416" y="5307727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119068</xdr:colOff>
      <xdr:row>64</xdr:row>
      <xdr:rowOff>0</xdr:rowOff>
    </xdr:from>
    <xdr:to>
      <xdr:col>0</xdr:col>
      <xdr:colOff>277818</xdr:colOff>
      <xdr:row>65</xdr:row>
      <xdr:rowOff>0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EFEF6017-4A06-4563-9837-C1CACA3A3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8" y="980281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249875</xdr:colOff>
      <xdr:row>34</xdr:row>
      <xdr:rowOff>79376</xdr:rowOff>
    </xdr:from>
    <xdr:to>
      <xdr:col>13</xdr:col>
      <xdr:colOff>564938</xdr:colOff>
      <xdr:row>36</xdr:row>
      <xdr:rowOff>15876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28D2910C-AC75-4AB7-B94A-D3C59BFE4A82}"/>
            </a:ext>
          </a:extLst>
        </xdr:cNvPr>
        <xdr:cNvSpPr/>
      </xdr:nvSpPr>
      <xdr:spPr>
        <a:xfrm rot="5400000">
          <a:off x="6499438" y="-1042561"/>
          <a:ext cx="254000" cy="118800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232650</xdr:colOff>
      <xdr:row>36</xdr:row>
      <xdr:rowOff>55562</xdr:rowOff>
    </xdr:from>
    <xdr:to>
      <xdr:col>16</xdr:col>
      <xdr:colOff>738188</xdr:colOff>
      <xdr:row>36</xdr:row>
      <xdr:rowOff>55563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CFACAFC-9561-4E90-B964-798E820220F5}"/>
            </a:ext>
          </a:extLst>
        </xdr:cNvPr>
        <xdr:cNvCxnSpPr>
          <a:stCxn id="239" idx="3"/>
        </xdr:cNvCxnSpPr>
      </xdr:nvCxnSpPr>
      <xdr:spPr>
        <a:xfrm flipV="1">
          <a:off x="14194713" y="5413375"/>
          <a:ext cx="1450100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%20An&#225;lisis%20de%20Caja%20y%20Bancos%20200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Anticipad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TT%20CLIENTES/Omnibus%20BB/Auditor&#237;a%202001/Proyectos%20finales%20OB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abad/Escritorio/FINANZAS/RESPALDOS%20CJARA/TCS/Financiero/REPORTES/Proyeccion%20Q2/Ejecuci&#243;n%20y%20Proyecci&#243;n%202nd%20Quarter%2008%20(2)PRUEB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abad/Escritorio/FINANZAS/Tata%20Balance%20Sheet%20V3%20COMPARATIVO%20JULA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30-1%20Selecci&#243;n%20de%20Gastos%20Bancarios%20y%20Divis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ENA/My%20Documents/CLIENTES/BJ%20SERVICES/My%20Documents/CLIENTES/BJ%20Services/MOV%20ACTIVOS%20FIJOS%20%2009%2001%20LOC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VISCAYA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Activo%20Fijo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inversiones%20bie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Caja%20y%20Equivalentes%20de%20Caja%20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200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Revisi&#243;n%20Anal&#237;tica%20Sustantiva%20-%20Poblaciones%20Disgregadas%20(07-03)%20%20S%20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ORIA/2015%20Arreglo%20Papeles/Azulec/2.%20Ejecuci&#243;n/Final/2000%20ACTIVOS/2100%20Efectivo%20y%20Equivalentes%20de%20Efectivo/My%20Documents/Clientes/Baker/AUDITORI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UPEREZ/My%20Documents/Deloitte/Clientes/2007/Erco/Requerimientos/02%20Requerimient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ABILIDAD\Excel\mayor_Serras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asquez\A&#241;o%202.004\Documents%20and%20Settings\sgalarraga\Configuraci&#243;n%20local\Archivos%20temporales%20de%20Internet\OLK4\An&#225;lisis%20de%20Abril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Munoz/Local%20Settings/Temporary%20Internet%20Files/OLK8/IVA%20COMPRAS%20MAY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Ejecutar%20Procedimientos%20Anal&#237;ticos%20Preliminare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Perform%20Preliminary%20Analytical%20Review%20Workbook%20(adjusted%20for%20new%20pack)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801%20Realizar%20Libro%20de%20Trabajo%20de%20Revisi&#243;n%20Anal&#237;tica%20Preliminar%20May-1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10%20Hoja%20Resumen%20de%20Gastos%20pagados%20por%20anticipado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LANTILLA%20CMA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30%20An&#225;lisis%20de%20Activos%20Fijos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inversione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10-10%20Parque%20Nacional%20Machalill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Pagados%20por%20Anticipado%20y%20Otras%20Cuentas%20por%20Cobrar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sjara/Configuraci&#243;n%20local/Archivos%20temporales%20de%20Internet/Content.Outlook/LJTMY58F/Gastos/Estado%20Resultados%20Acumulativ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resultados%20gastos%20textil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MALDONADO/Desktop/Empresa%20El&#233;ctrica/Informaci&#243;n%20definitiva%20EEQSA/DELOITTE%202/REQUERIMIENTOS%20200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de%20%20Gastos%20administrativo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An&#225;lisis%20de%20Gastos%20de%20Administraci&#243;n%20y%20Vent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30%20An&#225;lisis%20de%20Cuentas%20por%20Pagar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208634D826240ED8FF96B68185292DE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-2%20An&#225;lisis%20de%20cuentas%20por%20cobrar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Formato%20de%20requerimient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PT%20de%20Gasto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y%20Venta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MENA/My%20Documents/CLIENTES/BJ%20SERVICES/cobrospo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IOCON05\psalazar004\Desktop\CLIENTES\FYI%202014\Etafashion\Etafashion\Obligaciones%20financieras%20Etatex%202012\An&#225;lisis%20detallado%20-%20Documentos%20por%20pagar%20y%20deudas%20a%20largo%20plazo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1998/REAL98/abr98/INCOME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IN001%20-%2010%20ANOS%20-%20LAAM/2006/Aliadas/718%20-%20Colombia/maria.faria/07_06/Invoices%20pai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icion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uywt060\my%20documents\DOCUME~1\804120\LOCALS~1\Temp\Temporary%20Directory%201%20for%20FORECAST-TCSBRZ-20080414.zip\FORECAST-TCSBRZ-2008041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OAQUI~1.PEL/LOCALS~1/Temp/notesE8430C/S4201-OBB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l%20Costo%20de%20Venta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XX%20An&#225;lisis%20de%20Inventario%202006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LM\Foreign%20Accounts%20Payable\Fin001%20-%203%20anos\2006\Fechamento\04%20-%20Abr%2006\Reconcilia&#231;&#227;o\Aliadas%2012-2005\R1-NOVO%20FORMATO%20DE%20AN&#193;LISE%2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AVID/OILTRADER/BAL%20SEPTIEMBR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LUCIMA~1.SAN/CONFIG~1/Temp/notes175B27/SAP%2031-08-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30%20An&#225;lisis%20Gastos%20de%20Operaci&#243;n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An&#225;lisis%20de%20Gastos%20de%20Operacionale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x%20An&#225;lisis%20de%20Costo%20de%20Venta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%20%20%20Imprenta%20Mariscal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Gastos%20de%20Operaci&#243;n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operaci&#243;n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30%20An&#225;lisis%20Pasivos%20a%20Largo%20Plazo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Administrativos%20y%20de%20Venta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Detalle%20de%20anticipo%20de%20compra%20de%20terreno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i&#243;n%20Anal&#237;tica%20Sustantiva%20-%20Pobl.%20Disgregada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pro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%20Costo%20de%20Ventas%20y%20Gastos%20de%20Operaci&#243;n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-a&#241;o%20anterior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%20de%20Operaci&#243;n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30%20An&#225;lisis%20de%20Gastos%20Anticipados%20y%20otras%20cuentas%20por%20cobrar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680-1%20Estados%20Financiero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%20An&#225;lisis%20de%20Gastos%20de%20Operaci&#243;n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COLOMBINA/8130%20An&#225;lisis%20Ingreso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Efectivo%20y%20Equivalentes%20de%20Efectivo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etrosud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alanda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RESTON%20ECUADOR%20AS\2.%20Ejecuci&#243;n\2100%20-%20Efectivo%20y%20equivalente\2130%20Sumaria%20Efectivo%20y%20Equivalentes%20de%20Efectivo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BELTRAN/Desktop/Worksheet%20in%205130%20An&#225;lsis%20de%20Efectivo%20y%20Equivalentes%20de%20Efectivo%20Petrosu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1%20Detalle%20y%20An&#225;lisis%20de%20Otros%20Activos%2002%2028%2099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Revisi&#243;n%20de%20activos%20fijo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8330%20An&#225;lisis%20de%20Gastos%20de%20Operaci&#243;n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Estados%20Financieros%202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C%20An&#225;lisis%20de%20Activo%20Fijo%20-%20Oleocastillo%20S.A.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10-3.1%20Revisi&#243;n%20visita%20Parque%20Nacional%20Yasun&#237;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ORIA/2015%20Arreglo%20Papeles/Azulec/2.%20Ejecuci&#243;n/Final/2000%20ACTIVOS/2100%20Efectivo%20y%20Equivalentes%20de%20Efectivo/transfer/8330%20An&#225;lisis%20de%20Gastos%20Operacional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30%20An&#225;lisis%20de%20Cuentas%20por%20Cobrar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Sep%2010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CRUZ/My%20Documents/Deloitte/P&amp;S/Gastos/Detalle%20de%20gasto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. Bancar."/>
      <sheetName val="Detalle de Mov 1 al 4 dic"/>
      <sheetName val="Produbanco"/>
      <sheetName val="Bco. Internacional"/>
      <sheetName val="Banco Pichincha"/>
      <sheetName val="Produbanco Ahorros"/>
      <sheetName val="CMA Produbanco (2)"/>
      <sheetName val="CMA Pichincha (2)"/>
      <sheetName val="Pasivos No registrados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Seguros"/>
      <sheetName val="XREF"/>
      <sheetName val="Tickmarks"/>
      <sheetName val="Det.O CxC"/>
      <sheetName val="Detalle Anticipos"/>
      <sheetName val="V.G."/>
      <sheetName val="Insum.Ganad."/>
      <sheetName val="Analisis Anticipos"/>
      <sheetName val="CoberturaSeg"/>
      <sheetName val="Tildes"/>
      <sheetName val="#REF"/>
      <sheetName val="Cobertura Seguros"/>
      <sheetName val="Ret.Fte."/>
      <sheetName val="imptos. anticipados"/>
      <sheetName val="Otros activos circul"/>
      <sheetName val="gtos pag x antici"/>
      <sheetName val="dctos x cobrar"/>
      <sheetName val="Detalle de Gastos Anticipados"/>
      <sheetName val="Ant. Prov. Fin."/>
      <sheetName val="Ant. Chat. Sucur.Fin"/>
      <sheetName val="Var. Cuent. Liq.Fin."/>
      <sheetName val="Ant. Prov. Prel."/>
      <sheetName val="Ant. Chatarr.Prel."/>
      <sheetName val="Ant. Chat. Sucur.Prel."/>
      <sheetName val="Var. Cuent. Liq.Prel."/>
      <sheetName val="Ant. Prov."/>
      <sheetName val="Ant. Chatarr."/>
      <sheetName val="Ant. Chat. Sucur."/>
      <sheetName val="Var. Cuent. Liq."/>
      <sheetName val="Anticipos Prov."/>
      <sheetName val="Ant.chatarra"/>
      <sheetName val="Ctas. por liquidar"/>
      <sheetName val="Anti Sucursal.Chata"/>
      <sheetName val="Empleados"/>
      <sheetName val="Varios"/>
      <sheetName val="Retenciones"/>
      <sheetName val="MMA"/>
      <sheetName val="Análisis MMA"/>
      <sheetName val="Seguros prepagados"/>
      <sheetName val="Cálculo del umbral"/>
      <sheetName val="Cobros posteriores"/>
      <sheetName val="Cob.Seguros"/>
      <sheetName val="Seguros vane"/>
      <sheetName val="Sheet1"/>
      <sheetName val="Detalle Gtos Anticipados"/>
      <sheetName val="ASSA"/>
      <sheetName val="Transferencias"/>
      <sheetName val="Análisis de Seguros "/>
      <sheetName val="Empleados y estudiantes"/>
      <sheetName val="Anticipos"/>
      <sheetName val="Gasto anticipados LP"/>
      <sheetName val="CG Amor. "/>
      <sheetName val="Anticipo Acreedores"/>
      <sheetName val="Nota a los EEFF"/>
      <sheetName val="Operación"/>
      <sheetName val="Seguros "/>
      <sheetName val="impuestos"/>
      <sheetName val="anticipos proveedores"/>
      <sheetName val="otras cuentas por cobrar"/>
      <sheetName val="Detalle Ant"/>
      <sheetName val="Detalle Ant.Impues"/>
      <sheetName val="Ant.Gast. Ant."/>
      <sheetName val="Análisis Gtos Antic."/>
      <sheetName val="Reclam proveed"/>
      <sheetName val="Otras ctas x cobrar"/>
      <sheetName val="Anticipo Proveedores"/>
      <sheetName val="AnticiposProveedores"/>
      <sheetName val="CxC Varias"/>
      <sheetName val="Prestamos Empleados"/>
      <sheetName val="seguros auditoria 31-dic-2004"/>
      <sheetName val="Seguros (2003)"/>
      <sheetName val="ANTICIPOSEMP"/>
      <sheetName val="CXC Varios"/>
      <sheetName val="Ant.Proveedores"/>
      <sheetName val="Trámites Legales"/>
      <sheetName val="Nota EF"/>
      <sheetName val="Anticipo Prov. Locales"/>
      <sheetName val="Solicitud IVA "/>
      <sheetName val="Deudores Varios"/>
      <sheetName val="Notas EEFF"/>
      <sheetName val="Relacionadas"/>
      <sheetName val="Préstamos Accionistas"/>
      <sheetName val="Préstamos Empleados"/>
      <sheetName val="Detalle de Anticipos Varios"/>
      <sheetName val="APT Anticipos Varios"/>
      <sheetName val="Detalle de Servicios"/>
      <sheetName val="Cálculo de Seguros"/>
      <sheetName val="Análisis Amortización Anticipos"/>
      <sheetName val="Mov. Retenciones en la Fte."/>
      <sheetName val="Anticipo Emp."/>
      <sheetName val="Préstamo Emp."/>
      <sheetName val="Mrdo. Emp."/>
      <sheetName val="Otras cxc emp."/>
      <sheetName val="Anticipo provee"/>
      <sheetName val="Otras cxc"/>
      <sheetName val="Gts. pag. ant"/>
      <sheetName val="Cxc relacion"/>
      <sheetName val="Marcas"/>
      <sheetName val="Seguros sept"/>
      <sheetName val="Seguros nov"/>
      <sheetName val="Nota"/>
      <sheetName val="Prést. emplea"/>
      <sheetName val="Detalle Otr"/>
      <sheetName val="Gastos Anticipados"/>
      <sheetName val="Det. Dep en Gar"/>
      <sheetName val="Gastos Diferidos"/>
      <sheetName val="Det. Varias Ctas por Cob"/>
      <sheetName val="Det. Pólizas"/>
      <sheetName val="Det. Varias Ctas por Pag"/>
      <sheetName val="Dep en Gar CP"/>
      <sheetName val="Int x C Bancos y Fin"/>
      <sheetName val="A. Seguros"/>
      <sheetName val="Detalle cuentas varias"/>
      <sheetName val="Viáticos"/>
      <sheetName val="Detalle otros deudores"/>
      <sheetName val="Anal Vh Taxi"/>
      <sheetName val="SEGUROS 3"/>
      <sheetName val="Imptos"/>
      <sheetName val="Cálculo Seguros"/>
      <sheetName val="Análisis de Seguros"/>
      <sheetName val="Accionistas"/>
      <sheetName val="Garantias"/>
      <sheetName val="Transitoria"/>
      <sheetName val="Detalle de Seguros"/>
      <sheetName val="0303-001 Prep. exp. other"/>
      <sheetName val="0420-001 Deposit"/>
      <sheetName val="0490-001 Other Current Assets"/>
      <sheetName val="Prepaid expense Other"/>
      <sheetName val="Other school fees"/>
      <sheetName val="Reimbursable Expenses"/>
      <sheetName val="Employee Loans"/>
      <sheetName val="Retención  garantías"/>
      <sheetName val="Prepiad Expenses"/>
      <sheetName val="Anticipo  Proved.Ext"/>
      <sheetName val="Límite"/>
      <sheetName val="Anticipo  Provee.Locales"/>
      <sheetName val="Anticipo Prov.Ext."/>
      <sheetName val="Detalle Otras CtasxCobrar"/>
      <sheetName val="Seguros Final"/>
      <sheetName val="Detalle Arriedos"/>
      <sheetName val="Otros corrientes"/>
      <sheetName val="Otros por realizarse"/>
      <sheetName val="Petroproducción"/>
      <sheetName val="Detalle Otros"/>
      <sheetName val="Tarjetas de crédito"/>
      <sheetName val="Revision Comp.Ret"/>
      <sheetName val="Cobertura de Seguros"/>
      <sheetName val="Nota EEFF"/>
      <sheetName val="Otras CxC Final"/>
      <sheetName val="Anticip.Empl. Final"/>
      <sheetName val="Refactur.Inter Final"/>
      <sheetName val="Anticip.Empl."/>
      <sheetName val="Refactur.Inter"/>
      <sheetName val="Arriendos"/>
      <sheetName val="Detalle Arriedos "/>
      <sheetName val="Otros corrientes "/>
      <sheetName val="Detalle Imp Retenidos"/>
      <sheetName val="Análisis Impuetos Ret."/>
      <sheetName val="Ant. Proveedores"/>
      <sheetName val="Ant. Construcc"/>
      <sheetName val="APT Anticipos"/>
      <sheetName val="Ant. Construcciones"/>
      <sheetName val="Ant. Directivos"/>
      <sheetName val="CxC Ing. Mihail"/>
      <sheetName val="Proveedores"/>
      <sheetName val=" CxC Varios."/>
      <sheetName val="Provisión"/>
      <sheetName val="Doc por Cobrar LP"/>
      <sheetName val="Ctas.x Cobrar FEDEPAL"/>
      <sheetName val="Antic.Nacionales"/>
      <sheetName val="Anticipos_Publicidad"/>
      <sheetName val="Antipos Proveed."/>
      <sheetName val="CMA_Selections"/>
      <sheetName val="MMA "/>
      <sheetName val="MMA sub"/>
      <sheetName val="laroux"/>
      <sheetName val="Detalle Varios deudores"/>
      <sheetName val="Cobros Posteriores Telefónicas"/>
      <sheetName val="Mov. Cta Municipal"/>
      <sheetName val="Análsis del IVA"/>
      <sheetName val="Detalle EEQ"/>
      <sheetName val="Anticipos Importaciones"/>
      <sheetName val="Anticipos Empleados "/>
      <sheetName val="Tabla del Limite"/>
      <sheetName val="Cobros posteriores IVA"/>
      <sheetName val="Pagos anticipados"/>
      <sheetName val="Anticipos Empleados 00"/>
      <sheetName val="Det. CxC"/>
      <sheetName val="Imptos y Contr"/>
      <sheetName val="Análisis Com"/>
      <sheetName val="Cob. Seguros Prelim"/>
      <sheetName val="Fondo Garantía"/>
      <sheetName val="CXC Empleados"/>
      <sheetName val="CXC Accionistas"/>
      <sheetName val="Ant transpo"/>
      <sheetName val="Otros Gtos antic"/>
      <sheetName val="Tick2002"/>
      <sheetName val="Imp. y Contrib."/>
      <sheetName val="Empleados y Accionist."/>
      <sheetName val="Otros Anticipados"/>
      <sheetName val="Cob. Seguros Final"/>
      <sheetName val="Var. CxC prel"/>
      <sheetName val="Var. CxC fin"/>
      <sheetName val="Det Val a desc. Rol"/>
      <sheetName val="Hoja 1"/>
      <sheetName val="DETALLE 1140200000008"/>
      <sheetName val="Anticipos "/>
      <sheetName val="Sobregiros"/>
      <sheetName val="Honorarios"/>
      <sheetName val="Mantenimiento"/>
      <sheetName val="Reclamos"/>
      <sheetName val="Seguros (2)"/>
      <sheetName val="Seguros (3)"/>
      <sheetName val="ETICA-ARRIENDOS-FINAL"/>
      <sheetName val="Inventarios"/>
      <sheetName val="Anticipo empleados"/>
      <sheetName val="Anticipos al 31-mar-06"/>
      <sheetName val="Adiciones"/>
      <sheetName val="Selección Ant. Prov."/>
      <sheetName val="Análisis de anticipos"/>
      <sheetName val="Provisión de ingresos"/>
      <sheetName val="Detalle "/>
      <sheetName val="Detalle CxC varias"/>
      <sheetName val="Prést. y Ant. Empleados"/>
      <sheetName val="Gastos Compartidos"/>
      <sheetName val="Seguros Vigentes Final"/>
      <sheetName val="Mov. Impto Rta"/>
      <sheetName val="Ret. Fte. Pagadas"/>
      <sheetName val="Garantías"/>
      <sheetName val="Cuenta por Cobrar Varias"/>
      <sheetName val="Detalle varios"/>
      <sheetName val="Anal. Segu"/>
      <sheetName val="Otros Prepag."/>
      <sheetName val="Otras Lar. plazo"/>
      <sheetName val="Refact. Interc."/>
      <sheetName val="Varias por liquidar"/>
      <sheetName val="Provmetálica"/>
      <sheetName val="Anticipos a proveedores"/>
      <sheetName val=" Límite Gasto Seguros"/>
      <sheetName val="Depósitos en garantía"/>
      <sheetName val="1"/>
      <sheetName val="D. Otras Ctas. por Cobrar"/>
      <sheetName val="Reten"/>
      <sheetName val="Ant. Prove"/>
      <sheetName val="CxC  Varias"/>
      <sheetName val="Ag. en el exterior"/>
      <sheetName val="Aut.Portuarias"/>
      <sheetName val="Transporte Marítimo"/>
      <sheetName val="Análisis APT"/>
      <sheetName val="Ant. util. Trab"/>
      <sheetName val="Pre. emple"/>
      <sheetName val="Dept"/>
      <sheetName val="ReimbExp"/>
      <sheetName val="AntEmple"/>
      <sheetName val="PrepaidExpOth"/>
      <sheetName val="Préstamos Empleados CP"/>
      <sheetName val="Análisis de Seguros FINAL"/>
      <sheetName val="Análisis de Seguros PRELIM"/>
      <sheetName val="Cxc Diversos"/>
      <sheetName val="Anticipo Prov."/>
      <sheetName val="Prestamo Emplead."/>
      <sheetName val="Otros Cargos Diferidos"/>
      <sheetName val="Empleados final"/>
      <sheetName val="Préstamos final"/>
      <sheetName val="Ant. Utilidades"/>
      <sheetName val="Prést. empl prelim"/>
      <sheetName val="Otras Garantías"/>
      <sheetName val="Varias CxC"/>
      <sheetName val="Fondo Viaje"/>
      <sheetName val="Retencion"/>
      <sheetName val="APT"/>
      <sheetName val="G.AnticipCMA"/>
      <sheetName val="Límites"/>
      <sheetName val="Anticip Sueldos"/>
      <sheetName val="Anticip. entreg"/>
      <sheetName val="Land Tour"/>
      <sheetName val="Galápagos Operación"/>
      <sheetName val="Anticip entreg"/>
      <sheetName val="AnticpEntrgFinal"/>
      <sheetName val="DetalAntEntrg"/>
      <sheetName val="GastPagAnticpFin"/>
      <sheetName val="AnticipSueldFin"/>
      <sheetName val="ArriendFin"/>
      <sheetName val="APT Anticipo Prov"/>
      <sheetName val="Selección Anticipos"/>
      <sheetName val="Anticipo Sueldo"/>
      <sheetName val="MatrizIntercomp"/>
      <sheetName val="Gen Receivables"/>
      <sheetName val="AR Petroecuador-Final"/>
      <sheetName val="AR Petroecuador"/>
      <sheetName val="Empl. Loans"/>
      <sheetName val="Movimiento"/>
      <sheetName val="Land"/>
      <sheetName val="Galápagos"/>
      <sheetName val="Anticipos Entregados"/>
      <sheetName val="Arriendo"/>
      <sheetName val="anticipos proveedores (2)"/>
      <sheetName val="MMA Tarjetas de Crédito"/>
      <sheetName val="MMA Anticipos"/>
      <sheetName val="Antic. Sueldo"/>
      <sheetName val="Sobreg. Nómina"/>
      <sheetName val="Notas de Débito"/>
      <sheetName val="Segros"/>
      <sheetName val="Sueldos"/>
      <sheetName val="Anticipo Sueldos"/>
      <sheetName val="Sobregiro de Nómina"/>
      <sheetName val="BSP"/>
      <sheetName val="Salmor"/>
      <sheetName val="ND Error Boletos"/>
      <sheetName val="CXC Boletos No FAct"/>
      <sheetName val="Sheet2"/>
      <sheetName val="Sheet3"/>
      <sheetName val="Mov. Imp. Ren"/>
      <sheetName val="Otros"/>
      <sheetName val="Anti."/>
      <sheetName val="Gastos.Nacionales"/>
      <sheetName val="Antic.Nacionales (2)"/>
      <sheetName val="Mov. Imp. Renta"/>
      <sheetName val="Mov. Activos Fijos&amp;Intangibles"/>
      <sheetName val="Mejoras"/>
      <sheetName val="Hoja1"/>
      <sheetName val="CMA Calculations- R Factor"/>
      <sheetName val="Garantía Punto Fa"/>
      <sheetName val="Otras Ctas. x Cobrar"/>
      <sheetName val="Anticipos Punto FA"/>
      <sheetName val="Detalle (2)"/>
      <sheetName val="CMA Calculations- Figure 5440.1"/>
      <sheetName val="Detalle Provmetalica"/>
      <sheetName val="Detalle Sucursales Chatarra"/>
      <sheetName val="Detalle de Garantías Grales."/>
      <sheetName val="Varias cuentas por liquidar"/>
      <sheetName val="Otras Ctas por pagar"/>
      <sheetName val="deuda Mega Ltd"/>
      <sheetName val="Resumen Comisiones"/>
      <sheetName val="Préstamos"/>
      <sheetName val="Anticipos contratistas"/>
      <sheetName val="Análisis Ant. Contratistas"/>
      <sheetName val="Otras CxC Contratistas"/>
      <sheetName val="Anticipos Contratistas Final"/>
      <sheetName val="Otras CxC Cont. Final"/>
      <sheetName val="Análisis Contratistas Final"/>
      <sheetName val="Abonos Clientes"/>
      <sheetName val="Análisis Clientes"/>
      <sheetName val="Anticipo Clientes"/>
      <sheetName val="Comisiones Pagadas por A Dic-08"/>
      <sheetName val="Comisiones Pagadas por A Sep-08"/>
      <sheetName val="Comisiones Diferidas y Vistotal"/>
      <sheetName val="Gastos Comp. Licencias"/>
      <sheetName val="Intermediarios de Seguros"/>
      <sheetName val="BMI GEN RE"/>
      <sheetName val="Listado"/>
      <sheetName val="Movmejoras.amort."/>
      <sheetName val="Confirmaciones relacionadas"/>
      <sheetName val="Anticipos empleados"/>
      <sheetName val="Análisis C. Tributario"/>
      <sheetName val="NC Aduana"/>
      <sheetName val="Ctas x Liquidar"/>
      <sheetName val="Panamax"/>
      <sheetName val="Transp. Marítimo"/>
      <sheetName val="Movimiento Colocación Títulos"/>
      <sheetName val="Cálculo de amort. pérdida"/>
      <sheetName val="Analisis Apt"/>
      <sheetName val="Movimiento I.R"/>
      <sheetName val="Deli soda Husky"/>
      <sheetName val="Tablas de Amortización"/>
      <sheetName val="Segunda opinion"/>
      <sheetName val="CMA Calculations"/>
      <sheetName val="CMA Selections"/>
      <sheetName val="Movimiento Retenciones"/>
      <sheetName val="anticipo Prov. exterior"/>
      <sheetName val="Funcionarios empleados"/>
      <sheetName val="Anticip"/>
      <sheetName val="Seg. prel"/>
      <sheetName val="Seg. final"/>
      <sheetName val="Cuentas seleccionadas"/>
      <sheetName val="GRUFUSA"/>
      <sheetName val="Voucheo"/>
      <sheetName val="analisis prestamos"/>
      <sheetName val="CxC varios UIO"/>
      <sheetName val="Selección para MMA"/>
      <sheetName val="Cías Relacionadas"/>
      <sheetName val="Amortizaciones"/>
      <sheetName val="Cuentas Varias  Quito"/>
      <sheetName val="Análisis capital e intereses"/>
      <sheetName val="Notas"/>
      <sheetName val="Detalle avances"/>
      <sheetName val="Gastos APT"/>
      <sheetName val="Detalle Prov."/>
      <sheetName val="Anticipos Prov. Final"/>
      <sheetName val="Analisis - APT"/>
      <sheetName val="Anticipos Prov. Prel."/>
      <sheetName val="Anticipos Contratistas Prel."/>
      <sheetName val="P.1. Detalle"/>
      <sheetName val="P.2.Anticipos Varios"/>
      <sheetName val="Subdetalles"/>
      <sheetName val="Subdetalle"/>
      <sheetName val="Análisis Anticipos Proveedores"/>
      <sheetName val="Análisis Anticipos Contratistas"/>
      <sheetName val="Análisis Gtos. Anticipados Sel."/>
      <sheetName val="Detalle de Préstamos a Empleado"/>
      <sheetName val="Prest. Empleados Final"/>
      <sheetName val="Prest. Empleados Prel."/>
      <sheetName val="Tickmarks (2)"/>
      <sheetName val="Selec"/>
      <sheetName val="Pres. Emp"/>
      <sheetName val="Cheq. Garant."/>
      <sheetName val="Anticipo renta"/>
      <sheetName val="Resumen"/>
      <sheetName val="Mov. Intereses Antic."/>
      <sheetName val="Anticipo a Contratistas"/>
      <sheetName val="Anticipo Prov. Nac. Final"/>
      <sheetName val="Anticipo Prov. Nac. Prel."/>
      <sheetName val="Anticipo Vs. Proveedores"/>
      <sheetName val="Anticipo Prov. Nacionales"/>
      <sheetName val="Análisis Anticipos Selecc. MMA"/>
      <sheetName val="Revisión Prestamos Empleados"/>
      <sheetName val="Anticipo"/>
      <sheetName val="Instalación Prof."/>
      <sheetName val="Membresías"/>
      <sheetName val="Inversión LP"/>
      <sheetName val="Límite buses"/>
      <sheetName val="Seguro"/>
      <sheetName val="Ant proveed"/>
      <sheetName val="Anti proveed"/>
      <sheetName val="Proveedores Final"/>
      <sheetName val="Anticipo Construcciones"/>
      <sheetName val="Detalle anticipo proveedores "/>
      <sheetName val="Rev. Anticipo Proveedores"/>
      <sheetName val="Detalle anticipo sueldos "/>
      <sheetName val="Rev. Anticipo Sueldos"/>
      <sheetName val="Detalle Garantias "/>
      <sheetName val="Detalle anticipo provedores"/>
      <sheetName val="Anticipo Emplead."/>
      <sheetName val="Notas a los EEFF"/>
      <sheetName val="Avances proveedores"/>
      <sheetName val="Análisis Otros Diferidos (Prel)"/>
      <sheetName val="Análisis Otros Diferidos (fin)"/>
      <sheetName val="Análisis Otros Diferidos"/>
      <sheetName val="Antic. Dic"/>
      <sheetName val="CMA Calculations- Figure 54 (2)"/>
      <sheetName val="Anticipos Comisionistas Dec"/>
      <sheetName val="Anticipos Comisionistas Oct."/>
      <sheetName val="Anticipos Comisionistas"/>
      <sheetName val="CxC Egipto Sep"/>
      <sheetName val="CxC Egipto Jun"/>
      <sheetName val="Ant. Proveedores Sep"/>
      <sheetName val="Ant. IR"/>
      <sheetName val="Arriendos Antic"/>
      <sheetName val="Ant Utilidades"/>
      <sheetName val="Deudores  Varios"/>
      <sheetName val="Anexo"/>
      <sheetName val="Impuesto a la renta"/>
      <sheetName val="IC Advance"/>
      <sheetName val="Coverturas Seguros"/>
      <sheetName val="Detalle de póliza"/>
      <sheetName val="Anticipo Proveedores(F) "/>
      <sheetName val="Anticipo Proveedores(P)"/>
      <sheetName val="Funcionarios empleados(P)"/>
      <sheetName val="Pólizas 2011 Consorcio (final)"/>
      <sheetName val="Pólizas 2011 Consorcio GLP"/>
      <sheetName val="Procedimiento"/>
      <sheetName val="Observaciones"/>
      <sheetName val="Análisis de antiguedad"/>
      <sheetName val="CT Imp Retenidos"/>
      <sheetName val="Limites"/>
      <sheetName val="Detalle Otros Imp."/>
      <sheetName val="Detalle de IR"/>
      <sheetName val="General"/>
      <sheetName val="Anticipos Compras especiales"/>
      <sheetName val="ver"/>
      <sheetName val="Varios clientes"/>
      <sheetName val="Lista"/>
      <sheetName val="Anticipo Final"/>
      <sheetName val="Anticipo Prel."/>
      <sheetName val="Anticipos Comisionistas CP"/>
      <sheetName val="Préstamos al Personal"/>
      <sheetName val="Anticipo Acreedores Varios"/>
      <sheetName val="Dividendos"/>
      <sheetName val="Sublevante"/>
      <sheetName val="Diferencias"/>
      <sheetName val="Otras Ctas por cobrar"/>
      <sheetName val="Comisiones Final"/>
      <sheetName val="Comi. Prel"/>
      <sheetName val="Notas EF"/>
      <sheetName val="Prést. y Ant. Personal"/>
      <sheetName val="Avances a Proveedores"/>
      <sheetName val="Diferidos"/>
      <sheetName val="Calculo global IR"/>
      <sheetName val="Procedimientos"/>
      <sheetName val="Comentarios"/>
      <sheetName val="Detalle Boletos no factur. Dic."/>
      <sheetName val="Coteja Boletos no fact. 2012"/>
      <sheetName val="Mov. Provi. Boletos no factura."/>
      <sheetName val="Anticipo Proveedores Final"/>
      <sheetName val="Anticipo Proveedores Prel."/>
      <sheetName val="Gastos Antic. APT"/>
      <sheetName val="Gastos Antic. Proveed. Final"/>
      <sheetName val="Gastos Antic. Proveed. Prel."/>
      <sheetName val="ND Errores Boletos Fin."/>
      <sheetName val="ND Errores Boletos Prel."/>
      <sheetName val="Transitoria Cobranzas"/>
      <sheetName val="Anticipo Sueldos Final."/>
      <sheetName val="Anticipo Sueldos Prel."/>
      <sheetName val="Empleados a Noviembre 11"/>
      <sheetName val="Empleados a Diciembre 1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 refreshError="1"/>
      <sheetData sheetId="424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 refreshError="1"/>
      <sheetData sheetId="437" refreshError="1"/>
      <sheetData sheetId="438"/>
      <sheetData sheetId="439" refreshError="1"/>
      <sheetData sheetId="440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B 31-dic-00"/>
      <sheetName val="OBB"/>
      <sheetName val="RESUMEN OBB"/>
      <sheetName val="CONCILIACION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"/>
      <sheetName val="Resumen Inflación"/>
      <sheetName val="INGRESOS"/>
      <sheetName val="FORECAST"/>
      <sheetName val="COS &amp; Expenses"/>
      <sheetName val="ER"/>
      <sheetName val="RESUMEN"/>
      <sheetName val="Hoja1 (2)"/>
      <sheetName val="DETALLE INGRESOS"/>
      <sheetName val="DETALLE GASTOS"/>
      <sheetName val="CC"/>
      <sheetName val="MyR Tec - Inlfación"/>
      <sheetName val="Ingresos Otros"/>
      <sheetName val="Detalle Otros Ingresos"/>
      <sheetName val="Hoja1"/>
      <sheetName val="Seguros"/>
      <sheetName val="DATOS182707"/>
    </sheetNames>
    <sheetDataSet>
      <sheetData sheetId="0"/>
      <sheetData sheetId="1"/>
      <sheetData sheetId="2"/>
      <sheetData sheetId="3"/>
      <sheetData sheetId="4"/>
      <sheetData sheetId="5">
        <row r="9">
          <cell r="P9" t="e">
            <v>#NAME?</v>
          </cell>
        </row>
        <row r="105">
          <cell r="P105" t="e">
            <v>#NAME?</v>
          </cell>
        </row>
        <row r="146">
          <cell r="P146" t="e">
            <v>#NAME?</v>
          </cell>
        </row>
        <row r="147">
          <cell r="P147" t="e">
            <v>#NAME?</v>
          </cell>
        </row>
        <row r="148">
          <cell r="P148" t="e">
            <v>#NAME?</v>
          </cell>
        </row>
        <row r="154">
          <cell r="N154">
            <v>2008</v>
          </cell>
        </row>
        <row r="155">
          <cell r="N155">
            <v>7</v>
          </cell>
        </row>
        <row r="156">
          <cell r="N156">
            <v>7</v>
          </cell>
        </row>
        <row r="166">
          <cell r="P166" t="e">
            <v>#NAME?</v>
          </cell>
        </row>
        <row r="167">
          <cell r="P167" t="e">
            <v>#NAME?</v>
          </cell>
        </row>
        <row r="176">
          <cell r="B176" t="str">
            <v>50020105</v>
          </cell>
          <cell r="O176" t="e">
            <v>#NAME?</v>
          </cell>
        </row>
        <row r="177">
          <cell r="B177" t="str">
            <v>50020125</v>
          </cell>
          <cell r="O177" t="e">
            <v>#NAME?</v>
          </cell>
        </row>
        <row r="178">
          <cell r="B178" t="str">
            <v>543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  <sheetName val="BG"/>
      <sheetName val="ER"/>
      <sheetName val="Datos Iniciales"/>
    </sheetNames>
    <sheetDataSet>
      <sheetData sheetId="0"/>
      <sheetData sheetId="1"/>
      <sheetData sheetId="2">
        <row r="9">
          <cell r="H9">
            <v>-3248215.24</v>
          </cell>
        </row>
        <row r="15">
          <cell r="H15">
            <v>-5843.53</v>
          </cell>
        </row>
        <row r="20">
          <cell r="H20">
            <v>2876347.0199999996</v>
          </cell>
        </row>
        <row r="23">
          <cell r="H23">
            <v>1225568.6200000001</v>
          </cell>
        </row>
        <row r="149">
          <cell r="H149">
            <v>2310114.2900000005</v>
          </cell>
        </row>
        <row r="150">
          <cell r="H150">
            <v>176313.02999999974</v>
          </cell>
        </row>
        <row r="151">
          <cell r="H151">
            <v>25785.289999999994</v>
          </cell>
        </row>
        <row r="152">
          <cell r="H152">
            <v>14701.310000000001</v>
          </cell>
        </row>
        <row r="153">
          <cell r="H153">
            <v>29322.13</v>
          </cell>
        </row>
        <row r="154">
          <cell r="H154">
            <v>36246.950000000004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75057.58</v>
          </cell>
        </row>
        <row r="158">
          <cell r="H158">
            <v>21285.11</v>
          </cell>
        </row>
        <row r="159">
          <cell r="H159">
            <v>0</v>
          </cell>
        </row>
        <row r="160">
          <cell r="H160">
            <v>486.5</v>
          </cell>
        </row>
        <row r="161">
          <cell r="H161">
            <v>140.5</v>
          </cell>
        </row>
        <row r="164">
          <cell r="H164">
            <v>4629.8600000000006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Determinación de la muestra"/>
      <sheetName val="CMA Calculations- Figure 5440.1"/>
      <sheetName val="CMA Selections"/>
      <sheetName val="XREF"/>
      <sheetName val="Tickmarks"/>
      <sheetName val="CMA_SampleDesign"/>
      <sheetName val="DialogInsert"/>
      <sheetName val="Selección del Metodo"/>
      <sheetName val="#REF"/>
    </sheetNames>
    <sheetDataSet>
      <sheetData sheetId="0" refreshError="1"/>
      <sheetData sheetId="1" refreshError="1"/>
      <sheetData sheetId="2">
        <row r="201">
          <cell r="D201">
            <v>58745</v>
          </cell>
          <cell r="I201">
            <v>-9994.3799999999974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 09 01"/>
      <sheetName val="LISTADO 09 01"/>
      <sheetName val="DEPRECIADOS TOTALMENTE"/>
      <sheetName val="Import Transito"/>
      <sheetName val="DIARI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AMORTIZAC."/>
      <sheetName val="INDICES"/>
    </sheetNames>
    <sheetDataSet>
      <sheetData sheetId="0" refreshError="1"/>
      <sheetData sheetId="1">
        <row r="1">
          <cell r="A1" t="str">
            <v>FECHA</v>
          </cell>
          <cell r="C1" t="str">
            <v>INDICE</v>
          </cell>
          <cell r="D1">
            <v>35431</v>
          </cell>
          <cell r="E1">
            <v>35462</v>
          </cell>
          <cell r="F1">
            <v>35490</v>
          </cell>
          <cell r="G1">
            <v>35521</v>
          </cell>
          <cell r="H1">
            <v>35551</v>
          </cell>
          <cell r="I1">
            <v>35582</v>
          </cell>
          <cell r="J1">
            <v>35612</v>
          </cell>
          <cell r="K1">
            <v>35643</v>
          </cell>
          <cell r="L1">
            <v>35674</v>
          </cell>
          <cell r="M1">
            <v>35704</v>
          </cell>
          <cell r="N1">
            <v>35735</v>
          </cell>
          <cell r="O1">
            <v>35765</v>
          </cell>
          <cell r="P1">
            <v>35796</v>
          </cell>
          <cell r="Q1">
            <v>35827</v>
          </cell>
          <cell r="R1">
            <v>35855</v>
          </cell>
          <cell r="S1">
            <v>35886</v>
          </cell>
          <cell r="T1">
            <v>35916</v>
          </cell>
          <cell r="U1">
            <v>35947</v>
          </cell>
          <cell r="V1">
            <v>35977</v>
          </cell>
          <cell r="W1">
            <v>36008</v>
          </cell>
          <cell r="X1">
            <v>36039</v>
          </cell>
          <cell r="Y1">
            <v>36069</v>
          </cell>
          <cell r="Z1">
            <v>36100</v>
          </cell>
          <cell r="AA1">
            <v>36130</v>
          </cell>
          <cell r="AB1">
            <v>36161</v>
          </cell>
          <cell r="AC1">
            <v>36192</v>
          </cell>
          <cell r="AD1">
            <v>36220</v>
          </cell>
          <cell r="AE1">
            <v>36251</v>
          </cell>
          <cell r="AF1">
            <v>36281</v>
          </cell>
          <cell r="AG1">
            <v>36312</v>
          </cell>
          <cell r="AH1">
            <v>36342</v>
          </cell>
          <cell r="AI1">
            <v>36373</v>
          </cell>
          <cell r="AJ1">
            <v>36404</v>
          </cell>
          <cell r="AK1">
            <v>36434</v>
          </cell>
          <cell r="AL1">
            <v>36465</v>
          </cell>
          <cell r="AM1">
            <v>36495</v>
          </cell>
          <cell r="AN1">
            <v>36526</v>
          </cell>
          <cell r="AO1">
            <v>36557</v>
          </cell>
          <cell r="AP1">
            <v>36586</v>
          </cell>
          <cell r="AQ1">
            <v>36617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</row>
        <row r="3">
          <cell r="A3">
            <v>35431</v>
          </cell>
          <cell r="B3">
            <v>3</v>
          </cell>
          <cell r="C3">
            <v>0.04</v>
          </cell>
          <cell r="D3">
            <v>0.04</v>
          </cell>
        </row>
        <row r="4">
          <cell r="A4">
            <v>35462</v>
          </cell>
          <cell r="B4">
            <v>4</v>
          </cell>
          <cell r="C4">
            <v>0.06</v>
          </cell>
          <cell r="D4">
            <v>0.10240000000000005</v>
          </cell>
          <cell r="E4">
            <v>0.06</v>
          </cell>
        </row>
        <row r="5">
          <cell r="A5">
            <v>35490</v>
          </cell>
          <cell r="B5">
            <v>5</v>
          </cell>
          <cell r="C5">
            <v>3.4700000000000002E-2</v>
          </cell>
          <cell r="D5">
            <v>0.14065327999999999</v>
          </cell>
          <cell r="E5">
            <v>9.6781999999999924E-2</v>
          </cell>
          <cell r="F5">
            <v>3.4700000000000002E-2</v>
          </cell>
        </row>
        <row r="6">
          <cell r="A6">
            <v>35521</v>
          </cell>
          <cell r="B6">
            <v>6</v>
          </cell>
          <cell r="C6">
            <v>1.46E-2</v>
          </cell>
          <cell r="D6">
            <v>0.15730681788799994</v>
          </cell>
          <cell r="E6">
            <v>0.11279501719999985</v>
          </cell>
          <cell r="F6">
            <v>4.9806619999999802E-2</v>
          </cell>
          <cell r="G6">
            <v>1.46E-2</v>
          </cell>
        </row>
        <row r="7">
          <cell r="A7">
            <v>35551</v>
          </cell>
          <cell r="B7">
            <v>7</v>
          </cell>
          <cell r="C7">
            <v>2.0400000000000001E-2</v>
          </cell>
          <cell r="D7">
            <v>0.18091587697291511</v>
          </cell>
          <cell r="E7">
            <v>0.13549603555087986</v>
          </cell>
          <cell r="F7">
            <v>7.1222675047999839E-2</v>
          </cell>
          <cell r="G7">
            <v>3.5297839999999914E-2</v>
          </cell>
          <cell r="H7">
            <v>2.0400000000000001E-2</v>
          </cell>
        </row>
        <row r="8">
          <cell r="A8">
            <v>35582</v>
          </cell>
          <cell r="B8">
            <v>8</v>
          </cell>
          <cell r="C8">
            <v>1.5299999999999999E-2</v>
          </cell>
          <cell r="D8">
            <v>0.1989838898906009</v>
          </cell>
          <cell r="E8">
            <v>0.15286912489480842</v>
          </cell>
          <cell r="F8">
            <v>8.7612381976234444E-2</v>
          </cell>
          <cell r="G8">
            <v>5.1137896951999995E-2</v>
          </cell>
          <cell r="H8">
            <v>3.6012120000000092E-2</v>
          </cell>
          <cell r="I8">
            <v>1.5299999999999999E-2</v>
          </cell>
        </row>
        <row r="9">
          <cell r="A9">
            <v>35612</v>
          </cell>
          <cell r="B9">
            <v>9</v>
          </cell>
          <cell r="C9">
            <v>1.3899999999999999E-2</v>
          </cell>
          <cell r="D9">
            <v>0.21564976596008023</v>
          </cell>
          <cell r="E9">
            <v>0.16889400573084634</v>
          </cell>
          <cell r="F9">
            <v>0.10273019408570416</v>
          </cell>
          <cell r="G9">
            <v>6.5748713719632867E-2</v>
          </cell>
          <cell r="H9">
            <v>5.0412688468000066E-2</v>
          </cell>
          <cell r="I9">
            <v>2.9412670000000141E-2</v>
          </cell>
          <cell r="J9">
            <v>1.3899999999999999E-2</v>
          </cell>
        </row>
        <row r="10">
          <cell r="A10">
            <v>35643</v>
          </cell>
          <cell r="B10">
            <v>10</v>
          </cell>
          <cell r="C10">
            <v>2.06E-2</v>
          </cell>
          <cell r="D10">
            <v>0.24069215113885778</v>
          </cell>
          <cell r="E10">
            <v>0.19297322224890179</v>
          </cell>
          <cell r="F10">
            <v>0.12544643608386963</v>
          </cell>
          <cell r="G10">
            <v>8.7703137222257199E-2</v>
          </cell>
          <cell r="H10">
            <v>7.2051189850440789E-2</v>
          </cell>
          <cell r="I10">
            <v>5.0618571002000179E-2</v>
          </cell>
          <cell r="J10">
            <v>3.4786339999999916E-2</v>
          </cell>
          <cell r="K10">
            <v>2.06E-2</v>
          </cell>
        </row>
        <row r="11">
          <cell r="A11">
            <v>35674</v>
          </cell>
          <cell r="B11">
            <v>11</v>
          </cell>
          <cell r="C11">
            <v>1.2999999999999999E-2</v>
          </cell>
          <cell r="D11">
            <v>0.25682114910366272</v>
          </cell>
          <cell r="E11">
            <v>0.20848187413813735</v>
          </cell>
          <cell r="F11">
            <v>0.14007723975295971</v>
          </cell>
          <cell r="G11">
            <v>0.10184327800614645</v>
          </cell>
          <cell r="H11">
            <v>8.5987855318496509E-2</v>
          </cell>
          <cell r="I11">
            <v>6.4276612425026025E-2</v>
          </cell>
          <cell r="J11">
            <v>4.8238562419999909E-2</v>
          </cell>
          <cell r="K11">
            <v>3.3867799999999892E-2</v>
          </cell>
          <cell r="L11">
            <v>1.2999999999999999E-2</v>
          </cell>
        </row>
        <row r="12">
          <cell r="A12">
            <v>35704</v>
          </cell>
          <cell r="B12">
            <v>12</v>
          </cell>
          <cell r="C12">
            <v>2.3E-2</v>
          </cell>
          <cell r="D12">
            <v>0.28572803553304693</v>
          </cell>
          <cell r="E12">
            <v>0.23627695724331432</v>
          </cell>
          <cell r="F12">
            <v>0.16629901626727772</v>
          </cell>
          <cell r="G12">
            <v>0.12718567340028764</v>
          </cell>
          <cell r="H12">
            <v>0.11096557599082191</v>
          </cell>
          <cell r="I12">
            <v>8.875497451080161E-2</v>
          </cell>
          <cell r="J12">
            <v>7.234804935565986E-2</v>
          </cell>
          <cell r="K12">
            <v>5.7646759399999858E-2</v>
          </cell>
          <cell r="L12">
            <v>3.6298999999999859E-2</v>
          </cell>
          <cell r="M12">
            <v>2.3E-2</v>
          </cell>
        </row>
        <row r="13">
          <cell r="A13">
            <v>35735</v>
          </cell>
          <cell r="B13">
            <v>13</v>
          </cell>
          <cell r="C13">
            <v>1.7999999999999999E-2</v>
          </cell>
          <cell r="D13">
            <v>0.30887114017264183</v>
          </cell>
          <cell r="E13">
            <v>0.25852994247369399</v>
          </cell>
          <cell r="F13">
            <v>0.18729239856008872</v>
          </cell>
          <cell r="G13">
            <v>0.14747501552149278</v>
          </cell>
          <cell r="H13">
            <v>0.13096295635865673</v>
          </cell>
          <cell r="I13">
            <v>0.108352564051996</v>
          </cell>
          <cell r="J13">
            <v>9.165031424406167E-2</v>
          </cell>
          <cell r="K13">
            <v>7.6684401069199826E-2</v>
          </cell>
          <cell r="L13">
            <v>5.4952381999999966E-2</v>
          </cell>
          <cell r="M13">
            <v>4.141399999999984E-2</v>
          </cell>
          <cell r="N13">
            <v>1.7999999999999999E-2</v>
          </cell>
        </row>
        <row r="14">
          <cell r="A14">
            <v>35765</v>
          </cell>
          <cell r="B14">
            <v>14</v>
          </cell>
          <cell r="C14">
            <v>1.4E-2</v>
          </cell>
          <cell r="D14">
            <v>0.3271953361350588</v>
          </cell>
          <cell r="E14">
            <v>0.27614936166832571</v>
          </cell>
          <cell r="F14">
            <v>0.20391449213993007</v>
          </cell>
          <cell r="G14">
            <v>0.16353966573879375</v>
          </cell>
          <cell r="H14">
            <v>0.14679643774767803</v>
          </cell>
          <cell r="I14">
            <v>0.12386949994872398</v>
          </cell>
          <cell r="J14">
            <v>0.1069334186434785</v>
          </cell>
          <cell r="K14">
            <v>9.1757982684168571E-2</v>
          </cell>
          <cell r="L14">
            <v>6.9721715347999869E-2</v>
          </cell>
          <cell r="M14">
            <v>5.5993795999999874E-2</v>
          </cell>
          <cell r="N14">
            <v>3.2251999999999947E-2</v>
          </cell>
          <cell r="O14">
            <v>1.4E-2</v>
          </cell>
        </row>
        <row r="15">
          <cell r="A15">
            <v>35796</v>
          </cell>
          <cell r="B15">
            <v>15</v>
          </cell>
          <cell r="C15">
            <v>1.9E-2</v>
          </cell>
          <cell r="D15">
            <v>0.3524120475216248</v>
          </cell>
          <cell r="E15">
            <v>0.30039619954002372</v>
          </cell>
          <cell r="F15">
            <v>0.22678886749058869</v>
          </cell>
          <cell r="G15">
            <v>0.18564691938783073</v>
          </cell>
          <cell r="H15">
            <v>0.16858557006488373</v>
          </cell>
          <cell r="I15">
            <v>0.1452230204477496</v>
          </cell>
          <cell r="J15">
            <v>0.12796515359770444</v>
          </cell>
          <cell r="K15">
            <v>0.11250138435516766</v>
          </cell>
          <cell r="L15">
            <v>9.0046427939611817E-2</v>
          </cell>
          <cell r="M15">
            <v>7.6057678123999661E-2</v>
          </cell>
          <cell r="N15">
            <v>5.1864787999999828E-2</v>
          </cell>
          <cell r="O15">
            <v>3.3266000000000018E-2</v>
          </cell>
          <cell r="P15">
            <v>1.9E-2</v>
          </cell>
        </row>
        <row r="16">
          <cell r="A16">
            <v>35827</v>
          </cell>
          <cell r="B16">
            <v>16</v>
          </cell>
          <cell r="C16">
            <v>0.04</v>
          </cell>
          <cell r="D16">
            <v>0.40650852942248994</v>
          </cell>
          <cell r="E16">
            <v>0.3524120475216248</v>
          </cell>
          <cell r="F16">
            <v>0.27586042219021234</v>
          </cell>
          <cell r="G16">
            <v>0.23307279616334409</v>
          </cell>
          <cell r="H16">
            <v>0.21532899286747909</v>
          </cell>
          <cell r="I16">
            <v>0.19103194126565959</v>
          </cell>
          <cell r="J16">
            <v>0.17308375974161261</v>
          </cell>
          <cell r="K16">
            <v>0.15700143972937441</v>
          </cell>
          <cell r="L16">
            <v>0.13364828505719628</v>
          </cell>
          <cell r="M16">
            <v>0.11909998524895959</v>
          </cell>
          <cell r="N16">
            <v>9.3939379519999866E-2</v>
          </cell>
          <cell r="O16">
            <v>7.4596639999999992E-2</v>
          </cell>
          <cell r="P16">
            <v>5.9760000000000035E-2</v>
          </cell>
          <cell r="Q16">
            <v>0.04</v>
          </cell>
        </row>
        <row r="17">
          <cell r="A17">
            <v>35855</v>
          </cell>
          <cell r="B17">
            <v>17</v>
          </cell>
          <cell r="C17">
            <v>4.4999999999999998E-2</v>
          </cell>
          <cell r="D17">
            <v>0.46980141324650182</v>
          </cell>
          <cell r="E17">
            <v>0.41327058966009789</v>
          </cell>
          <cell r="F17">
            <v>0.33327414118877186</v>
          </cell>
          <cell r="G17">
            <v>0.28856107199069458</v>
          </cell>
          <cell r="H17">
            <v>0.27001879754651559</v>
          </cell>
          <cell r="I17">
            <v>0.24462837862261422</v>
          </cell>
          <cell r="J17">
            <v>0.22587252892998499</v>
          </cell>
          <cell r="K17">
            <v>0.20906650451719622</v>
          </cell>
          <cell r="L17">
            <v>0.18466245788476998</v>
          </cell>
          <cell r="M17">
            <v>0.16945948458516269</v>
          </cell>
          <cell r="N17">
            <v>0.14316665159839981</v>
          </cell>
          <cell r="O17">
            <v>0.1229534887999999</v>
          </cell>
          <cell r="P17">
            <v>0.10744920000000002</v>
          </cell>
          <cell r="Q17">
            <v>8.6799999999999988E-2</v>
          </cell>
          <cell r="R17">
            <v>4.4999999999999998E-2</v>
          </cell>
        </row>
        <row r="18">
          <cell r="A18">
            <v>35886</v>
          </cell>
          <cell r="B18">
            <v>18</v>
          </cell>
          <cell r="C18">
            <v>2.7E-2</v>
          </cell>
          <cell r="D18">
            <v>0.50948605140415726</v>
          </cell>
          <cell r="E18">
            <v>0.45142889558092048</v>
          </cell>
          <cell r="F18">
            <v>0.36927254300086854</v>
          </cell>
          <cell r="G18">
            <v>0.32335222093444327</v>
          </cell>
          <cell r="H18">
            <v>0.30430930508027143</v>
          </cell>
          <cell r="I18">
            <v>0.27823334484542461</v>
          </cell>
          <cell r="J18">
            <v>0.25897108721109441</v>
          </cell>
          <cell r="K18">
            <v>0.24171130013916042</v>
          </cell>
          <cell r="L18">
            <v>0.21664834424765878</v>
          </cell>
          <cell r="M18">
            <v>0.20103489066896207</v>
          </cell>
          <cell r="N18">
            <v>0.17403215119155657</v>
          </cell>
          <cell r="O18">
            <v>0.15327323299759987</v>
          </cell>
          <cell r="P18">
            <v>0.13735032839999994</v>
          </cell>
          <cell r="Q18">
            <v>0.11614359999999979</v>
          </cell>
          <cell r="R18">
            <v>7.3214999999999808E-2</v>
          </cell>
          <cell r="S18">
            <v>2.7E-2</v>
          </cell>
        </row>
        <row r="19">
          <cell r="A19">
            <v>35916</v>
          </cell>
          <cell r="B19">
            <v>19</v>
          </cell>
          <cell r="C19">
            <v>4.3999999999999997E-2</v>
          </cell>
          <cell r="D19">
            <v>0.57590343766594021</v>
          </cell>
          <cell r="E19">
            <v>0.51529176698648094</v>
          </cell>
          <cell r="F19">
            <v>0.42952053489290676</v>
          </cell>
          <cell r="G19">
            <v>0.38157971865555873</v>
          </cell>
          <cell r="H19">
            <v>0.36169891450380343</v>
          </cell>
          <cell r="I19">
            <v>0.33447561201862341</v>
          </cell>
          <cell r="J19">
            <v>0.31436581504838257</v>
          </cell>
          <cell r="K19">
            <v>0.29634659734528346</v>
          </cell>
          <cell r="L19">
            <v>0.27018087139455571</v>
          </cell>
          <cell r="M19">
            <v>0.25388042585839643</v>
          </cell>
          <cell r="N19">
            <v>0.22568956584398503</v>
          </cell>
          <cell r="O19">
            <v>0.20401725524949432</v>
          </cell>
          <cell r="P19">
            <v>0.18739374284959998</v>
          </cell>
          <cell r="Q19">
            <v>0.16525391839999992</v>
          </cell>
          <cell r="R19">
            <v>0.12043645999999986</v>
          </cell>
          <cell r="S19">
            <v>7.2187999999999919E-2</v>
          </cell>
          <cell r="T19">
            <v>4.3999999999999997E-2</v>
          </cell>
        </row>
        <row r="20">
          <cell r="A20">
            <v>35947</v>
          </cell>
          <cell r="B20">
            <v>20</v>
          </cell>
          <cell r="C20">
            <v>1.7999999999999999E-2</v>
          </cell>
          <cell r="D20">
            <v>0.60426969954392717</v>
          </cell>
          <cell r="E20">
            <v>0.54256701879223757</v>
          </cell>
          <cell r="F20">
            <v>0.45525190452097908</v>
          </cell>
          <cell r="G20">
            <v>0.40644815359135888</v>
          </cell>
          <cell r="H20">
            <v>0.386209494964872</v>
          </cell>
          <cell r="I20">
            <v>0.35849617303495873</v>
          </cell>
          <cell r="J20">
            <v>0.33802439971925358</v>
          </cell>
          <cell r="K20">
            <v>0.31968083609749853</v>
          </cell>
          <cell r="L20">
            <v>0.29304412707965777</v>
          </cell>
          <cell r="M20">
            <v>0.27645027352384766</v>
          </cell>
          <cell r="N20">
            <v>0.24775197802917681</v>
          </cell>
          <cell r="O20">
            <v>0.22568956584398525</v>
          </cell>
          <cell r="P20">
            <v>0.20876683022089271</v>
          </cell>
          <cell r="Q20">
            <v>0.18622848893120003</v>
          </cell>
          <cell r="R20">
            <v>0.14060431627999992</v>
          </cell>
          <cell r="S20">
            <v>9.1487383999999894E-2</v>
          </cell>
          <cell r="T20">
            <v>6.2791999999999959E-2</v>
          </cell>
          <cell r="U20">
            <v>1.8000000000000016E-2</v>
          </cell>
        </row>
        <row r="21">
          <cell r="A21">
            <v>35977</v>
          </cell>
          <cell r="B21">
            <v>21</v>
          </cell>
          <cell r="C21">
            <v>2.9000000000000001E-2</v>
          </cell>
          <cell r="D21">
            <v>0.65079352083070097</v>
          </cell>
          <cell r="E21">
            <v>0.58730146233721237</v>
          </cell>
          <cell r="F21">
            <v>0.49745420975208732</v>
          </cell>
          <cell r="G21">
            <v>0.44723515004550807</v>
          </cell>
          <cell r="H21">
            <v>0.42640957031885307</v>
          </cell>
          <cell r="I21">
            <v>0.39789256205297252</v>
          </cell>
          <cell r="J21">
            <v>0.3768271073111118</v>
          </cell>
          <cell r="K21">
            <v>0.35795158034432584</v>
          </cell>
          <cell r="L21">
            <v>0.33054240676496782</v>
          </cell>
          <cell r="M21">
            <v>0.31346733145603922</v>
          </cell>
          <cell r="N21">
            <v>0.28393678539202294</v>
          </cell>
          <cell r="O21">
            <v>0.26123456325346073</v>
          </cell>
          <cell r="P21">
            <v>0.24382106829729855</v>
          </cell>
          <cell r="Q21">
            <v>0.22062911511020467</v>
          </cell>
          <cell r="R21">
            <v>0.17368184145211973</v>
          </cell>
          <cell r="S21">
            <v>0.12314051813599969</v>
          </cell>
          <cell r="T21">
            <v>9.3612967999999963E-2</v>
          </cell>
          <cell r="U21">
            <v>4.7521999999999842E-2</v>
          </cell>
          <cell r="V21">
            <v>2.8999999999999915E-2</v>
          </cell>
        </row>
        <row r="22">
          <cell r="A22">
            <v>36008</v>
          </cell>
          <cell r="B22">
            <v>22</v>
          </cell>
          <cell r="C22">
            <v>8.0000000000000002E-3</v>
          </cell>
          <cell r="D22">
            <v>0.66399986899734653</v>
          </cell>
          <cell r="E22">
            <v>0.59999987403591004</v>
          </cell>
          <cell r="F22">
            <v>0.50943384343010401</v>
          </cell>
          <cell r="G22">
            <v>0.45881303124587225</v>
          </cell>
          <cell r="H22">
            <v>0.43782084688140399</v>
          </cell>
          <cell r="I22">
            <v>0.40907570254939629</v>
          </cell>
          <cell r="J22">
            <v>0.38784172416960061</v>
          </cell>
          <cell r="K22">
            <v>0.36881519298708043</v>
          </cell>
          <cell r="L22">
            <v>0.34118674601908761</v>
          </cell>
          <cell r="M22">
            <v>0.32397507010768756</v>
          </cell>
          <cell r="N22">
            <v>0.29420827967515906</v>
          </cell>
          <cell r="O22">
            <v>0.2713244397594885</v>
          </cell>
          <cell r="P22">
            <v>0.25377163684367687</v>
          </cell>
          <cell r="Q22">
            <v>0.23039414803108627</v>
          </cell>
          <cell r="R22">
            <v>0.18307129618373663</v>
          </cell>
          <cell r="S22">
            <v>0.1321256422810877</v>
          </cell>
          <cell r="T22">
            <v>0.10236187174400002</v>
          </cell>
          <cell r="U22">
            <v>5.5902175999999804E-2</v>
          </cell>
          <cell r="V22">
            <v>3.7231999999999932E-2</v>
          </cell>
          <cell r="W22">
            <v>8.0000000000000071E-3</v>
          </cell>
        </row>
        <row r="23">
          <cell r="A23">
            <v>36039</v>
          </cell>
          <cell r="B23">
            <v>23</v>
          </cell>
          <cell r="C23">
            <v>1.2999999999999999E-2</v>
          </cell>
          <cell r="D23">
            <v>0.6856318672943118</v>
          </cell>
          <cell r="E23">
            <v>0.62079987239837675</v>
          </cell>
          <cell r="F23">
            <v>0.52905648339469513</v>
          </cell>
          <cell r="G23">
            <v>0.47777760065206842</v>
          </cell>
          <cell r="H23">
            <v>0.456512517890862</v>
          </cell>
          <cell r="I23">
            <v>0.4273936866825383</v>
          </cell>
          <cell r="J23">
            <v>0.40588366658380526</v>
          </cell>
          <cell r="K23">
            <v>0.38660979049591226</v>
          </cell>
          <cell r="L23">
            <v>0.35862217371733562</v>
          </cell>
          <cell r="M23">
            <v>0.34118674601908738</v>
          </cell>
          <cell r="N23">
            <v>0.31103298731093609</v>
          </cell>
          <cell r="O23">
            <v>0.28785165747636166</v>
          </cell>
          <cell r="P23">
            <v>0.27007066812264457</v>
          </cell>
          <cell r="Q23">
            <v>0.24638927195549032</v>
          </cell>
          <cell r="R23">
            <v>0.1984512230341251</v>
          </cell>
          <cell r="S23">
            <v>0.14684327563074162</v>
          </cell>
          <cell r="T23">
            <v>0.11669257607667194</v>
          </cell>
          <cell r="U23">
            <v>6.9628904287999616E-2</v>
          </cell>
          <cell r="V23">
            <v>5.0716015999999753E-2</v>
          </cell>
          <cell r="W23">
            <v>2.1104000000000012E-2</v>
          </cell>
          <cell r="X23">
            <v>1.2999999999999901E-2</v>
          </cell>
        </row>
        <row r="24">
          <cell r="A24">
            <v>36069</v>
          </cell>
          <cell r="B24">
            <v>24</v>
          </cell>
          <cell r="C24">
            <v>5.0999999999999997E-2</v>
          </cell>
          <cell r="D24">
            <v>0.77159909252632164</v>
          </cell>
          <cell r="E24">
            <v>0.70346066589069389</v>
          </cell>
          <cell r="F24">
            <v>0.60703836404782452</v>
          </cell>
          <cell r="G24">
            <v>0.55314425828532388</v>
          </cell>
          <cell r="H24">
            <v>0.53079465630329592</v>
          </cell>
          <cell r="I24">
            <v>0.50019076470334767</v>
          </cell>
          <cell r="J24">
            <v>0.47758373357957917</v>
          </cell>
          <cell r="K24">
            <v>0.45732688981120373</v>
          </cell>
          <cell r="L24">
            <v>0.42791190457691974</v>
          </cell>
          <cell r="M24">
            <v>0.40958727006606077</v>
          </cell>
          <cell r="N24">
            <v>0.37789566966379384</v>
          </cell>
          <cell r="O24">
            <v>0.35353209200765612</v>
          </cell>
          <cell r="P24">
            <v>0.33484427219689938</v>
          </cell>
          <cell r="Q24">
            <v>0.30995512482522014</v>
          </cell>
          <cell r="R24">
            <v>0.25957223540886543</v>
          </cell>
          <cell r="S24">
            <v>0.20533228268790937</v>
          </cell>
          <cell r="T24">
            <v>0.17364389745658215</v>
          </cell>
          <cell r="U24">
            <v>0.12417997840668749</v>
          </cell>
          <cell r="V24">
            <v>0.10430253281599966</v>
          </cell>
          <cell r="W24">
            <v>7.3180303999999863E-2</v>
          </cell>
          <cell r="X24">
            <v>6.4662999999999915E-2</v>
          </cell>
          <cell r="Y24">
            <v>5.0999999999999934E-2</v>
          </cell>
        </row>
        <row r="25">
          <cell r="A25">
            <v>36100</v>
          </cell>
          <cell r="B25">
            <v>25</v>
          </cell>
          <cell r="C25">
            <v>6.5000000000000002E-2</v>
          </cell>
          <cell r="D25">
            <v>0.88675303354053248</v>
          </cell>
          <cell r="E25">
            <v>0.81418560917358884</v>
          </cell>
          <cell r="F25">
            <v>0.71149585771093293</v>
          </cell>
          <cell r="G25">
            <v>0.65409863507386978</v>
          </cell>
          <cell r="H25">
            <v>0.63029630896301003</v>
          </cell>
          <cell r="I25">
            <v>0.59770316440906512</v>
          </cell>
          <cell r="J25">
            <v>0.57362667626225172</v>
          </cell>
          <cell r="K25">
            <v>0.55205313764893194</v>
          </cell>
          <cell r="L25">
            <v>0.52072617837441948</v>
          </cell>
          <cell r="M25">
            <v>0.50121044262035475</v>
          </cell>
          <cell r="N25">
            <v>0.46745888819194037</v>
          </cell>
          <cell r="O25">
            <v>0.44151167798815361</v>
          </cell>
          <cell r="P25">
            <v>0.42160914988969767</v>
          </cell>
          <cell r="Q25">
            <v>0.39510220793885931</v>
          </cell>
          <cell r="R25">
            <v>0.34144443071044162</v>
          </cell>
          <cell r="S25">
            <v>0.2836788810626234</v>
          </cell>
          <cell r="T25">
            <v>0.24993075079126004</v>
          </cell>
          <cell r="U25">
            <v>0.19725167700312207</v>
          </cell>
          <cell r="V25">
            <v>0.17608219744903963</v>
          </cell>
          <cell r="W25">
            <v>0.14293702375999984</v>
          </cell>
          <cell r="X25">
            <v>0.13386609499999991</v>
          </cell>
          <cell r="Y25">
            <v>0.11931499999999984</v>
          </cell>
          <cell r="Z25">
            <v>6.4999999999999947E-2</v>
          </cell>
        </row>
        <row r="26">
          <cell r="A26">
            <v>36130</v>
          </cell>
          <cell r="B26">
            <v>26</v>
          </cell>
          <cell r="C26">
            <v>2.1000000000000001E-2</v>
          </cell>
          <cell r="D26">
            <v>0.92637484724488339</v>
          </cell>
          <cell r="E26">
            <v>0.85228350696623401</v>
          </cell>
          <cell r="F26">
            <v>0.74743727072286226</v>
          </cell>
          <cell r="G26">
            <v>0.68883470641042099</v>
          </cell>
          <cell r="H26">
            <v>0.66453253145123314</v>
          </cell>
          <cell r="I26">
            <v>0.63125493086165529</v>
          </cell>
          <cell r="J26">
            <v>0.6066728364637588</v>
          </cell>
          <cell r="K26">
            <v>0.58464625353955935</v>
          </cell>
          <cell r="L26">
            <v>0.55266142812028218</v>
          </cell>
          <cell r="M26">
            <v>0.53273586191538214</v>
          </cell>
          <cell r="N26">
            <v>0.49827552484397097</v>
          </cell>
          <cell r="O26">
            <v>0.47178342322590461</v>
          </cell>
          <cell r="P26">
            <v>0.45146294203738124</v>
          </cell>
          <cell r="Q26">
            <v>0.42439935430557529</v>
          </cell>
          <cell r="R26">
            <v>0.36961476375536084</v>
          </cell>
          <cell r="S26">
            <v>0.31063613756493846</v>
          </cell>
          <cell r="T26">
            <v>0.27617929655787643</v>
          </cell>
          <cell r="U26">
            <v>0.22239396222018759</v>
          </cell>
          <cell r="V26">
            <v>0.20077992359546926</v>
          </cell>
          <cell r="W26">
            <v>0.16693870125895982</v>
          </cell>
          <cell r="X26">
            <v>0.15767728299499972</v>
          </cell>
          <cell r="Y26">
            <v>0.14282061499999976</v>
          </cell>
          <cell r="Z26">
            <v>8.7364999999999915E-2</v>
          </cell>
          <cell r="AA26">
            <v>2.0999999999999908E-2</v>
          </cell>
        </row>
        <row r="27">
          <cell r="A27">
            <v>36161</v>
          </cell>
          <cell r="B27">
            <v>27</v>
          </cell>
          <cell r="C27">
            <v>8.0000000000000002E-3</v>
          </cell>
          <cell r="D27">
            <v>0.94178584602284254</v>
          </cell>
          <cell r="E27">
            <v>0.86710177502196384</v>
          </cell>
          <cell r="F27">
            <v>0.76141676888864507</v>
          </cell>
          <cell r="G27">
            <v>0.70234538406170444</v>
          </cell>
          <cell r="H27">
            <v>0.67784879170284307</v>
          </cell>
          <cell r="I27">
            <v>0.64430497030854861</v>
          </cell>
          <cell r="J27">
            <v>0.6195262191554689</v>
          </cell>
          <cell r="K27">
            <v>0.59732342356787593</v>
          </cell>
          <cell r="L27">
            <v>0.56508271954524436</v>
          </cell>
          <cell r="M27">
            <v>0.54499774881070517</v>
          </cell>
          <cell r="N27">
            <v>0.51026172904272271</v>
          </cell>
          <cell r="O27">
            <v>0.48355769061171183</v>
          </cell>
          <cell r="P27">
            <v>0.46307464557368028</v>
          </cell>
          <cell r="Q27">
            <v>0.43579454914001992</v>
          </cell>
          <cell r="R27">
            <v>0.38057168186540369</v>
          </cell>
          <cell r="S27">
            <v>0.32112122666545795</v>
          </cell>
          <cell r="T27">
            <v>0.28638873093033945</v>
          </cell>
          <cell r="U27">
            <v>0.23217311391794904</v>
          </cell>
          <cell r="V27">
            <v>0.21038616298423296</v>
          </cell>
          <cell r="W27">
            <v>0.17627421086903161</v>
          </cell>
          <cell r="X27">
            <v>0.16693870125895982</v>
          </cell>
          <cell r="Y27">
            <v>0.15196317991999986</v>
          </cell>
          <cell r="Z27">
            <v>9.6063919999999969E-2</v>
          </cell>
          <cell r="AA27">
            <v>2.9167999999999861E-2</v>
          </cell>
          <cell r="AB27">
            <v>8.0000000000000071E-3</v>
          </cell>
        </row>
        <row r="28">
          <cell r="A28">
            <v>36192</v>
          </cell>
          <cell r="B28">
            <v>28</v>
          </cell>
          <cell r="C28">
            <v>3.2000000000000001E-2</v>
          </cell>
          <cell r="D28">
            <v>1.0039229930955735</v>
          </cell>
          <cell r="E28">
            <v>0.92684903182266676</v>
          </cell>
          <cell r="F28">
            <v>0.81778210549308183</v>
          </cell>
          <cell r="G28">
            <v>0.75682043635167906</v>
          </cell>
          <cell r="H28">
            <v>0.7315399530373341</v>
          </cell>
          <cell r="I28">
            <v>0.69692272935842214</v>
          </cell>
          <cell r="J28">
            <v>0.67135105816844387</v>
          </cell>
          <cell r="K28">
            <v>0.64843777312204809</v>
          </cell>
          <cell r="L28">
            <v>0.61516536657069221</v>
          </cell>
          <cell r="M28">
            <v>0.59443767677264781</v>
          </cell>
          <cell r="N28">
            <v>0.55859010437208978</v>
          </cell>
          <cell r="O28">
            <v>0.53103153671128656</v>
          </cell>
          <cell r="P28">
            <v>0.50989303423203802</v>
          </cell>
          <cell r="Q28">
            <v>0.48173997471250063</v>
          </cell>
          <cell r="R28">
            <v>0.42474997568509654</v>
          </cell>
          <cell r="S28">
            <v>0.36339710591875263</v>
          </cell>
          <cell r="T28">
            <v>0.32755317032011044</v>
          </cell>
          <cell r="U28">
            <v>0.27160265356332336</v>
          </cell>
          <cell r="V28">
            <v>0.24911852019972835</v>
          </cell>
          <cell r="W28">
            <v>0.21391498561684075</v>
          </cell>
          <cell r="X28">
            <v>0.20428073969924654</v>
          </cell>
          <cell r="Y28">
            <v>0.1888260016774399</v>
          </cell>
          <cell r="Z28">
            <v>0.13113796544</v>
          </cell>
          <cell r="AA28">
            <v>6.2101375999999986E-2</v>
          </cell>
          <cell r="AB28">
            <v>4.025600000000007E-2</v>
          </cell>
          <cell r="AC28">
            <v>3.2000000000000028E-2</v>
          </cell>
        </row>
        <row r="29">
          <cell r="A29">
            <v>36220</v>
          </cell>
          <cell r="B29">
            <v>29</v>
          </cell>
          <cell r="C29">
            <v>2.7E-2</v>
          </cell>
          <cell r="D29">
            <v>1.0580289139091539</v>
          </cell>
          <cell r="E29">
            <v>0.97887395568187863</v>
          </cell>
          <cell r="F29">
            <v>0.86686222234139487</v>
          </cell>
          <cell r="G29">
            <v>0.80425458813317419</v>
          </cell>
          <cell r="H29">
            <v>0.77829153176934196</v>
          </cell>
          <cell r="I29">
            <v>0.7427396430510993</v>
          </cell>
          <cell r="J29">
            <v>0.71647753673899173</v>
          </cell>
          <cell r="K29">
            <v>0.69294559299634328</v>
          </cell>
          <cell r="L29">
            <v>0.65877483146810079</v>
          </cell>
          <cell r="M29">
            <v>0.63748749404550908</v>
          </cell>
          <cell r="N29">
            <v>0.60067203719013618</v>
          </cell>
          <cell r="O29">
            <v>0.57236938820249117</v>
          </cell>
          <cell r="P29">
            <v>0.55066014615630299</v>
          </cell>
          <cell r="Q29">
            <v>0.52174695402973792</v>
          </cell>
          <cell r="R29">
            <v>0.46321822502859411</v>
          </cell>
          <cell r="S29">
            <v>0.40020882777855893</v>
          </cell>
          <cell r="T29">
            <v>0.36339710591875329</v>
          </cell>
          <cell r="U29">
            <v>0.30593592520953306</v>
          </cell>
          <cell r="V29">
            <v>0.28284472024512097</v>
          </cell>
          <cell r="W29">
            <v>0.24669069022849532</v>
          </cell>
          <cell r="X29">
            <v>0.23679631967112602</v>
          </cell>
          <cell r="Y29">
            <v>0.22092430372273064</v>
          </cell>
          <cell r="Z29">
            <v>0.16167869050687989</v>
          </cell>
          <cell r="AA29">
            <v>9.0778113151999795E-2</v>
          </cell>
          <cell r="AB29">
            <v>6.8342912000000089E-2</v>
          </cell>
          <cell r="AC29">
            <v>5.9863999999999917E-2</v>
          </cell>
          <cell r="AD29">
            <v>2.6999999999999913E-2</v>
          </cell>
        </row>
        <row r="30">
          <cell r="A30">
            <v>36251</v>
          </cell>
          <cell r="B30">
            <v>30</v>
          </cell>
          <cell r="C30">
            <v>0.13500000000000001</v>
          </cell>
          <cell r="D30">
            <v>1.3358628172868898</v>
          </cell>
          <cell r="E30">
            <v>1.2460219396989323</v>
          </cell>
          <cell r="F30">
            <v>1.118888622357483</v>
          </cell>
          <cell r="G30">
            <v>1.0478289575311526</v>
          </cell>
          <cell r="H30">
            <v>1.0183608885582029</v>
          </cell>
          <cell r="I30">
            <v>0.97800949486299782</v>
          </cell>
          <cell r="J30">
            <v>0.94820200419875555</v>
          </cell>
          <cell r="K30">
            <v>0.92149324805084953</v>
          </cell>
          <cell r="L30">
            <v>0.8827094337162944</v>
          </cell>
          <cell r="M30">
            <v>0.85854830574165275</v>
          </cell>
          <cell r="N30">
            <v>0.81676276221080468</v>
          </cell>
          <cell r="O30">
            <v>0.78463925560982739</v>
          </cell>
          <cell r="P30">
            <v>0.75999926588740396</v>
          </cell>
          <cell r="Q30">
            <v>0.72718279282375264</v>
          </cell>
          <cell r="R30">
            <v>0.66075268540745435</v>
          </cell>
          <cell r="S30">
            <v>0.58923701952866447</v>
          </cell>
          <cell r="T30">
            <v>0.54745571521778502</v>
          </cell>
          <cell r="U30">
            <v>0.48223727511282011</v>
          </cell>
          <cell r="V30">
            <v>0.45602875747821225</v>
          </cell>
          <cell r="W30">
            <v>0.41499393340934221</v>
          </cell>
          <cell r="X30">
            <v>0.40376382282672796</v>
          </cell>
          <cell r="Y30">
            <v>0.38574908472529934</v>
          </cell>
          <cell r="Z30">
            <v>0.31850531372530866</v>
          </cell>
          <cell r="AA30">
            <v>0.23803315842751971</v>
          </cell>
          <cell r="AB30">
            <v>0.2125692051200001</v>
          </cell>
          <cell r="AC30">
            <v>0.20294563999999982</v>
          </cell>
          <cell r="AD30">
            <v>0.16564499999999982</v>
          </cell>
          <cell r="AE30">
            <v>0.13500000000000001</v>
          </cell>
        </row>
        <row r="31">
          <cell r="A31">
            <v>36281</v>
          </cell>
          <cell r="B31">
            <v>31</v>
          </cell>
          <cell r="C31">
            <v>5.5E-2</v>
          </cell>
          <cell r="D31">
            <v>1.4643352722376686</v>
          </cell>
          <cell r="E31">
            <v>1.3695531463823736</v>
          </cell>
          <cell r="F31">
            <v>1.2354274965871443</v>
          </cell>
          <cell r="G31">
            <v>1.1604595501953656</v>
          </cell>
          <cell r="H31">
            <v>1.1293707374289039</v>
          </cell>
          <cell r="I31">
            <v>1.0868000170804626</v>
          </cell>
          <cell r="J31">
            <v>1.0553531144296868</v>
          </cell>
          <cell r="K31">
            <v>1.0271753766936462</v>
          </cell>
          <cell r="L31">
            <v>0.98625845257069056</v>
          </cell>
          <cell r="M31">
            <v>0.96076846255744353</v>
          </cell>
          <cell r="N31">
            <v>0.91668471413239883</v>
          </cell>
          <cell r="O31">
            <v>0.88279441466836772</v>
          </cell>
          <cell r="P31">
            <v>0.85679922551121113</v>
          </cell>
          <cell r="Q31">
            <v>0.822177846429059</v>
          </cell>
          <cell r="R31">
            <v>0.75209408310486414</v>
          </cell>
          <cell r="S31">
            <v>0.67664505560274102</v>
          </cell>
          <cell r="T31">
            <v>0.63256577955476301</v>
          </cell>
          <cell r="U31">
            <v>0.56376032524402508</v>
          </cell>
          <cell r="V31">
            <v>0.53611033913951389</v>
          </cell>
          <cell r="W31">
            <v>0.49281859974685593</v>
          </cell>
          <cell r="X31">
            <v>0.48097083308219801</v>
          </cell>
          <cell r="Y31">
            <v>0.46196528438519069</v>
          </cell>
          <cell r="Z31">
            <v>0.39102310598020051</v>
          </cell>
          <cell r="AA31">
            <v>0.30612498214103323</v>
          </cell>
          <cell r="AB31">
            <v>0.27926051140160002</v>
          </cell>
          <cell r="AC31">
            <v>0.26910765019999983</v>
          </cell>
          <cell r="AD31">
            <v>0.22975547499999971</v>
          </cell>
          <cell r="AE31">
            <v>0.19742499999999996</v>
          </cell>
          <cell r="AF31">
            <v>5.4999999999999938E-2</v>
          </cell>
        </row>
        <row r="32">
          <cell r="A32">
            <v>36312</v>
          </cell>
          <cell r="B32">
            <v>32</v>
          </cell>
          <cell r="C32">
            <v>8.9999999999999993E-3</v>
          </cell>
          <cell r="D32">
            <v>1.4865142896878072</v>
          </cell>
          <cell r="E32">
            <v>1.3908791246998149</v>
          </cell>
          <cell r="F32">
            <v>1.2555463440564285</v>
          </cell>
          <cell r="G32">
            <v>1.1799036861471235</v>
          </cell>
          <cell r="H32">
            <v>1.1485350740657641</v>
          </cell>
          <cell r="I32">
            <v>1.1055812172341866</v>
          </cell>
          <cell r="J32">
            <v>1.0738512924595538</v>
          </cell>
          <cell r="K32">
            <v>1.0454199550838887</v>
          </cell>
          <cell r="L32">
            <v>1.0041347786438264</v>
          </cell>
          <cell r="M32">
            <v>0.97841537872046036</v>
          </cell>
          <cell r="N32">
            <v>0.93393487655959029</v>
          </cell>
          <cell r="O32">
            <v>0.89973956440038294</v>
          </cell>
          <cell r="P32">
            <v>0.87351041854081179</v>
          </cell>
          <cell r="Q32">
            <v>0.83857744704692028</v>
          </cell>
          <cell r="R32">
            <v>0.76786292985280769</v>
          </cell>
          <cell r="S32">
            <v>0.69173486110316551</v>
          </cell>
          <cell r="T32">
            <v>0.64725887157075568</v>
          </cell>
          <cell r="U32">
            <v>0.57783416817122113</v>
          </cell>
          <cell r="V32">
            <v>0.54993533219176927</v>
          </cell>
          <cell r="W32">
            <v>0.50625396714457738</v>
          </cell>
          <cell r="X32">
            <v>0.49429957057993756</v>
          </cell>
          <cell r="Y32">
            <v>0.47512297194465725</v>
          </cell>
          <cell r="Z32">
            <v>0.40354231393402218</v>
          </cell>
          <cell r="AA32">
            <v>0.31788010698030233</v>
          </cell>
          <cell r="AB32">
            <v>0.29077385600421435</v>
          </cell>
          <cell r="AC32">
            <v>0.28052961905179963</v>
          </cell>
          <cell r="AD32">
            <v>0.24082327427499961</v>
          </cell>
          <cell r="AE32">
            <v>0.20820182499999973</v>
          </cell>
          <cell r="AF32">
            <v>6.4494999999999747E-2</v>
          </cell>
          <cell r="AG32">
            <v>8.999999999999897E-3</v>
          </cell>
        </row>
        <row r="33">
          <cell r="A33">
            <v>36342</v>
          </cell>
          <cell r="B33">
            <v>33</v>
          </cell>
          <cell r="C33">
            <v>1.7999999999999999E-2</v>
          </cell>
          <cell r="D33">
            <v>1.5312715469021878</v>
          </cell>
          <cell r="E33">
            <v>1.4339149489444116</v>
          </cell>
          <cell r="F33">
            <v>1.2961461782494443</v>
          </cell>
          <cell r="G33">
            <v>1.2191419524977718</v>
          </cell>
          <cell r="H33">
            <v>1.1872087053989477</v>
          </cell>
          <cell r="I33">
            <v>1.143481679144402</v>
          </cell>
          <cell r="J33">
            <v>1.1111806157238258</v>
          </cell>
          <cell r="K33">
            <v>1.0822375142753988</v>
          </cell>
          <cell r="L33">
            <v>1.0402092046594151</v>
          </cell>
          <cell r="M33">
            <v>1.0140268555374288</v>
          </cell>
          <cell r="N33">
            <v>0.96874570433766305</v>
          </cell>
          <cell r="O33">
            <v>0.93393487655958984</v>
          </cell>
          <cell r="P33">
            <v>0.90723360607454651</v>
          </cell>
          <cell r="Q33">
            <v>0.87167184109376494</v>
          </cell>
          <cell r="R33">
            <v>0.79968446259015824</v>
          </cell>
          <cell r="S33">
            <v>0.72218608860302247</v>
          </cell>
          <cell r="T33">
            <v>0.67690953125902942</v>
          </cell>
          <cell r="U33">
            <v>0.60623518319830305</v>
          </cell>
          <cell r="V33">
            <v>0.57783416817122113</v>
          </cell>
          <cell r="W33">
            <v>0.53336653855317984</v>
          </cell>
          <cell r="X33">
            <v>0.52119696285037653</v>
          </cell>
          <cell r="Y33">
            <v>0.50167518543966105</v>
          </cell>
          <cell r="Z33">
            <v>0.42880607558483463</v>
          </cell>
          <cell r="AA33">
            <v>0.34160194890594786</v>
          </cell>
          <cell r="AB33">
            <v>0.31400778541229024</v>
          </cell>
          <cell r="AC33">
            <v>0.30357915219473197</v>
          </cell>
          <cell r="AD33">
            <v>0.26315809321194972</v>
          </cell>
          <cell r="AE33">
            <v>0.22994945784999965</v>
          </cell>
          <cell r="AF33">
            <v>8.3655909999999833E-2</v>
          </cell>
          <cell r="AG33">
            <v>2.7161999999999908E-2</v>
          </cell>
          <cell r="AH33">
            <v>1.8000000000000016E-2</v>
          </cell>
        </row>
        <row r="34">
          <cell r="A34">
            <v>36373</v>
          </cell>
          <cell r="B34">
            <v>34</v>
          </cell>
          <cell r="C34">
            <v>3.1E-2</v>
          </cell>
          <cell r="D34">
            <v>1.6097409648561554</v>
          </cell>
          <cell r="E34">
            <v>1.5093663123616881</v>
          </cell>
          <cell r="F34">
            <v>1.3673267097751771</v>
          </cell>
          <cell r="G34">
            <v>1.2879353530252025</v>
          </cell>
          <cell r="H34">
            <v>1.255012175266315</v>
          </cell>
          <cell r="I34">
            <v>1.2099296111978783</v>
          </cell>
          <cell r="J34">
            <v>1.1766272148112642</v>
          </cell>
          <cell r="K34">
            <v>1.1467868772179362</v>
          </cell>
          <cell r="L34">
            <v>1.103455690003857</v>
          </cell>
          <cell r="M34">
            <v>1.0764616880590889</v>
          </cell>
          <cell r="N34">
            <v>1.0297768211721303</v>
          </cell>
          <cell r="O34">
            <v>0.99388685773293695</v>
          </cell>
          <cell r="P34">
            <v>0.96635784786285739</v>
          </cell>
          <cell r="Q34">
            <v>0.92969366816767152</v>
          </cell>
          <cell r="R34">
            <v>0.85547468093045298</v>
          </cell>
          <cell r="S34">
            <v>0.77557385734971596</v>
          </cell>
          <cell r="T34">
            <v>0.7288937267280593</v>
          </cell>
          <cell r="U34">
            <v>0.65602847387745022</v>
          </cell>
          <cell r="V34">
            <v>0.62674702738452881</v>
          </cell>
          <cell r="W34">
            <v>0.58090090124832838</v>
          </cell>
          <cell r="X34">
            <v>0.56835406869873806</v>
          </cell>
          <cell r="Y34">
            <v>0.54822711618829034</v>
          </cell>
          <cell r="Z34">
            <v>0.47309906392796441</v>
          </cell>
          <cell r="AA34">
            <v>0.38319160932203222</v>
          </cell>
          <cell r="AB34">
            <v>0.35474202676007116</v>
          </cell>
          <cell r="AC34">
            <v>0.34399010591276857</v>
          </cell>
          <cell r="AD34">
            <v>0.3023159941015201</v>
          </cell>
          <cell r="AE34">
            <v>0.26807789104334945</v>
          </cell>
          <cell r="AF34">
            <v>0.11724924320999963</v>
          </cell>
          <cell r="AG34">
            <v>5.9004021999999878E-2</v>
          </cell>
          <cell r="AH34">
            <v>4.9557999999999991E-2</v>
          </cell>
          <cell r="AI34">
            <v>3.0999999999999917E-2</v>
          </cell>
        </row>
        <row r="35">
          <cell r="A35">
            <v>36404</v>
          </cell>
          <cell r="B35">
            <v>35</v>
          </cell>
          <cell r="C35">
            <v>5.0000000000000001E-3</v>
          </cell>
          <cell r="D35">
            <v>1.622789669680436</v>
          </cell>
          <cell r="E35">
            <v>1.5219131439234963</v>
          </cell>
          <cell r="F35">
            <v>1.3791633433240529</v>
          </cell>
          <cell r="G35">
            <v>1.2993750297903284</v>
          </cell>
          <cell r="H35">
            <v>1.2662872361426465</v>
          </cell>
          <cell r="I35">
            <v>1.2209792592538675</v>
          </cell>
          <cell r="J35">
            <v>1.1875103508853204</v>
          </cell>
          <cell r="K35">
            <v>1.1575208116040256</v>
          </cell>
          <cell r="L35">
            <v>1.1139729684538762</v>
          </cell>
          <cell r="M35">
            <v>1.0868439964993843</v>
          </cell>
          <cell r="N35">
            <v>1.0399257052779909</v>
          </cell>
          <cell r="O35">
            <v>1.0038562920216014</v>
          </cell>
          <cell r="P35">
            <v>0.97618963710217144</v>
          </cell>
          <cell r="Q35">
            <v>0.93934213650850973</v>
          </cell>
          <cell r="R35">
            <v>0.86475205433510505</v>
          </cell>
          <cell r="S35">
            <v>0.78445172663646434</v>
          </cell>
          <cell r="T35">
            <v>0.73753819536169951</v>
          </cell>
          <cell r="U35">
            <v>0.66430861624683724</v>
          </cell>
          <cell r="V35">
            <v>0.6348807625214512</v>
          </cell>
          <cell r="W35">
            <v>0.58880540575456997</v>
          </cell>
          <cell r="X35">
            <v>0.57619583904223148</v>
          </cell>
          <cell r="Y35">
            <v>0.5559682517692317</v>
          </cell>
          <cell r="Z35">
            <v>0.48046455924760401</v>
          </cell>
          <cell r="AA35">
            <v>0.39010756736864227</v>
          </cell>
          <cell r="AB35">
            <v>0.36151573689387129</v>
          </cell>
          <cell r="AC35">
            <v>0.35071005644233222</v>
          </cell>
          <cell r="AD35">
            <v>0.30882757407202766</v>
          </cell>
          <cell r="AE35">
            <v>0.27441828049856598</v>
          </cell>
          <cell r="AF35">
            <v>0.12283548942604949</v>
          </cell>
          <cell r="AG35">
            <v>6.4299042109999816E-2</v>
          </cell>
          <cell r="AH35">
            <v>5.4805789999999854E-2</v>
          </cell>
          <cell r="AI35">
            <v>3.6154999999999715E-2</v>
          </cell>
          <cell r="AJ35">
            <v>4.9999999999998934E-3</v>
          </cell>
        </row>
        <row r="36">
          <cell r="A36">
            <v>36434</v>
          </cell>
          <cell r="B36">
            <v>36</v>
          </cell>
          <cell r="C36">
            <v>1.7999999999999999E-2</v>
          </cell>
          <cell r="D36">
            <v>1.6699998837346839</v>
          </cell>
          <cell r="E36">
            <v>1.5673075805141194</v>
          </cell>
          <cell r="F36">
            <v>1.421988283503886</v>
          </cell>
          <cell r="G36">
            <v>1.3407637803265544</v>
          </cell>
          <cell r="H36">
            <v>1.3070804063932142</v>
          </cell>
          <cell r="I36">
            <v>1.2609568859204372</v>
          </cell>
          <cell r="J36">
            <v>1.2268855372012561</v>
          </cell>
          <cell r="K36">
            <v>1.1963561862128982</v>
          </cell>
          <cell r="L36">
            <v>1.1520244818860461</v>
          </cell>
          <cell r="M36">
            <v>1.1244071884363733</v>
          </cell>
          <cell r="N36">
            <v>1.0766443679729947</v>
          </cell>
          <cell r="O36">
            <v>1.0399257052779904</v>
          </cell>
          <cell r="P36">
            <v>1.0117610505700108</v>
          </cell>
          <cell r="Q36">
            <v>0.97425029496566284</v>
          </cell>
          <cell r="R36">
            <v>0.89831759131313693</v>
          </cell>
          <cell r="S36">
            <v>0.81657185771592067</v>
          </cell>
          <cell r="T36">
            <v>0.76881388287821006</v>
          </cell>
          <cell r="U36">
            <v>0.69426617133928037</v>
          </cell>
          <cell r="V36">
            <v>0.66430861624683746</v>
          </cell>
          <cell r="W36">
            <v>0.61740390305815218</v>
          </cell>
          <cell r="X36">
            <v>0.60456736414499157</v>
          </cell>
          <cell r="Y36">
            <v>0.58397568030107783</v>
          </cell>
          <cell r="Z36">
            <v>0.50711292131406083</v>
          </cell>
          <cell r="AA36">
            <v>0.41512950358127787</v>
          </cell>
          <cell r="AB36">
            <v>0.38602302015796108</v>
          </cell>
          <cell r="AC36">
            <v>0.37502283745829423</v>
          </cell>
          <cell r="AD36">
            <v>0.3323864704053241</v>
          </cell>
          <cell r="AE36">
            <v>0.29735780954754021</v>
          </cell>
          <cell r="AF36">
            <v>0.14304652823571851</v>
          </cell>
          <cell r="AG36">
            <v>8.3456424867979884E-2</v>
          </cell>
          <cell r="AH36">
            <v>7.3792294219999777E-2</v>
          </cell>
          <cell r="AI36">
            <v>5.4805789999999632E-2</v>
          </cell>
          <cell r="AJ36">
            <v>2.3089999999999833E-2</v>
          </cell>
          <cell r="AK36">
            <v>1.8000000000000016E-2</v>
          </cell>
        </row>
        <row r="37">
          <cell r="A37">
            <v>36465</v>
          </cell>
          <cell r="B37">
            <v>37</v>
          </cell>
          <cell r="C37">
            <v>4.2000000000000003E-2</v>
          </cell>
          <cell r="D37">
            <v>1.7821398788515408</v>
          </cell>
          <cell r="E37">
            <v>1.6751344988957126</v>
          </cell>
          <cell r="F37">
            <v>1.5237117914110492</v>
          </cell>
          <cell r="G37">
            <v>1.4390758591002699</v>
          </cell>
          <cell r="H37">
            <v>1.4039777834617291</v>
          </cell>
          <cell r="I37">
            <v>1.3559170751290957</v>
          </cell>
          <cell r="J37">
            <v>1.320414729763709</v>
          </cell>
          <cell r="K37">
            <v>1.2886031460338399</v>
          </cell>
          <cell r="L37">
            <v>1.2424095101252601</v>
          </cell>
          <cell r="M37">
            <v>1.2136322903507013</v>
          </cell>
          <cell r="N37">
            <v>1.1638634314278606</v>
          </cell>
          <cell r="O37">
            <v>1.1256025848996662</v>
          </cell>
          <cell r="P37">
            <v>1.0962550146939511</v>
          </cell>
          <cell r="Q37">
            <v>1.0571688073542207</v>
          </cell>
          <cell r="R37">
            <v>0.97804693014828881</v>
          </cell>
          <cell r="S37">
            <v>0.89286787573998949</v>
          </cell>
          <cell r="T37">
            <v>0.84310406595909493</v>
          </cell>
          <cell r="U37">
            <v>0.76542535053553018</v>
          </cell>
          <cell r="V37">
            <v>0.73420957812920462</v>
          </cell>
          <cell r="W37">
            <v>0.68533486698659463</v>
          </cell>
          <cell r="X37">
            <v>0.67195919343908117</v>
          </cell>
          <cell r="Y37">
            <v>0.65050265887372305</v>
          </cell>
          <cell r="Z37">
            <v>0.57041166400925136</v>
          </cell>
          <cell r="AA37">
            <v>0.47456494273169159</v>
          </cell>
          <cell r="AB37">
            <v>0.44423598700459555</v>
          </cell>
          <cell r="AC37">
            <v>0.43277379663154258</v>
          </cell>
          <cell r="AD37">
            <v>0.38834670216234768</v>
          </cell>
          <cell r="AE37">
            <v>0.35184683754853685</v>
          </cell>
          <cell r="AF37">
            <v>0.19105448242161871</v>
          </cell>
          <cell r="AG37">
            <v>0.12896159471243518</v>
          </cell>
          <cell r="AH37">
            <v>0.11889157057723976</v>
          </cell>
          <cell r="AI37">
            <v>9.9107633179999599E-2</v>
          </cell>
          <cell r="AJ37">
            <v>6.605977999999979E-2</v>
          </cell>
          <cell r="AK37">
            <v>6.0756000000000032E-2</v>
          </cell>
          <cell r="AL37">
            <v>4.2000000000000037E-2</v>
          </cell>
        </row>
        <row r="38">
          <cell r="A38">
            <v>36495</v>
          </cell>
          <cell r="B38">
            <v>38</v>
          </cell>
          <cell r="C38">
            <v>6.4000000000000001E-2</v>
          </cell>
          <cell r="D38">
            <v>1.9601968310980395</v>
          </cell>
          <cell r="E38">
            <v>1.8463431068250382</v>
          </cell>
          <cell r="F38">
            <v>1.6852293460613565</v>
          </cell>
          <cell r="G38">
            <v>1.5951767140826871</v>
          </cell>
          <cell r="H38">
            <v>1.5578323616032801</v>
          </cell>
          <cell r="I38">
            <v>1.5066957679373578</v>
          </cell>
          <cell r="J38">
            <v>1.4689212724685863</v>
          </cell>
          <cell r="K38">
            <v>1.4350737473800059</v>
          </cell>
          <cell r="L38">
            <v>1.3859237187732769</v>
          </cell>
          <cell r="M38">
            <v>1.3553047569331462</v>
          </cell>
          <cell r="N38">
            <v>1.3023506910392437</v>
          </cell>
          <cell r="O38">
            <v>1.261641150333245</v>
          </cell>
          <cell r="P38">
            <v>1.2304153356343641</v>
          </cell>
          <cell r="Q38">
            <v>1.188827611024891</v>
          </cell>
          <cell r="R38">
            <v>1.1046419336777795</v>
          </cell>
          <cell r="S38">
            <v>1.0140114197873489</v>
          </cell>
          <cell r="T38">
            <v>0.96106272618047717</v>
          </cell>
          <cell r="U38">
            <v>0.87841257296980424</v>
          </cell>
          <cell r="V38">
            <v>0.84519899112947372</v>
          </cell>
          <cell r="W38">
            <v>0.79319629847373685</v>
          </cell>
          <cell r="X38">
            <v>0.77896458181918238</v>
          </cell>
          <cell r="Y38">
            <v>0.75613482904164142</v>
          </cell>
          <cell r="Z38">
            <v>0.67091801050584343</v>
          </cell>
          <cell r="AA38">
            <v>0.5689370990665199</v>
          </cell>
          <cell r="AB38">
            <v>0.53666709017288983</v>
          </cell>
          <cell r="AC38">
            <v>0.52447131961596138</v>
          </cell>
          <cell r="AD38">
            <v>0.47720089110073793</v>
          </cell>
          <cell r="AE38">
            <v>0.43836503515164327</v>
          </cell>
          <cell r="AF38">
            <v>0.26728196929660242</v>
          </cell>
          <cell r="AG38">
            <v>0.20121513677403113</v>
          </cell>
          <cell r="AH38">
            <v>0.19050063109418325</v>
          </cell>
          <cell r="AI38">
            <v>0.1694505217035196</v>
          </cell>
          <cell r="AJ38">
            <v>0.13428760591999978</v>
          </cell>
          <cell r="AK38">
            <v>0.128644384</v>
          </cell>
          <cell r="AL38">
            <v>0.10868800000000012</v>
          </cell>
          <cell r="AM38">
            <v>6.4000000000000057E-2</v>
          </cell>
        </row>
        <row r="39">
          <cell r="A39">
            <v>36526</v>
          </cell>
          <cell r="B39">
            <v>39</v>
          </cell>
          <cell r="C39">
            <v>5.6000000000000001E-2</v>
          </cell>
          <cell r="D39">
            <v>2.1259678536395299</v>
          </cell>
          <cell r="E39">
            <v>2.0057383208072403</v>
          </cell>
          <cell r="F39">
            <v>1.8356021894407926</v>
          </cell>
          <cell r="G39">
            <v>1.7405066100713178</v>
          </cell>
          <cell r="H39">
            <v>1.7010709738530641</v>
          </cell>
          <cell r="I39">
            <v>1.64707073094185</v>
          </cell>
          <cell r="J39">
            <v>1.6071808637268274</v>
          </cell>
          <cell r="K39">
            <v>1.5714378772332864</v>
          </cell>
          <cell r="L39">
            <v>1.5195354470245803</v>
          </cell>
          <cell r="M39">
            <v>1.4872018233214024</v>
          </cell>
          <cell r="N39">
            <v>1.4312823297374413</v>
          </cell>
          <cell r="O39">
            <v>1.388293054751907</v>
          </cell>
          <cell r="P39">
            <v>1.3553185944298884</v>
          </cell>
          <cell r="Q39">
            <v>1.311401957242285</v>
          </cell>
          <cell r="R39">
            <v>1.2225018819637352</v>
          </cell>
          <cell r="S39">
            <v>1.1267960592954407</v>
          </cell>
          <cell r="T39">
            <v>1.070882238846584</v>
          </cell>
          <cell r="U39">
            <v>0.9836036770561134</v>
          </cell>
          <cell r="V39">
            <v>0.9485301346327244</v>
          </cell>
          <cell r="W39">
            <v>0.89361529118826621</v>
          </cell>
          <cell r="X39">
            <v>0.87858659840105657</v>
          </cell>
          <cell r="Y39">
            <v>0.85447837946797334</v>
          </cell>
          <cell r="Z39">
            <v>0.76448941909417067</v>
          </cell>
          <cell r="AA39">
            <v>0.65679757661424509</v>
          </cell>
          <cell r="AB39">
            <v>0.6227204472225718</v>
          </cell>
          <cell r="AC39">
            <v>0.60984171351445537</v>
          </cell>
          <cell r="AD39">
            <v>0.55992414100237942</v>
          </cell>
          <cell r="AE39">
            <v>0.51891347712013536</v>
          </cell>
          <cell r="AF39">
            <v>0.33824975957721226</v>
          </cell>
          <cell r="AG39">
            <v>0.26848318443337704</v>
          </cell>
          <cell r="AH39">
            <v>0.25716866643545755</v>
          </cell>
          <cell r="AI39">
            <v>0.23493975091891683</v>
          </cell>
          <cell r="AJ39">
            <v>0.1978077118515198</v>
          </cell>
          <cell r="AK39">
            <v>0.19184846950400014</v>
          </cell>
          <cell r="AL39">
            <v>0.17077452800000015</v>
          </cell>
          <cell r="AM39">
            <v>0.12358400000000014</v>
          </cell>
          <cell r="AN39">
            <v>5.600000000000005E-2</v>
          </cell>
        </row>
        <row r="40">
          <cell r="A40">
            <v>36557</v>
          </cell>
          <cell r="B40">
            <v>40</v>
          </cell>
          <cell r="C40">
            <v>0</v>
          </cell>
          <cell r="D40">
            <v>2.1259678536395299</v>
          </cell>
          <cell r="E40">
            <v>2.0057383208072403</v>
          </cell>
          <cell r="F40">
            <v>1.8356021894407926</v>
          </cell>
          <cell r="G40">
            <v>1.7405066100713178</v>
          </cell>
          <cell r="H40">
            <v>1.7010709738530641</v>
          </cell>
          <cell r="I40">
            <v>1.64707073094185</v>
          </cell>
          <cell r="J40">
            <v>1.6071808637268274</v>
          </cell>
          <cell r="K40">
            <v>1.5714378772332864</v>
          </cell>
          <cell r="L40">
            <v>1.5195354470245803</v>
          </cell>
          <cell r="M40">
            <v>1.4872018233214024</v>
          </cell>
          <cell r="N40">
            <v>1.4312823297374413</v>
          </cell>
          <cell r="O40">
            <v>1.388293054751907</v>
          </cell>
          <cell r="P40">
            <v>1.3553185944298884</v>
          </cell>
          <cell r="Q40">
            <v>1.311401957242285</v>
          </cell>
          <cell r="R40">
            <v>1.2225018819637352</v>
          </cell>
          <cell r="S40">
            <v>1.1267960592954407</v>
          </cell>
          <cell r="T40">
            <v>1.070882238846584</v>
          </cell>
          <cell r="U40">
            <v>0.9836036770561134</v>
          </cell>
          <cell r="V40">
            <v>0.9485301346327244</v>
          </cell>
          <cell r="W40">
            <v>0.89361529118826621</v>
          </cell>
          <cell r="X40">
            <v>0.87858659840105657</v>
          </cell>
          <cell r="Y40">
            <v>0.85447837946797334</v>
          </cell>
          <cell r="Z40">
            <v>0.76448941909417067</v>
          </cell>
          <cell r="AA40">
            <v>0.65679757661424509</v>
          </cell>
          <cell r="AB40">
            <v>0.6227204472225718</v>
          </cell>
          <cell r="AC40">
            <v>0.60984171351445537</v>
          </cell>
          <cell r="AD40">
            <v>0.55992414100237942</v>
          </cell>
          <cell r="AE40">
            <v>0.51891347712013536</v>
          </cell>
          <cell r="AF40">
            <v>0.33824975957721226</v>
          </cell>
          <cell r="AG40">
            <v>0.26848318443337704</v>
          </cell>
          <cell r="AH40">
            <v>0.25716866643545755</v>
          </cell>
          <cell r="AI40">
            <v>0.23493975091891683</v>
          </cell>
          <cell r="AJ40">
            <v>0.1978077118515198</v>
          </cell>
          <cell r="AK40">
            <v>0.19184846950400014</v>
          </cell>
          <cell r="AL40">
            <v>0.17077452800000015</v>
          </cell>
          <cell r="AM40">
            <v>0.12358400000000014</v>
          </cell>
          <cell r="AN40">
            <v>5.600000000000005E-2</v>
          </cell>
          <cell r="AO40">
            <v>0</v>
          </cell>
        </row>
        <row r="41">
          <cell r="A41">
            <v>36586</v>
          </cell>
          <cell r="B41">
            <v>41</v>
          </cell>
          <cell r="C41">
            <v>0</v>
          </cell>
          <cell r="D41">
            <v>2.1259678536395299</v>
          </cell>
          <cell r="E41">
            <v>2.0057383208072403</v>
          </cell>
          <cell r="F41">
            <v>1.8356021894407926</v>
          </cell>
          <cell r="G41">
            <v>1.7405066100713178</v>
          </cell>
          <cell r="H41">
            <v>1.7010709738530641</v>
          </cell>
          <cell r="I41">
            <v>1.64707073094185</v>
          </cell>
          <cell r="J41">
            <v>1.6071808637268274</v>
          </cell>
          <cell r="K41">
            <v>1.5714378772332864</v>
          </cell>
          <cell r="L41">
            <v>1.5195354470245803</v>
          </cell>
          <cell r="M41">
            <v>1.4872018233214024</v>
          </cell>
          <cell r="N41">
            <v>1.4312823297374413</v>
          </cell>
          <cell r="O41">
            <v>1.388293054751907</v>
          </cell>
          <cell r="P41">
            <v>1.3553185944298884</v>
          </cell>
          <cell r="Q41">
            <v>1.311401957242285</v>
          </cell>
          <cell r="R41">
            <v>1.2225018819637352</v>
          </cell>
          <cell r="S41">
            <v>1.1267960592954407</v>
          </cell>
          <cell r="T41">
            <v>1.070882238846584</v>
          </cell>
          <cell r="U41">
            <v>0.9836036770561134</v>
          </cell>
          <cell r="V41">
            <v>0.9485301346327244</v>
          </cell>
          <cell r="W41">
            <v>0.89361529118826621</v>
          </cell>
          <cell r="X41">
            <v>0.87858659840105657</v>
          </cell>
          <cell r="Y41">
            <v>0.85447837946797334</v>
          </cell>
          <cell r="Z41">
            <v>0.76448941909417067</v>
          </cell>
          <cell r="AA41">
            <v>0.65679757661424509</v>
          </cell>
          <cell r="AB41">
            <v>0.6227204472225718</v>
          </cell>
          <cell r="AC41">
            <v>0.60984171351445537</v>
          </cell>
          <cell r="AD41">
            <v>0.55992414100237942</v>
          </cell>
          <cell r="AE41">
            <v>0.51891347712013536</v>
          </cell>
          <cell r="AF41">
            <v>0.33824975957721226</v>
          </cell>
          <cell r="AG41">
            <v>0.26848318443337704</v>
          </cell>
          <cell r="AH41">
            <v>0.25716866643545755</v>
          </cell>
          <cell r="AI41">
            <v>0.23493975091891683</v>
          </cell>
          <cell r="AJ41">
            <v>0.1978077118515198</v>
          </cell>
          <cell r="AK41">
            <v>0.19184846950400014</v>
          </cell>
          <cell r="AL41">
            <v>0.17077452800000015</v>
          </cell>
          <cell r="AM41">
            <v>0.12358400000000014</v>
          </cell>
          <cell r="AN41">
            <v>5.600000000000005E-2</v>
          </cell>
          <cell r="AO41">
            <v>0</v>
          </cell>
          <cell r="AP41">
            <v>0</v>
          </cell>
        </row>
        <row r="42">
          <cell r="A42">
            <v>36617</v>
          </cell>
          <cell r="B42">
            <v>42</v>
          </cell>
          <cell r="C42">
            <v>0</v>
          </cell>
          <cell r="D42">
            <v>2.1259678536395299</v>
          </cell>
          <cell r="E42">
            <v>2.0057383208072403</v>
          </cell>
          <cell r="F42">
            <v>1.8356021894407926</v>
          </cell>
          <cell r="G42">
            <v>1.7405066100713178</v>
          </cell>
          <cell r="H42">
            <v>1.7010709738530641</v>
          </cell>
          <cell r="I42">
            <v>1.64707073094185</v>
          </cell>
          <cell r="J42">
            <v>1.6071808637268274</v>
          </cell>
          <cell r="K42">
            <v>1.5714378772332864</v>
          </cell>
          <cell r="L42">
            <v>1.5195354470245803</v>
          </cell>
          <cell r="M42">
            <v>1.4872018233214024</v>
          </cell>
          <cell r="N42">
            <v>1.4312823297374413</v>
          </cell>
          <cell r="O42">
            <v>1.388293054751907</v>
          </cell>
          <cell r="P42">
            <v>1.3553185944298884</v>
          </cell>
          <cell r="Q42">
            <v>1.311401957242285</v>
          </cell>
          <cell r="R42">
            <v>1.2225018819637352</v>
          </cell>
          <cell r="S42">
            <v>1.1267960592954407</v>
          </cell>
          <cell r="T42">
            <v>1.070882238846584</v>
          </cell>
          <cell r="U42">
            <v>0.9836036770561134</v>
          </cell>
          <cell r="V42">
            <v>0.9485301346327244</v>
          </cell>
          <cell r="W42">
            <v>0.89361529118826621</v>
          </cell>
          <cell r="X42">
            <v>0.87858659840105657</v>
          </cell>
          <cell r="Y42">
            <v>0.85447837946797334</v>
          </cell>
          <cell r="Z42">
            <v>0.76448941909417067</v>
          </cell>
          <cell r="AA42">
            <v>0.65679757661424509</v>
          </cell>
          <cell r="AB42">
            <v>0.6227204472225718</v>
          </cell>
          <cell r="AC42">
            <v>0.60984171351445537</v>
          </cell>
          <cell r="AD42">
            <v>0.55992414100237942</v>
          </cell>
          <cell r="AE42">
            <v>0.51891347712013536</v>
          </cell>
          <cell r="AF42">
            <v>0.33824975957721226</v>
          </cell>
          <cell r="AG42">
            <v>0.26848318443337704</v>
          </cell>
          <cell r="AH42">
            <v>0.25716866643545755</v>
          </cell>
          <cell r="AI42">
            <v>0.23493975091891683</v>
          </cell>
          <cell r="AJ42">
            <v>0.1978077118515198</v>
          </cell>
          <cell r="AK42">
            <v>0.19184846950400014</v>
          </cell>
          <cell r="AL42">
            <v>0.17077452800000015</v>
          </cell>
          <cell r="AM42">
            <v>0.12358400000000014</v>
          </cell>
          <cell r="AN42">
            <v>5.600000000000005E-2</v>
          </cell>
          <cell r="AO42">
            <v>0</v>
          </cell>
          <cell r="AP42">
            <v>0</v>
          </cell>
          <cell r="AQ42">
            <v>0</v>
          </cell>
        </row>
        <row r="43">
          <cell r="A43">
            <v>36647</v>
          </cell>
          <cell r="B43">
            <v>42</v>
          </cell>
          <cell r="C43">
            <v>0</v>
          </cell>
        </row>
        <row r="44">
          <cell r="A44">
            <v>36678</v>
          </cell>
          <cell r="B44">
            <v>42</v>
          </cell>
          <cell r="C44">
            <v>0</v>
          </cell>
        </row>
        <row r="45">
          <cell r="A45">
            <v>36708</v>
          </cell>
          <cell r="B45">
            <v>42</v>
          </cell>
          <cell r="C45">
            <v>0</v>
          </cell>
        </row>
        <row r="46">
          <cell r="A46">
            <v>36739</v>
          </cell>
          <cell r="B46">
            <v>42</v>
          </cell>
          <cell r="C46">
            <v>0</v>
          </cell>
        </row>
        <row r="47">
          <cell r="A47">
            <v>36770</v>
          </cell>
          <cell r="B47">
            <v>42</v>
          </cell>
          <cell r="C47">
            <v>0</v>
          </cell>
        </row>
        <row r="48">
          <cell r="A48">
            <v>36800</v>
          </cell>
          <cell r="B48">
            <v>42</v>
          </cell>
          <cell r="C48">
            <v>0</v>
          </cell>
        </row>
        <row r="49">
          <cell r="A49">
            <v>36831</v>
          </cell>
          <cell r="B49">
            <v>42</v>
          </cell>
          <cell r="C49">
            <v>0</v>
          </cell>
        </row>
        <row r="50">
          <cell r="A50">
            <v>36861</v>
          </cell>
          <cell r="B50">
            <v>42</v>
          </cell>
          <cell r="C5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nticipos"/>
      <sheetName val="Movimiento de Activos Fijos"/>
      <sheetName val="Movimiento de Depreciación"/>
      <sheetName val="C. Global Deprec."/>
      <sheetName val="APT Adiciones"/>
      <sheetName val="Límites"/>
      <sheetName val="XREF"/>
      <sheetName val="Tickmarks"/>
      <sheetName val="Nota EEFF"/>
      <sheetName val="Costo"/>
      <sheetName val="Dep.Costo."/>
      <sheetName val="CG Depreciación"/>
      <sheetName val="Adiciones"/>
      <sheetName val="Relac DEP-COSTO"/>
      <sheetName val="Nota"/>
      <sheetName val="Mov.Costo"/>
      <sheetName val="Mov.Dep.Costo"/>
      <sheetName val="Calc.Global Deprec"/>
      <sheetName val="NEC 17"/>
      <sheetName val="Anál. S.I. Act. Fijos"/>
      <sheetName val="NotaEEFF"/>
      <sheetName val="Mov.ActFijo"/>
      <sheetName val="Mov.Deprec"/>
      <sheetName val="Cálculo depre"/>
      <sheetName val="AdicionesAF(Prel)"/>
      <sheetName val="RetirosAF"/>
      <sheetName val="Dep. ATD."/>
      <sheetName val="Límite"/>
      <sheetName val="T. Límite"/>
      <sheetName val="#REF"/>
      <sheetName val="Notas EEFF"/>
      <sheetName val="Pruebas Sustantivas"/>
      <sheetName val="Mov. Costo"/>
      <sheetName val="Depreciación"/>
      <sheetName val="Cálculo global"/>
      <sheetName val="Listado de Activos Fijos"/>
      <sheetName val="Analisis Adiciones"/>
      <sheetName val="Bajas de Activos Fijos"/>
      <sheetName val="Mov. Depre"/>
      <sheetName val="Cálc. Depre"/>
      <sheetName val="Bajas"/>
      <sheetName val="Sheet1"/>
      <sheetName val="Movimiento del Costo"/>
      <sheetName val="Movimiento Depreciación"/>
      <sheetName val="Cálculo Global Dep."/>
      <sheetName val="MMA Adiciones"/>
      <sheetName val="Procedimientos Activo Fijo"/>
      <sheetName val="Mov. Costo Sicontac"/>
      <sheetName val="Mov. Depre Sicontac"/>
      <sheetName val="Mov. Costo Sicobra"/>
      <sheetName val="Mov. Depre Sicobra"/>
      <sheetName val="Detalle de adiciones y bajas"/>
      <sheetName val="Calc. Glob"/>
      <sheetName val="An. Adiciones"/>
      <sheetName val="An. Ventas - Bajas"/>
      <sheetName val="Cálculo Global Depreciaciones"/>
      <sheetName val="Mov. Depreciación"/>
      <sheetName val="Cálculo Deprec"/>
      <sheetName val="Programa"/>
      <sheetName val="Movto Dep"/>
      <sheetName val="Adiciones (p)"/>
      <sheetName val="Análisis adiciones (p)"/>
      <sheetName val="Listado de activos fijos (p)"/>
      <sheetName val="Análisis adiciones"/>
      <sheetName val="Movimiento Neto"/>
      <sheetName val="Mov. Costo Final"/>
      <sheetName val="Mov. Dep. Final"/>
      <sheetName val="Adiciones Final"/>
      <sheetName val="Detalle Reclasif."/>
      <sheetName val="Mov. Act. Fijo Preliminar"/>
      <sheetName val="Adiciones Preliminar"/>
      <sheetName val="APT Preliminar"/>
      <sheetName val="Mov. Deprec."/>
      <sheetName val="List. Adic - Bajas"/>
      <sheetName val="Análisis Ventas"/>
      <sheetName val="Adiciones y Bajas AF"/>
      <sheetName val="Bajas Activos Fijos"/>
      <sheetName val="Movimiento Costo"/>
      <sheetName val="Movimiento de la depreciación"/>
      <sheetName val="Cálculo Global_Final"/>
      <sheetName val="Mov. Costo_Software"/>
      <sheetName val="Ana. Adiciones"/>
      <sheetName val="Mov. Depreciación_prelim.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76936</v>
          </cell>
          <cell r="B2">
            <v>76936</v>
          </cell>
          <cell r="D2" t="str">
            <v>Resumen de Otros Gastos</v>
          </cell>
          <cell r="E2" t="str">
            <v>!</v>
          </cell>
        </row>
        <row r="3">
          <cell r="A3">
            <v>103318</v>
          </cell>
          <cell r="B3">
            <v>103318</v>
          </cell>
          <cell r="D3" t="str">
            <v>Resumen de Otros Gastos</v>
          </cell>
          <cell r="E3" t="str">
            <v>!</v>
          </cell>
        </row>
        <row r="4">
          <cell r="A4">
            <v>886907.89000000013</v>
          </cell>
          <cell r="B4">
            <v>886907.89</v>
          </cell>
          <cell r="D4" t="str">
            <v>Resumen de Activo Fijo</v>
          </cell>
          <cell r="E4" t="str">
            <v>!</v>
          </cell>
        </row>
        <row r="5">
          <cell r="A5">
            <v>31105207</v>
          </cell>
          <cell r="B5">
            <v>31105207</v>
          </cell>
          <cell r="D5" t="str">
            <v>Hoja Resumen Activo Fijo</v>
          </cell>
          <cell r="E5" t="str">
            <v>!</v>
          </cell>
        </row>
        <row r="6">
          <cell r="A6">
            <v>989663</v>
          </cell>
          <cell r="B6">
            <v>989663</v>
          </cell>
          <cell r="D6" t="str">
            <v>Selección MMA Adiciones de Activos fijos</v>
          </cell>
          <cell r="E6" t="str">
            <v>!</v>
          </cell>
        </row>
        <row r="7">
          <cell r="A7">
            <v>31105207</v>
          </cell>
          <cell r="B7">
            <v>31105207</v>
          </cell>
          <cell r="D7" t="str">
            <v>Hoja Resumen Activo Fijo</v>
          </cell>
          <cell r="E7" t="str">
            <v>!</v>
          </cell>
        </row>
        <row r="8">
          <cell r="A8">
            <v>5672</v>
          </cell>
          <cell r="B8">
            <v>5672</v>
          </cell>
          <cell r="D8" t="str">
            <v>Hoja Resumen de Activo Fijo</v>
          </cell>
          <cell r="E8" t="str">
            <v>!</v>
          </cell>
        </row>
        <row r="9">
          <cell r="A9">
            <v>1238</v>
          </cell>
          <cell r="B9">
            <v>1238</v>
          </cell>
          <cell r="D9" t="str">
            <v>Análisis de Gastos Operacionales</v>
          </cell>
          <cell r="E9" t="str">
            <v>!</v>
          </cell>
        </row>
        <row r="10">
          <cell r="A10">
            <v>2706</v>
          </cell>
          <cell r="B10">
            <v>2706</v>
          </cell>
          <cell r="D10" t="str">
            <v>Listado de Activos Fijos al 31-Dic-11</v>
          </cell>
          <cell r="E10" t="str">
            <v>!</v>
          </cell>
        </row>
        <row r="11">
          <cell r="A11">
            <v>1941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>
        <row r="2">
          <cell r="A2">
            <v>76936</v>
          </cell>
        </row>
      </sheetData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ROLCOBOS"/>
      <sheetName val="Detalle Cuentas por Cobrar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Sheet1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temporales"/>
      <sheetName val="Lead"/>
      <sheetName val="Links"/>
      <sheetName val="XREF"/>
      <sheetName val="Tickmarks"/>
    </sheetNames>
    <sheetDataSet>
      <sheetData sheetId="0"/>
      <sheetData sheetId="1"/>
      <sheetData sheetId="2">
        <row r="2">
          <cell r="F2" t="str">
            <v>31.Dic.12</v>
          </cell>
          <cell r="H2" t="str">
            <v>AJE</v>
          </cell>
          <cell r="I2" t="str">
            <v>Ajustado</v>
          </cell>
          <cell r="J2" t="str">
            <v>RJE</v>
          </cell>
          <cell r="K2" t="str">
            <v>Final</v>
          </cell>
          <cell r="N2" t="str">
            <v>31.Dic.11</v>
          </cell>
          <cell r="O2">
            <v>0</v>
          </cell>
          <cell r="P2">
            <v>0</v>
          </cell>
        </row>
        <row r="4">
          <cell r="F4">
            <v>400000</v>
          </cell>
          <cell r="H4">
            <v>0</v>
          </cell>
          <cell r="I4">
            <v>400000</v>
          </cell>
          <cell r="J4">
            <v>0</v>
          </cell>
          <cell r="K4">
            <v>400000</v>
          </cell>
          <cell r="N4">
            <v>0</v>
          </cell>
        </row>
        <row r="5">
          <cell r="F5">
            <v>158</v>
          </cell>
          <cell r="H5">
            <v>0</v>
          </cell>
          <cell r="I5">
            <v>158</v>
          </cell>
          <cell r="J5">
            <v>0</v>
          </cell>
          <cell r="K5">
            <v>158</v>
          </cell>
          <cell r="N5">
            <v>0</v>
          </cell>
        </row>
        <row r="6">
          <cell r="F6">
            <v>400158</v>
          </cell>
          <cell r="H6">
            <v>0</v>
          </cell>
          <cell r="I6">
            <v>400158</v>
          </cell>
          <cell r="J6">
            <v>0</v>
          </cell>
          <cell r="K6">
            <v>400158</v>
          </cell>
          <cell r="N6">
            <v>0</v>
          </cell>
        </row>
        <row r="7">
          <cell r="F7">
            <v>400158</v>
          </cell>
          <cell r="H7">
            <v>0</v>
          </cell>
          <cell r="I7">
            <v>400158</v>
          </cell>
          <cell r="J7">
            <v>0</v>
          </cell>
          <cell r="K7">
            <v>400158</v>
          </cell>
          <cell r="N7">
            <v>0</v>
          </cell>
        </row>
      </sheetData>
      <sheetData sheetId="3">
        <row r="1">
          <cell r="F1" t="str">
            <v>31.Dic.12</v>
          </cell>
          <cell r="G1" t="str">
            <v>AJE</v>
          </cell>
          <cell r="H1" t="str">
            <v>Ajustado</v>
          </cell>
          <cell r="I1" t="str">
            <v>RJE</v>
          </cell>
          <cell r="J1" t="str">
            <v>Final</v>
          </cell>
          <cell r="K1" t="str">
            <v>31.Dic.11</v>
          </cell>
        </row>
        <row r="3">
          <cell r="F3">
            <v>400000</v>
          </cell>
          <cell r="G3">
            <v>0</v>
          </cell>
          <cell r="H3">
            <v>400000</v>
          </cell>
          <cell r="I3">
            <v>0</v>
          </cell>
          <cell r="J3">
            <v>400000</v>
          </cell>
          <cell r="K3">
            <v>0</v>
          </cell>
        </row>
        <row r="4">
          <cell r="F4">
            <v>158</v>
          </cell>
          <cell r="G4">
            <v>0</v>
          </cell>
          <cell r="H4">
            <v>158</v>
          </cell>
          <cell r="I4">
            <v>0</v>
          </cell>
          <cell r="J4">
            <v>158</v>
          </cell>
          <cell r="K4">
            <v>0</v>
          </cell>
        </row>
        <row r="5">
          <cell r="F5">
            <v>400158</v>
          </cell>
          <cell r="G5">
            <v>0</v>
          </cell>
          <cell r="H5">
            <v>400158</v>
          </cell>
          <cell r="I5">
            <v>0</v>
          </cell>
          <cell r="J5">
            <v>400158</v>
          </cell>
          <cell r="K5">
            <v>0</v>
          </cell>
        </row>
        <row r="6">
          <cell r="F6">
            <v>400158</v>
          </cell>
          <cell r="G6">
            <v>0</v>
          </cell>
          <cell r="H6">
            <v>400158</v>
          </cell>
          <cell r="I6">
            <v>0</v>
          </cell>
          <cell r="J6">
            <v>400158</v>
          </cell>
          <cell r="K6">
            <v>0</v>
          </cell>
        </row>
      </sheetData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Bancos"/>
      <sheetName val="Conc.Dic"/>
      <sheetName val="Conc. Nov"/>
      <sheetName val="Seleccion bancos"/>
      <sheetName val="Conc Oct"/>
      <sheetName val="Selección partidas"/>
      <sheetName val="Partidas Ajustadas"/>
      <sheetName val="Revisión Analítica"/>
      <sheetName val="XREF"/>
      <sheetName val="Tickmarks"/>
      <sheetName val="Final"/>
      <sheetName val="MMA Final"/>
      <sheetName val="Preliminar"/>
      <sheetName val="MMA"/>
      <sheetName val="Cheq. girados."/>
      <sheetName val="ND no contab."/>
      <sheetName val="Depósitos no contab."/>
      <sheetName val="Depósitos en tránsito"/>
      <sheetName val="Detalle"/>
      <sheetName val="Links"/>
      <sheetName val="Conciliaciones Fin"/>
      <sheetName val="Ch.Girados y No Cob. Fin"/>
      <sheetName val="Depó.en Trán. Fin"/>
      <sheetName val="ND-NC Fin"/>
      <sheetName val="Conciliaciones"/>
      <sheetName val="Ch.Girados y No Cob."/>
      <sheetName val="Depó.en Trán."/>
      <sheetName val="ND-NC"/>
      <sheetName val="PNR."/>
      <sheetName val="NOTA EF"/>
      <sheetName val="Res Conc Dic"/>
      <sheetName val="Cheq"/>
      <sheetName val="Dep"/>
      <sheetName val="NC"/>
      <sheetName val="Sheet1"/>
      <sheetName val="bancoPacificoenero-abril2008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1138503</v>
          </cell>
        </row>
      </sheetData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Nombre</v>
          </cell>
          <cell r="F1">
            <v>39386</v>
          </cell>
          <cell r="G1" t="str">
            <v>AJE</v>
          </cell>
          <cell r="H1" t="str">
            <v>Saldos Ajustados</v>
          </cell>
          <cell r="I1" t="str">
            <v>RJE</v>
          </cell>
          <cell r="J1" t="str">
            <v>Final</v>
          </cell>
          <cell r="K1" t="str">
            <v>31-Dic-06</v>
          </cell>
        </row>
        <row r="2">
          <cell r="A2" t="str">
            <v/>
          </cell>
          <cell r="C2" t="str">
            <v>67</v>
          </cell>
        </row>
        <row r="3">
          <cell r="A3" t="str">
            <v>_/_67_/_6711000</v>
          </cell>
          <cell r="B3" t="str">
            <v/>
          </cell>
          <cell r="C3" t="str">
            <v>67</v>
          </cell>
          <cell r="D3" t="str">
            <v>6711000</v>
          </cell>
          <cell r="E3" t="str">
            <v>Caja Chica Moneda Nacional</v>
          </cell>
        </row>
        <row r="4">
          <cell r="A4" t="str">
            <v>_/_67_/_6711010</v>
          </cell>
          <cell r="B4" t="str">
            <v/>
          </cell>
          <cell r="C4" t="str">
            <v>67</v>
          </cell>
          <cell r="D4" t="str">
            <v>6711010</v>
          </cell>
          <cell r="E4" t="str">
            <v>Caja Chica Dólares</v>
          </cell>
        </row>
        <row r="5">
          <cell r="A5" t="str">
            <v>_/_67_/_6711020</v>
          </cell>
          <cell r="B5" t="str">
            <v/>
          </cell>
          <cell r="C5" t="str">
            <v>67</v>
          </cell>
          <cell r="D5" t="str">
            <v>6711020</v>
          </cell>
          <cell r="E5" t="str">
            <v>Efectivo en Caja</v>
          </cell>
        </row>
        <row r="6">
          <cell r="A6" t="str">
            <v>_/_67_/_6722110</v>
          </cell>
          <cell r="B6" t="str">
            <v/>
          </cell>
          <cell r="C6" t="str">
            <v>67</v>
          </cell>
          <cell r="D6" t="str">
            <v>6722110</v>
          </cell>
          <cell r="E6" t="str">
            <v>Lloyds/Banistmo  USD</v>
          </cell>
        </row>
        <row r="7">
          <cell r="A7" t="str">
            <v>_/_67_/_6722113</v>
          </cell>
          <cell r="B7" t="str">
            <v/>
          </cell>
          <cell r="C7" t="str">
            <v>67</v>
          </cell>
          <cell r="D7" t="str">
            <v>6722113</v>
          </cell>
          <cell r="E7" t="str">
            <v>Lloyds/Banismo  Trans. In USD</v>
          </cell>
        </row>
        <row r="8">
          <cell r="A8" t="str">
            <v>_/_67_/_6722114</v>
          </cell>
          <cell r="B8" t="str">
            <v/>
          </cell>
          <cell r="C8" t="str">
            <v>67</v>
          </cell>
          <cell r="D8" t="str">
            <v>6722114</v>
          </cell>
          <cell r="E8" t="str">
            <v>Lloyds/Banistmo Trans. Out USD</v>
          </cell>
        </row>
        <row r="9">
          <cell r="A9" t="str">
            <v>_/_67_/_6734120</v>
          </cell>
          <cell r="B9" t="str">
            <v/>
          </cell>
          <cell r="C9" t="str">
            <v>67</v>
          </cell>
          <cell r="D9" t="str">
            <v>6734120</v>
          </cell>
          <cell r="E9" t="str">
            <v>Citibank -USD</v>
          </cell>
        </row>
        <row r="10">
          <cell r="A10" t="str">
            <v>_/_67_/_6734123</v>
          </cell>
          <cell r="B10" t="str">
            <v/>
          </cell>
          <cell r="C10" t="str">
            <v>67</v>
          </cell>
          <cell r="D10" t="str">
            <v>6734123</v>
          </cell>
          <cell r="E10" t="str">
            <v>Transfer In Citibank USD</v>
          </cell>
        </row>
        <row r="11">
          <cell r="A11" t="str">
            <v>_/_67_/_6734124</v>
          </cell>
          <cell r="B11" t="str">
            <v/>
          </cell>
          <cell r="C11" t="str">
            <v>67</v>
          </cell>
          <cell r="D11" t="str">
            <v>6734124</v>
          </cell>
          <cell r="E11" t="str">
            <v>Transfer Out Citibank USD</v>
          </cell>
        </row>
        <row r="12">
          <cell r="A12" t="str">
            <v>_/_67_/_6738110</v>
          </cell>
          <cell r="B12" t="str">
            <v/>
          </cell>
          <cell r="C12" t="str">
            <v>67</v>
          </cell>
          <cell r="D12" t="str">
            <v>6738110</v>
          </cell>
          <cell r="E12" t="str">
            <v>Pichincha  Bank DOL</v>
          </cell>
        </row>
        <row r="13">
          <cell r="A13" t="str">
            <v>_/_67_/_6738113</v>
          </cell>
          <cell r="B13" t="str">
            <v/>
          </cell>
          <cell r="C13" t="str">
            <v>67</v>
          </cell>
          <cell r="D13" t="str">
            <v>6738113</v>
          </cell>
          <cell r="E13" t="str">
            <v>Pichincha Bank In DOL</v>
          </cell>
        </row>
        <row r="14">
          <cell r="A14" t="str">
            <v>_/_67_/_6738114</v>
          </cell>
          <cell r="B14" t="str">
            <v/>
          </cell>
          <cell r="C14" t="str">
            <v>67</v>
          </cell>
          <cell r="D14" t="str">
            <v>6738114</v>
          </cell>
          <cell r="E14" t="str">
            <v>Pichincha Bank Out DOL</v>
          </cell>
        </row>
        <row r="15">
          <cell r="A15" t="str">
            <v>_/_67_/_6739110</v>
          </cell>
          <cell r="B15" t="str">
            <v/>
          </cell>
          <cell r="C15" t="str">
            <v>67</v>
          </cell>
          <cell r="D15" t="str">
            <v>6739110</v>
          </cell>
          <cell r="E15" t="str">
            <v>Bco. La Producción DOL</v>
          </cell>
        </row>
        <row r="16">
          <cell r="A16" t="str">
            <v>_/_67_/_6739113</v>
          </cell>
          <cell r="B16" t="str">
            <v/>
          </cell>
          <cell r="C16" t="str">
            <v>67</v>
          </cell>
          <cell r="D16" t="str">
            <v>6739113</v>
          </cell>
          <cell r="E16" t="str">
            <v>Produbco ttria Entr</v>
          </cell>
        </row>
        <row r="17">
          <cell r="A17" t="str">
            <v>_/_67_/_6739114</v>
          </cell>
          <cell r="B17" t="str">
            <v/>
          </cell>
          <cell r="C17" t="str">
            <v>67</v>
          </cell>
          <cell r="D17" t="str">
            <v>6739114</v>
          </cell>
          <cell r="E17" t="str">
            <v>Produbco ttria Sali</v>
          </cell>
        </row>
        <row r="18">
          <cell r="A18" t="str">
            <v>_/_67_/_</v>
          </cell>
          <cell r="C18" t="str">
            <v>67</v>
          </cell>
          <cell r="E18" t="str">
            <v>TB Total - Efectivo y Bancos</v>
          </cell>
        </row>
        <row r="19">
          <cell r="A19" t="str">
            <v>_/_GrandTotal_/_</v>
          </cell>
          <cell r="C19" t="str">
            <v>Grand Total</v>
          </cell>
          <cell r="F19">
            <v>424856</v>
          </cell>
          <cell r="G19">
            <v>0</v>
          </cell>
          <cell r="H19">
            <v>424856</v>
          </cell>
          <cell r="I19">
            <v>0</v>
          </cell>
          <cell r="J19">
            <v>424856</v>
          </cell>
          <cell r="K19">
            <v>254774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 (2)"/>
      <sheetName val="Costo"/>
      <sheetName val="Dep.Costo"/>
      <sheetName val="Calc. dep."/>
      <sheetName val="Análisis de Adiciones"/>
      <sheetName val="Detalle de ventas"/>
      <sheetName val="Marcas Estándar"/>
      <sheetName val="XREF"/>
    </sheetNames>
    <sheetDataSet>
      <sheetData sheetId="0" refreshError="1"/>
      <sheetData sheetId="1"/>
      <sheetData sheetId="2"/>
      <sheetData sheetId="3">
        <row r="1">
          <cell r="A1" t="str">
            <v>Cálculo Global de Depreciación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  <sheetName val=" Límite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 cobrar"/>
      <sheetName val="Clientes"/>
      <sheetName val="MAYAUX"/>
      <sheetName val="1134"/>
      <sheetName val="1137"/>
      <sheetName val="2132"/>
      <sheetName val="2149"/>
      <sheetName val="Inven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.BANC "/>
      <sheetName val="INVTEMP"/>
      <sheetName val="ANTCARCL"/>
      <sheetName val="PROV.INCOB"/>
      <sheetName val="MOV INV (1)"/>
      <sheetName val="MOV INV (2)"/>
      <sheetName val="MOV INV (3)"/>
      <sheetName val="IMP TRANSITO"/>
      <sheetName val="Prov Obsolecencia"/>
      <sheetName val="SEGUROS"/>
      <sheetName val="MOVAFIJO"/>
      <sheetName val="MOVAFI (2)"/>
      <sheetName val="DETALLE VTA. A.FIJO"/>
      <sheetName val="CONCIL.ACT"/>
      <sheetName val="Inv. Acc. Anex"/>
      <sheetName val="OBLG"/>
      <sheetName val="GARANTIA"/>
      <sheetName val="PROVEE"/>
      <sheetName val="RELAC"/>
      <sheetName val="MOV.BENEF"/>
      <sheetName val="JUB. PATRO Y DESHA"/>
      <sheetName val="PATRIM"/>
      <sheetName val="Contingentes"/>
      <sheetName val="Otros"/>
    </sheetNames>
    <sheetDataSet>
      <sheetData sheetId="0" refreshError="1">
        <row r="1">
          <cell r="A1" t="str">
            <v>COMPAÑÍA ECUATORIANA DEL CAUCHO S.A.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00000000000"/>
      <sheetName val="Inicio"/>
      <sheetName val="Reporte"/>
      <sheetName val="Reporte (2)"/>
      <sheetName val="Hoja1"/>
    </sheetNames>
    <sheetDataSet>
      <sheetData sheetId="0"/>
      <sheetData sheetId="1"/>
      <sheetData sheetId="2">
        <row r="6">
          <cell r="B6" t="str">
            <v>13</v>
          </cell>
        </row>
      </sheetData>
      <sheetData sheetId="3"/>
      <sheetData sheetId="4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O 29 ABR 04"/>
      <sheetName val="PGO 21 ABR"/>
      <sheetName val="PGO 15 ABR"/>
      <sheetName val="PGO 8 ABR"/>
      <sheetName val="PGO 1 ABR "/>
      <sheetName val="2130201 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1"/>
      <sheetName val="CREDITO TRIBUTARIO"/>
    </sheetNames>
    <sheetDataSet>
      <sheetData sheetId="0" refreshError="1"/>
      <sheetData sheetId="1">
        <row r="1">
          <cell r="B1" t="str">
            <v>M-I OVERSEAS LIMITED</v>
          </cell>
        </row>
        <row r="2">
          <cell r="B2" t="str">
            <v>DETALLE DE IVA RETENIDO</v>
          </cell>
        </row>
        <row r="3">
          <cell r="B3" t="str">
            <v>MAYO - 2004</v>
          </cell>
        </row>
        <row r="5">
          <cell r="A5" t="str">
            <v>Description</v>
          </cell>
          <cell r="B5" t="str">
            <v>Proveedor</v>
          </cell>
          <cell r="C5" t="str">
            <v>Accnt Name</v>
          </cell>
          <cell r="D5" t="str">
            <v>Tax Code</v>
          </cell>
          <cell r="E5" t="str">
            <v>Reference</v>
          </cell>
          <cell r="F5" t="str">
            <v>Trans Date</v>
          </cell>
          <cell r="G5" t="str">
            <v>Factura Amount</v>
          </cell>
          <cell r="H5" t="str">
            <v>IVA Amount</v>
          </cell>
          <cell r="I5" t="str">
            <v>IVA Retencion</v>
          </cell>
          <cell r="J5" t="str">
            <v>Description</v>
          </cell>
          <cell r="K5" t="str">
            <v>Anal T8</v>
          </cell>
          <cell r="L5" t="str">
            <v>Anal A7</v>
          </cell>
          <cell r="M5" t="str">
            <v>Egreso</v>
          </cell>
          <cell r="N5" t="str">
            <v>RUC</v>
          </cell>
        </row>
        <row r="6">
          <cell r="A6" t="str">
            <v>MISO004019</v>
          </cell>
          <cell r="B6" t="str">
            <v>210VCACS</v>
          </cell>
          <cell r="C6" t="str">
            <v>Castillo Carlos</v>
          </cell>
          <cell r="D6" t="str">
            <v>1714316773</v>
          </cell>
          <cell r="E6" t="str">
            <v>236</v>
          </cell>
          <cell r="F6" t="str">
            <v>03/05/2004</v>
          </cell>
          <cell r="G6">
            <v>750</v>
          </cell>
          <cell r="H6">
            <v>90</v>
          </cell>
          <cell r="I6">
            <v>90</v>
          </cell>
          <cell r="J6" t="str">
            <v>MISO004019</v>
          </cell>
          <cell r="K6" t="str">
            <v>VA1</v>
          </cell>
          <cell r="L6" t="str">
            <v>ARRIENDO</v>
          </cell>
          <cell r="M6" t="str">
            <v>0000010803</v>
          </cell>
          <cell r="N6">
            <v>1</v>
          </cell>
        </row>
        <row r="7">
          <cell r="A7" t="str">
            <v>MISO004260</v>
          </cell>
          <cell r="B7" t="str">
            <v>210VHAL2</v>
          </cell>
          <cell r="C7" t="str">
            <v>Halliburton</v>
          </cell>
          <cell r="D7" t="str">
            <v>1790528782001</v>
          </cell>
          <cell r="E7" t="str">
            <v>846</v>
          </cell>
          <cell r="G7">
            <v>5000</v>
          </cell>
          <cell r="H7">
            <v>600</v>
          </cell>
          <cell r="J7" t="str">
            <v>MISO004260</v>
          </cell>
          <cell r="K7" t="str">
            <v>RA1</v>
          </cell>
          <cell r="L7" t="str">
            <v>ARRIENDO</v>
          </cell>
          <cell r="N7">
            <v>9</v>
          </cell>
          <cell r="Q7" t="str">
            <v>ARRIENDO</v>
          </cell>
        </row>
        <row r="8">
          <cell r="A8" t="str">
            <v>MIIV003064</v>
          </cell>
          <cell r="B8" t="str">
            <v>210VHERL</v>
          </cell>
          <cell r="C8" t="str">
            <v>Herrera Semeria Ligia Magdalen</v>
          </cell>
          <cell r="D8" t="str">
            <v>1705384806001</v>
          </cell>
          <cell r="E8" t="str">
            <v>3</v>
          </cell>
          <cell r="G8">
            <v>1600</v>
          </cell>
          <cell r="H8">
            <v>128</v>
          </cell>
          <cell r="J8" t="str">
            <v>MIIV003064</v>
          </cell>
          <cell r="K8" t="str">
            <v>RA8</v>
          </cell>
          <cell r="L8" t="str">
            <v>ARRIENDO</v>
          </cell>
          <cell r="M8" t="str">
            <v>0000010654</v>
          </cell>
          <cell r="N8">
            <v>0</v>
          </cell>
          <cell r="Q8" t="str">
            <v>VHERL</v>
          </cell>
        </row>
        <row r="9">
          <cell r="A9" t="str">
            <v>MIIV003062</v>
          </cell>
          <cell r="B9" t="str">
            <v>210VHIPA</v>
          </cell>
          <cell r="C9" t="str">
            <v>Hipatia Coral</v>
          </cell>
          <cell r="D9" t="str">
            <v>1701068114001</v>
          </cell>
          <cell r="E9" t="str">
            <v>356</v>
          </cell>
          <cell r="F9" t="str">
            <v>03/05/2004</v>
          </cell>
          <cell r="G9">
            <v>50</v>
          </cell>
          <cell r="H9">
            <v>6</v>
          </cell>
          <cell r="I9">
            <v>6</v>
          </cell>
          <cell r="J9" t="str">
            <v>MIIV003062</v>
          </cell>
          <cell r="K9" t="str">
            <v>VA1</v>
          </cell>
          <cell r="L9" t="str">
            <v>ARRIENDO</v>
          </cell>
          <cell r="M9" t="str">
            <v>0000010652</v>
          </cell>
          <cell r="N9">
            <v>0</v>
          </cell>
        </row>
        <row r="10">
          <cell r="A10" t="str">
            <v>MIIV003063</v>
          </cell>
          <cell r="B10" t="str">
            <v>210VINMO</v>
          </cell>
          <cell r="C10" t="str">
            <v>Inmobiliaria Juniesa S.A</v>
          </cell>
          <cell r="D10" t="str">
            <v>1791000250001</v>
          </cell>
          <cell r="E10" t="str">
            <v>9496</v>
          </cell>
          <cell r="F10" t="str">
            <v>31/05/2004</v>
          </cell>
          <cell r="G10">
            <v>1700</v>
          </cell>
          <cell r="H10">
            <v>204</v>
          </cell>
          <cell r="I10">
            <v>142.80000000000001</v>
          </cell>
          <cell r="J10" t="str">
            <v>MIIV003063</v>
          </cell>
          <cell r="K10" t="str">
            <v>VA1</v>
          </cell>
          <cell r="L10" t="str">
            <v>SOCIEDAD</v>
          </cell>
          <cell r="M10" t="str">
            <v>0000010653</v>
          </cell>
          <cell r="N10">
            <v>9</v>
          </cell>
        </row>
        <row r="11">
          <cell r="A11" t="str">
            <v>MIIV003055</v>
          </cell>
          <cell r="B11" t="str">
            <v>210VVINE</v>
          </cell>
          <cell r="C11" t="str">
            <v>Juan Vinelli</v>
          </cell>
          <cell r="D11" t="str">
            <v>0101001170</v>
          </cell>
          <cell r="E11" t="str">
            <v>212</v>
          </cell>
          <cell r="F11" t="str">
            <v>01/05/2004</v>
          </cell>
          <cell r="G11">
            <v>2087</v>
          </cell>
          <cell r="H11">
            <v>250.44</v>
          </cell>
          <cell r="I11">
            <v>250.44</v>
          </cell>
          <cell r="J11" t="str">
            <v>MIIV003055</v>
          </cell>
          <cell r="K11" t="str">
            <v>VH1</v>
          </cell>
          <cell r="L11" t="str">
            <v>HONORARIO</v>
          </cell>
          <cell r="M11" t="str">
            <v>0000010644</v>
          </cell>
          <cell r="N11">
            <v>0</v>
          </cell>
        </row>
        <row r="12">
          <cell r="A12" t="str">
            <v>MIIV003073</v>
          </cell>
          <cell r="B12" t="str">
            <v>210VLOPC</v>
          </cell>
          <cell r="C12" t="str">
            <v>LOPEZ CARLOS</v>
          </cell>
          <cell r="D12" t="str">
            <v>1703516409001</v>
          </cell>
          <cell r="E12" t="str">
            <v>206</v>
          </cell>
          <cell r="F12" t="str">
            <v>03/05/2004</v>
          </cell>
          <cell r="G12">
            <v>2096</v>
          </cell>
          <cell r="H12">
            <v>251.51999999999998</v>
          </cell>
          <cell r="I12">
            <v>251.52</v>
          </cell>
          <cell r="J12" t="str">
            <v>MIIV003073</v>
          </cell>
          <cell r="K12" t="str">
            <v>VA1</v>
          </cell>
          <cell r="L12" t="str">
            <v>ARRIENDO</v>
          </cell>
          <cell r="M12" t="str">
            <v>0001352004</v>
          </cell>
          <cell r="N12">
            <v>0</v>
          </cell>
        </row>
        <row r="13">
          <cell r="A13" t="str">
            <v>MIIV003059</v>
          </cell>
          <cell r="B13" t="str">
            <v>210VMESI</v>
          </cell>
          <cell r="C13" t="str">
            <v>Mesias Cortes Mario</v>
          </cell>
          <cell r="D13" t="str">
            <v>1705071718001</v>
          </cell>
          <cell r="E13" t="str">
            <v>17</v>
          </cell>
          <cell r="G13">
            <v>1400</v>
          </cell>
          <cell r="H13">
            <v>112</v>
          </cell>
          <cell r="J13" t="str">
            <v>MIIV003059</v>
          </cell>
          <cell r="K13" t="str">
            <v>RA8</v>
          </cell>
          <cell r="L13" t="str">
            <v>ARRIENDO</v>
          </cell>
          <cell r="M13" t="str">
            <v>0000010653</v>
          </cell>
          <cell r="N13">
            <v>0</v>
          </cell>
          <cell r="Q13" t="str">
            <v>ARRIENDO</v>
          </cell>
        </row>
        <row r="14">
          <cell r="A14" t="str">
            <v>MISO004267</v>
          </cell>
          <cell r="B14" t="str">
            <v>210VTNAT</v>
          </cell>
          <cell r="C14" t="str">
            <v>NATRANSCOM</v>
          </cell>
          <cell r="D14" t="str">
            <v>1791773241001</v>
          </cell>
          <cell r="E14" t="str">
            <v>9878</v>
          </cell>
          <cell r="F14" t="str">
            <v>11/05/2004</v>
          </cell>
          <cell r="G14">
            <v>150</v>
          </cell>
          <cell r="H14">
            <v>18</v>
          </cell>
          <cell r="I14">
            <v>12.6</v>
          </cell>
          <cell r="J14" t="str">
            <v>MISO004267</v>
          </cell>
          <cell r="K14" t="str">
            <v>VA7</v>
          </cell>
          <cell r="L14" t="str">
            <v>SOCIEDAD</v>
          </cell>
          <cell r="N14">
            <v>9</v>
          </cell>
        </row>
        <row r="15">
          <cell r="A15" t="str">
            <v>MIIV003056</v>
          </cell>
          <cell r="B15" t="str">
            <v>210VEGAS</v>
          </cell>
          <cell r="C15" t="str">
            <v>Oswaldo Egas</v>
          </cell>
          <cell r="D15" t="str">
            <v>1703865608001</v>
          </cell>
          <cell r="E15" t="str">
            <v>182</v>
          </cell>
          <cell r="F15" t="str">
            <v>03/05/2004</v>
          </cell>
          <cell r="G15">
            <v>1191.44</v>
          </cell>
          <cell r="H15">
            <v>142.97</v>
          </cell>
          <cell r="I15">
            <v>142.97</v>
          </cell>
          <cell r="J15" t="str">
            <v>MIIV003056</v>
          </cell>
          <cell r="K15" t="str">
            <v>VA1</v>
          </cell>
          <cell r="L15" t="str">
            <v>ARRIENDO</v>
          </cell>
          <cell r="M15" t="str">
            <v>0000010645</v>
          </cell>
          <cell r="N15">
            <v>0</v>
          </cell>
        </row>
        <row r="16">
          <cell r="A16" t="str">
            <v>MIIV003066</v>
          </cell>
          <cell r="B16" t="str">
            <v>210VPLAC</v>
          </cell>
          <cell r="C16" t="str">
            <v>Placencia Francisco</v>
          </cell>
          <cell r="D16" t="str">
            <v>1702023233001</v>
          </cell>
          <cell r="E16" t="str">
            <v>156</v>
          </cell>
          <cell r="G16">
            <v>1452</v>
          </cell>
          <cell r="H16">
            <v>116.16</v>
          </cell>
          <cell r="J16" t="str">
            <v>MIIV003066</v>
          </cell>
          <cell r="K16" t="str">
            <v>RA8</v>
          </cell>
          <cell r="L16" t="str">
            <v>ARRIENDO</v>
          </cell>
          <cell r="M16" t="str">
            <v>0000010658</v>
          </cell>
          <cell r="N16">
            <v>0</v>
          </cell>
          <cell r="Q16" t="str">
            <v>VPLAC</v>
          </cell>
        </row>
        <row r="17">
          <cell r="A17" t="str">
            <v>MIIV003060</v>
          </cell>
          <cell r="B17" t="str">
            <v>210VTORR</v>
          </cell>
          <cell r="C17" t="str">
            <v>Raul De La Torre</v>
          </cell>
          <cell r="D17" t="str">
            <v>0905895181001</v>
          </cell>
          <cell r="E17" t="str">
            <v>108</v>
          </cell>
          <cell r="F17" t="str">
            <v>02/05/2004</v>
          </cell>
          <cell r="G17">
            <v>2100</v>
          </cell>
          <cell r="H17">
            <v>252</v>
          </cell>
          <cell r="I17">
            <v>252</v>
          </cell>
          <cell r="J17" t="str">
            <v>MIIV003060</v>
          </cell>
          <cell r="K17" t="str">
            <v>VH1</v>
          </cell>
          <cell r="L17" t="str">
            <v>HONORARIO</v>
          </cell>
          <cell r="M17" t="str">
            <v>0000010649</v>
          </cell>
          <cell r="N17">
            <v>0</v>
          </cell>
        </row>
        <row r="18">
          <cell r="G18">
            <v>17476.440000000002</v>
          </cell>
          <cell r="H18">
            <v>1919.0900000000001</v>
          </cell>
          <cell r="I18">
            <v>896.33</v>
          </cell>
        </row>
        <row r="19">
          <cell r="A19" t="str">
            <v>HONORARIOS ANDRE</v>
          </cell>
          <cell r="B19" t="str">
            <v>210VFIGU</v>
          </cell>
          <cell r="C19" t="str">
            <v>ANDRE FIGUEREIDO</v>
          </cell>
          <cell r="D19" t="str">
            <v>1791821971001</v>
          </cell>
          <cell r="E19" t="str">
            <v>9490</v>
          </cell>
          <cell r="F19" t="str">
            <v>28/05/2004</v>
          </cell>
          <cell r="G19">
            <v>8913.0400000000009</v>
          </cell>
          <cell r="H19">
            <v>1069.5648000000001</v>
          </cell>
          <cell r="I19">
            <v>1069.56</v>
          </cell>
          <cell r="J19" t="str">
            <v>HONORARIOS ANDRE</v>
          </cell>
          <cell r="K19" t="str">
            <v>VH1</v>
          </cell>
          <cell r="L19" t="str">
            <v>HONORARIO</v>
          </cell>
          <cell r="N19">
            <v>9</v>
          </cell>
        </row>
        <row r="20">
          <cell r="A20" t="str">
            <v>MISO004155</v>
          </cell>
          <cell r="B20" t="str">
            <v>210VPAZM</v>
          </cell>
          <cell r="C20" t="str">
            <v>Bayron Pazmi¤o</v>
          </cell>
          <cell r="D20" t="str">
            <v>1705278180001</v>
          </cell>
          <cell r="E20" t="str">
            <v>662</v>
          </cell>
          <cell r="F20" t="str">
            <v>17/05/2004</v>
          </cell>
          <cell r="G20">
            <v>450</v>
          </cell>
          <cell r="H20">
            <v>54</v>
          </cell>
          <cell r="I20">
            <v>54</v>
          </cell>
          <cell r="J20" t="str">
            <v>MISO004155</v>
          </cell>
          <cell r="K20" t="str">
            <v>VH1</v>
          </cell>
          <cell r="L20" t="str">
            <v>HONORARIO</v>
          </cell>
          <cell r="M20" t="str">
            <v>0001412004</v>
          </cell>
          <cell r="N20">
            <v>0</v>
          </cell>
        </row>
        <row r="21">
          <cell r="A21" t="str">
            <v>MISO004314</v>
          </cell>
          <cell r="B21" t="str">
            <v>210VPAZM</v>
          </cell>
          <cell r="C21" t="str">
            <v>Bayron Pazmi¤o</v>
          </cell>
          <cell r="D21" t="str">
            <v>1705278180001</v>
          </cell>
          <cell r="E21" t="str">
            <v>662</v>
          </cell>
          <cell r="F21" t="str">
            <v>17/05/2004</v>
          </cell>
          <cell r="G21">
            <v>675</v>
          </cell>
          <cell r="H21">
            <v>81</v>
          </cell>
          <cell r="I21">
            <v>81</v>
          </cell>
          <cell r="J21" t="str">
            <v>MISO004314</v>
          </cell>
          <cell r="K21" t="str">
            <v>VH1</v>
          </cell>
          <cell r="L21" t="str">
            <v>HONORARIO</v>
          </cell>
          <cell r="M21" t="str">
            <v>0001412004</v>
          </cell>
          <cell r="N21">
            <v>0</v>
          </cell>
        </row>
        <row r="22">
          <cell r="A22" t="str">
            <v>MIIV003010</v>
          </cell>
          <cell r="B22" t="str">
            <v>210VBETA</v>
          </cell>
          <cell r="C22" t="str">
            <v>BETANCOURT REINALDO</v>
          </cell>
          <cell r="D22" t="str">
            <v>1791874218001</v>
          </cell>
          <cell r="E22" t="str">
            <v>52</v>
          </cell>
          <cell r="F22" t="str">
            <v>13/05/2004</v>
          </cell>
          <cell r="G22">
            <v>2782.58</v>
          </cell>
          <cell r="H22">
            <v>333.90959999999995</v>
          </cell>
          <cell r="I22">
            <v>333.91</v>
          </cell>
          <cell r="J22" t="str">
            <v>MIIV003010</v>
          </cell>
          <cell r="K22" t="str">
            <v>VH1</v>
          </cell>
          <cell r="L22" t="str">
            <v>HONORARIO</v>
          </cell>
          <cell r="M22" t="str">
            <v>0000010696</v>
          </cell>
          <cell r="N22">
            <v>9</v>
          </cell>
        </row>
        <row r="23">
          <cell r="A23" t="str">
            <v>MISO004161</v>
          </cell>
          <cell r="B23" t="str">
            <v>210VBETA</v>
          </cell>
          <cell r="C23" t="str">
            <v>BETANCOURT REINALDO</v>
          </cell>
          <cell r="D23" t="str">
            <v>1791874218001</v>
          </cell>
          <cell r="E23" t="str">
            <v>51</v>
          </cell>
          <cell r="F23" t="str">
            <v>13/05/2004</v>
          </cell>
          <cell r="G23">
            <v>2399.42</v>
          </cell>
          <cell r="H23">
            <v>287.93400000000003</v>
          </cell>
          <cell r="I23">
            <v>287.93</v>
          </cell>
          <cell r="J23" t="str">
            <v>MISO004161</v>
          </cell>
          <cell r="K23" t="str">
            <v>VH1</v>
          </cell>
          <cell r="L23" t="str">
            <v>HONORARIO</v>
          </cell>
          <cell r="M23" t="str">
            <v>0001412004</v>
          </cell>
          <cell r="N23">
            <v>9</v>
          </cell>
        </row>
        <row r="24">
          <cell r="A24" t="str">
            <v>MISO004291</v>
          </cell>
          <cell r="B24" t="str">
            <v>210VBETA</v>
          </cell>
          <cell r="C24" t="str">
            <v>BETANCOURT REINALDO</v>
          </cell>
          <cell r="D24" t="str">
            <v>1791874218001</v>
          </cell>
          <cell r="E24" t="str">
            <v>51</v>
          </cell>
          <cell r="F24" t="str">
            <v>13/05/2004</v>
          </cell>
          <cell r="G24">
            <v>1667.17</v>
          </cell>
          <cell r="H24">
            <v>200.06399999999999</v>
          </cell>
          <cell r="I24">
            <v>200.06</v>
          </cell>
          <cell r="J24" t="str">
            <v>MISO004291</v>
          </cell>
          <cell r="K24" t="str">
            <v>VH1</v>
          </cell>
          <cell r="L24" t="str">
            <v>HONORARIO</v>
          </cell>
          <cell r="M24" t="str">
            <v>0001412004</v>
          </cell>
          <cell r="N24">
            <v>9</v>
          </cell>
        </row>
        <row r="25">
          <cell r="A25" t="str">
            <v>HONORARIO BRUCE WADE MAYO</v>
          </cell>
          <cell r="B25" t="str">
            <v>210VWADE</v>
          </cell>
          <cell r="C25" t="str">
            <v>Bruce Wade</v>
          </cell>
          <cell r="D25" t="str">
            <v>1791853814001</v>
          </cell>
          <cell r="E25" t="str">
            <v>9472</v>
          </cell>
          <cell r="F25" t="str">
            <v>20/05/2004</v>
          </cell>
          <cell r="G25">
            <v>8586.9599999999991</v>
          </cell>
          <cell r="H25">
            <v>1030.4351999999999</v>
          </cell>
          <cell r="I25">
            <v>1030.44</v>
          </cell>
          <cell r="J25" t="str">
            <v>HONORARIO BRUCE WADE MAYO</v>
          </cell>
          <cell r="K25" t="str">
            <v>VH1</v>
          </cell>
          <cell r="L25" t="str">
            <v>HONORARIO</v>
          </cell>
          <cell r="N25">
            <v>9</v>
          </cell>
        </row>
        <row r="26">
          <cell r="A26" t="str">
            <v>MIIV003031</v>
          </cell>
          <cell r="B26" t="str">
            <v>210VCIRO</v>
          </cell>
          <cell r="C26" t="str">
            <v>CIRO ROMERO</v>
          </cell>
          <cell r="D26" t="str">
            <v>1791926536001</v>
          </cell>
          <cell r="E26" t="str">
            <v>2</v>
          </cell>
          <cell r="F26" t="str">
            <v>30/04/2004</v>
          </cell>
          <cell r="G26">
            <v>5166.75</v>
          </cell>
          <cell r="H26">
            <v>620.01</v>
          </cell>
          <cell r="I26">
            <v>620.01</v>
          </cell>
          <cell r="J26" t="str">
            <v>MIIV003031</v>
          </cell>
          <cell r="K26" t="str">
            <v>VH1</v>
          </cell>
          <cell r="L26" t="str">
            <v>HONORARIO</v>
          </cell>
          <cell r="M26" t="str">
            <v>0001412004</v>
          </cell>
          <cell r="N26">
            <v>9</v>
          </cell>
        </row>
        <row r="27">
          <cell r="A27" t="str">
            <v>MISO004296</v>
          </cell>
          <cell r="B27" t="str">
            <v>210VCRUA</v>
          </cell>
          <cell r="C27" t="str">
            <v>CRUZ JORGE</v>
          </cell>
          <cell r="D27" t="str">
            <v>1791872843001</v>
          </cell>
          <cell r="E27" t="str">
            <v>12</v>
          </cell>
          <cell r="F27" t="str">
            <v>24/05/2004</v>
          </cell>
          <cell r="G27">
            <v>9166.5</v>
          </cell>
          <cell r="H27">
            <v>1099.98</v>
          </cell>
          <cell r="I27">
            <v>1099.98</v>
          </cell>
          <cell r="J27" t="str">
            <v>MISO004296</v>
          </cell>
          <cell r="K27" t="str">
            <v>VH1</v>
          </cell>
          <cell r="L27" t="str">
            <v>HONORARIO</v>
          </cell>
          <cell r="N27">
            <v>9</v>
          </cell>
        </row>
        <row r="28">
          <cell r="A28" t="str">
            <v>HONORARIOS DEREK CHRISTIE</v>
          </cell>
          <cell r="B28" t="str">
            <v>210VCHRI</v>
          </cell>
          <cell r="C28" t="str">
            <v>Derek Christie</v>
          </cell>
          <cell r="D28" t="str">
            <v>1791892771001</v>
          </cell>
          <cell r="E28" t="str">
            <v>9471</v>
          </cell>
          <cell r="F28" t="str">
            <v>20/05/2004</v>
          </cell>
          <cell r="G28">
            <v>15380.44</v>
          </cell>
          <cell r="H28">
            <v>1845.6528000000001</v>
          </cell>
          <cell r="I28">
            <v>1845.65</v>
          </cell>
          <cell r="J28" t="str">
            <v>HONORARIOS DEREK CHRISTIE</v>
          </cell>
          <cell r="K28" t="str">
            <v>VH1</v>
          </cell>
          <cell r="L28" t="str">
            <v>HONORARIO</v>
          </cell>
          <cell r="N28">
            <v>9</v>
          </cell>
        </row>
        <row r="29">
          <cell r="A29" t="str">
            <v>VACATION DEREK AJUSTE</v>
          </cell>
          <cell r="B29" t="str">
            <v>210VCHRI</v>
          </cell>
          <cell r="C29" t="str">
            <v>Derek Christie</v>
          </cell>
          <cell r="D29" t="str">
            <v>1791892771001</v>
          </cell>
          <cell r="E29" t="str">
            <v>9491</v>
          </cell>
          <cell r="F29" t="str">
            <v>28/05/2004</v>
          </cell>
          <cell r="G29">
            <v>2738.62</v>
          </cell>
          <cell r="H29">
            <v>328.63439999999997</v>
          </cell>
          <cell r="I29">
            <v>328.63</v>
          </cell>
          <cell r="J29" t="str">
            <v>VACATION DEREK AJUSTE</v>
          </cell>
          <cell r="K29" t="str">
            <v>VH1</v>
          </cell>
          <cell r="L29" t="str">
            <v>HONORARIO</v>
          </cell>
          <cell r="M29" t="str">
            <v>0000010651</v>
          </cell>
          <cell r="N29">
            <v>9</v>
          </cell>
        </row>
        <row r="30">
          <cell r="A30" t="str">
            <v>MISO004159</v>
          </cell>
          <cell r="B30" t="str">
            <v>210VBAST</v>
          </cell>
          <cell r="C30" t="str">
            <v>Freddy Bastidas</v>
          </cell>
          <cell r="D30" t="str">
            <v>1708713779001</v>
          </cell>
          <cell r="E30" t="str">
            <v>310</v>
          </cell>
          <cell r="F30" t="str">
            <v>29/04/2004</v>
          </cell>
          <cell r="G30">
            <v>5750</v>
          </cell>
          <cell r="H30">
            <v>690</v>
          </cell>
          <cell r="I30">
            <v>690</v>
          </cell>
          <cell r="J30" t="str">
            <v>MISO004159</v>
          </cell>
          <cell r="K30" t="str">
            <v>VH1</v>
          </cell>
          <cell r="L30" t="str">
            <v>HONORARIO</v>
          </cell>
          <cell r="M30" t="str">
            <v>0001352004</v>
          </cell>
          <cell r="N30">
            <v>0</v>
          </cell>
        </row>
        <row r="31">
          <cell r="A31" t="str">
            <v>MIIV003074</v>
          </cell>
          <cell r="B31" t="str">
            <v>210VBAST</v>
          </cell>
          <cell r="C31" t="str">
            <v>Freddy Bastidas</v>
          </cell>
          <cell r="D31" t="str">
            <v>1708713779001</v>
          </cell>
          <cell r="E31" t="str">
            <v>312</v>
          </cell>
          <cell r="F31" t="str">
            <v>29/04/2004</v>
          </cell>
          <cell r="G31">
            <v>1599.92</v>
          </cell>
          <cell r="H31">
            <v>191.99039999999999</v>
          </cell>
          <cell r="I31">
            <v>191.99</v>
          </cell>
          <cell r="J31" t="str">
            <v>MIIV003074</v>
          </cell>
          <cell r="K31" t="str">
            <v>VH1</v>
          </cell>
          <cell r="L31" t="str">
            <v>HONORARIO</v>
          </cell>
          <cell r="M31" t="str">
            <v>0001352004</v>
          </cell>
          <cell r="N31">
            <v>0</v>
          </cell>
        </row>
        <row r="32">
          <cell r="A32" t="str">
            <v>MISO004182</v>
          </cell>
          <cell r="B32" t="str">
            <v>210VESGA</v>
          </cell>
          <cell r="C32" t="str">
            <v>Galo Estevez Varela</v>
          </cell>
          <cell r="D32" t="str">
            <v>1713092003001</v>
          </cell>
          <cell r="E32" t="str">
            <v>1057-58</v>
          </cell>
          <cell r="F32" t="str">
            <v>10/04/2004</v>
          </cell>
          <cell r="G32">
            <v>130</v>
          </cell>
          <cell r="H32">
            <v>15.6</v>
          </cell>
          <cell r="I32">
            <v>15.6</v>
          </cell>
          <cell r="J32" t="str">
            <v>MISO004182</v>
          </cell>
          <cell r="K32" t="str">
            <v>VH1</v>
          </cell>
          <cell r="L32" t="str">
            <v>HONORARIO</v>
          </cell>
          <cell r="M32" t="str">
            <v>0000010865</v>
          </cell>
          <cell r="N32">
            <v>1</v>
          </cell>
        </row>
        <row r="33">
          <cell r="A33" t="str">
            <v>HONORARIOS LUCIANO</v>
          </cell>
          <cell r="B33" t="str">
            <v>210VGARL</v>
          </cell>
          <cell r="C33" t="str">
            <v>GARCIA LUCIANO</v>
          </cell>
          <cell r="D33" t="str">
            <v>1791870344001</v>
          </cell>
          <cell r="E33" t="str">
            <v>9489</v>
          </cell>
          <cell r="F33" t="str">
            <v>28/05/2004</v>
          </cell>
          <cell r="G33">
            <v>6795.63</v>
          </cell>
          <cell r="H33">
            <v>815.47559999999999</v>
          </cell>
          <cell r="I33">
            <v>815.48</v>
          </cell>
          <cell r="J33" t="str">
            <v>HONORARIOS LUCIANO</v>
          </cell>
          <cell r="K33" t="str">
            <v>VH1</v>
          </cell>
          <cell r="L33" t="str">
            <v>HONORARIO</v>
          </cell>
          <cell r="N33">
            <v>9</v>
          </cell>
        </row>
        <row r="34">
          <cell r="A34" t="str">
            <v>AJUSTE LUCIANO</v>
          </cell>
          <cell r="B34" t="str">
            <v>210VGARL</v>
          </cell>
          <cell r="C34" t="str">
            <v>GARCIA LUCIANO</v>
          </cell>
          <cell r="D34" t="str">
            <v>1791870344001</v>
          </cell>
          <cell r="E34" t="str">
            <v>9489</v>
          </cell>
          <cell r="F34" t="str">
            <v>28/05/2004</v>
          </cell>
          <cell r="G34">
            <v>195.63</v>
          </cell>
          <cell r="H34">
            <v>23.4756</v>
          </cell>
          <cell r="I34">
            <v>23.48</v>
          </cell>
          <cell r="J34" t="str">
            <v>AJUSTE LUCIANO</v>
          </cell>
          <cell r="K34" t="str">
            <v>VH1</v>
          </cell>
          <cell r="L34" t="str">
            <v>HONORARIO</v>
          </cell>
          <cell r="N34">
            <v>9</v>
          </cell>
        </row>
        <row r="35">
          <cell r="A35" t="str">
            <v>VACACIONES LUCIANO</v>
          </cell>
          <cell r="B35" t="str">
            <v>210VGARL</v>
          </cell>
          <cell r="C35" t="str">
            <v>GARCIA LUCIANO</v>
          </cell>
          <cell r="D35" t="str">
            <v>1791870344001</v>
          </cell>
          <cell r="E35" t="str">
            <v>9489</v>
          </cell>
          <cell r="F35" t="str">
            <v>28/05/2004</v>
          </cell>
          <cell r="G35">
            <v>2684.38</v>
          </cell>
          <cell r="H35">
            <v>322.12560000000002</v>
          </cell>
          <cell r="I35">
            <v>322.13</v>
          </cell>
          <cell r="J35" t="str">
            <v>VACACIONES LUCIANO</v>
          </cell>
          <cell r="K35" t="str">
            <v>VH1</v>
          </cell>
          <cell r="L35" t="str">
            <v>HONORARIO</v>
          </cell>
          <cell r="N35">
            <v>9</v>
          </cell>
        </row>
        <row r="36">
          <cell r="A36" t="str">
            <v>MISO004351</v>
          </cell>
          <cell r="B36" t="str">
            <v>210VGUAR</v>
          </cell>
          <cell r="C36" t="str">
            <v>Guama Roberto Fabian</v>
          </cell>
          <cell r="D36" t="str">
            <v>0400901146001</v>
          </cell>
          <cell r="E36" t="str">
            <v>29</v>
          </cell>
          <cell r="F36" t="str">
            <v>21/05/2004</v>
          </cell>
          <cell r="G36">
            <v>775</v>
          </cell>
          <cell r="H36">
            <v>93</v>
          </cell>
          <cell r="I36">
            <v>93</v>
          </cell>
          <cell r="J36" t="str">
            <v>MISO004351</v>
          </cell>
          <cell r="K36" t="str">
            <v>VH1</v>
          </cell>
          <cell r="L36" t="str">
            <v>HONORARIO</v>
          </cell>
          <cell r="M36" t="str">
            <v>0001342004</v>
          </cell>
          <cell r="N36">
            <v>0</v>
          </cell>
        </row>
        <row r="37">
          <cell r="A37" t="str">
            <v>MISO004128</v>
          </cell>
          <cell r="B37" t="str">
            <v>210VGUAM</v>
          </cell>
          <cell r="C37" t="str">
            <v>Guamani Jorge Anibal</v>
          </cell>
          <cell r="D37" t="str">
            <v>1710918598001</v>
          </cell>
          <cell r="E37" t="str">
            <v>25</v>
          </cell>
          <cell r="F37" t="str">
            <v>06/05/2004</v>
          </cell>
          <cell r="G37">
            <v>500</v>
          </cell>
          <cell r="H37">
            <v>60</v>
          </cell>
          <cell r="I37">
            <v>60</v>
          </cell>
          <cell r="J37" t="str">
            <v>MISO004128</v>
          </cell>
          <cell r="K37" t="str">
            <v>VH1</v>
          </cell>
          <cell r="L37" t="str">
            <v>HONORARIO</v>
          </cell>
          <cell r="M37" t="str">
            <v>0001402004</v>
          </cell>
          <cell r="N37">
            <v>1</v>
          </cell>
        </row>
        <row r="38">
          <cell r="A38" t="str">
            <v>MISO004237</v>
          </cell>
          <cell r="B38" t="str">
            <v>210VGUAM</v>
          </cell>
          <cell r="C38" t="str">
            <v>Guamani Jorge Anibal</v>
          </cell>
          <cell r="D38" t="str">
            <v>1710918598001</v>
          </cell>
          <cell r="E38" t="str">
            <v>25</v>
          </cell>
          <cell r="F38" t="str">
            <v>06/05/2004</v>
          </cell>
          <cell r="G38">
            <v>275</v>
          </cell>
          <cell r="H38">
            <v>33</v>
          </cell>
          <cell r="I38">
            <v>33</v>
          </cell>
          <cell r="J38" t="str">
            <v>MISO004237</v>
          </cell>
          <cell r="K38" t="str">
            <v>VH1</v>
          </cell>
          <cell r="L38" t="str">
            <v>HONORARIO</v>
          </cell>
          <cell r="M38" t="str">
            <v>0001402004</v>
          </cell>
          <cell r="N38">
            <v>1</v>
          </cell>
        </row>
        <row r="39">
          <cell r="A39" t="str">
            <v>MISO004164</v>
          </cell>
          <cell r="B39" t="str">
            <v>210VVILL</v>
          </cell>
          <cell r="C39" t="str">
            <v>Jorge E. Villacis</v>
          </cell>
          <cell r="D39" t="str">
            <v>1700035809001</v>
          </cell>
          <cell r="E39" t="str">
            <v>303</v>
          </cell>
          <cell r="F39" t="str">
            <v>04/05/2004</v>
          </cell>
          <cell r="G39">
            <v>1900</v>
          </cell>
          <cell r="H39">
            <v>228</v>
          </cell>
          <cell r="I39">
            <v>228</v>
          </cell>
          <cell r="J39" t="str">
            <v>MISO004164</v>
          </cell>
          <cell r="K39" t="str">
            <v>VH1</v>
          </cell>
          <cell r="L39" t="str">
            <v>HONORARIO</v>
          </cell>
          <cell r="M39" t="str">
            <v>0001402004</v>
          </cell>
          <cell r="N39">
            <v>0</v>
          </cell>
        </row>
        <row r="40">
          <cell r="A40" t="str">
            <v>MISO004234</v>
          </cell>
          <cell r="B40" t="str">
            <v>210VVILL</v>
          </cell>
          <cell r="C40" t="str">
            <v>Jorge E. Villacis</v>
          </cell>
          <cell r="D40" t="str">
            <v>1700035809001</v>
          </cell>
          <cell r="E40" t="str">
            <v>303</v>
          </cell>
          <cell r="F40" t="str">
            <v>04/05/2004</v>
          </cell>
          <cell r="G40">
            <v>300</v>
          </cell>
          <cell r="H40">
            <v>36</v>
          </cell>
          <cell r="I40">
            <v>36</v>
          </cell>
          <cell r="J40" t="str">
            <v>MISO004234</v>
          </cell>
          <cell r="K40" t="str">
            <v>VH1</v>
          </cell>
          <cell r="L40" t="str">
            <v>HONORARIO</v>
          </cell>
          <cell r="M40" t="str">
            <v>0001402004</v>
          </cell>
          <cell r="N40">
            <v>0</v>
          </cell>
        </row>
        <row r="41">
          <cell r="A41" t="str">
            <v>HONORARIO JOR. ZURITA MAY</v>
          </cell>
          <cell r="B41" t="str">
            <v>210VZURI</v>
          </cell>
          <cell r="C41" t="str">
            <v>Jorge Zurita</v>
          </cell>
          <cell r="D41" t="str">
            <v>1791821998001</v>
          </cell>
          <cell r="E41" t="str">
            <v>9472</v>
          </cell>
          <cell r="F41" t="str">
            <v>20/05/2004</v>
          </cell>
          <cell r="G41">
            <v>8473.91</v>
          </cell>
          <cell r="H41">
            <v>1016.8692</v>
          </cell>
          <cell r="I41">
            <v>1016.87</v>
          </cell>
          <cell r="J41" t="str">
            <v>HONORARIO JOR. ZURITA MAY</v>
          </cell>
          <cell r="K41" t="str">
            <v>VH1</v>
          </cell>
          <cell r="L41" t="str">
            <v>HONORARIO</v>
          </cell>
          <cell r="N41">
            <v>9</v>
          </cell>
        </row>
        <row r="42">
          <cell r="A42" t="str">
            <v>MISO004340</v>
          </cell>
          <cell r="B42" t="str">
            <v>210VLOPZ</v>
          </cell>
          <cell r="C42" t="str">
            <v>Julieta Lopez</v>
          </cell>
          <cell r="D42" t="str">
            <v>1001037223001</v>
          </cell>
          <cell r="E42" t="str">
            <v>501-502</v>
          </cell>
          <cell r="F42" t="str">
            <v>18/05/2004</v>
          </cell>
          <cell r="G42">
            <v>400</v>
          </cell>
          <cell r="H42">
            <v>48</v>
          </cell>
          <cell r="I42">
            <v>48</v>
          </cell>
          <cell r="J42" t="str">
            <v>MISO004340</v>
          </cell>
          <cell r="K42" t="str">
            <v>VH1</v>
          </cell>
          <cell r="L42" t="str">
            <v>HONORARIO</v>
          </cell>
          <cell r="N42">
            <v>0</v>
          </cell>
        </row>
        <row r="43">
          <cell r="A43" t="str">
            <v>MIIV003029</v>
          </cell>
          <cell r="B43" t="str">
            <v>210VCHIM</v>
          </cell>
          <cell r="C43" t="str">
            <v>Luis Enrique Chimbo</v>
          </cell>
          <cell r="D43" t="str">
            <v>0200372761001</v>
          </cell>
          <cell r="E43" t="str">
            <v>147</v>
          </cell>
          <cell r="F43" t="str">
            <v>14/05/2004</v>
          </cell>
          <cell r="G43">
            <v>3500</v>
          </cell>
          <cell r="H43">
            <v>420</v>
          </cell>
          <cell r="I43">
            <v>420</v>
          </cell>
          <cell r="J43" t="str">
            <v>MIIV003029</v>
          </cell>
          <cell r="K43" t="str">
            <v>VH1</v>
          </cell>
          <cell r="L43" t="str">
            <v>HONORARIO</v>
          </cell>
          <cell r="N43">
            <v>0</v>
          </cell>
        </row>
        <row r="44">
          <cell r="A44" t="str">
            <v>MISO004317</v>
          </cell>
          <cell r="B44" t="str">
            <v>210VCHIM</v>
          </cell>
          <cell r="C44" t="str">
            <v>Luis Enrique Chimbo</v>
          </cell>
          <cell r="D44" t="str">
            <v>0200372761001</v>
          </cell>
          <cell r="E44" t="str">
            <v>148</v>
          </cell>
          <cell r="F44" t="str">
            <v>17/05/2004</v>
          </cell>
          <cell r="G44">
            <v>500</v>
          </cell>
          <cell r="H44">
            <v>60</v>
          </cell>
          <cell r="I44">
            <v>60</v>
          </cell>
          <cell r="J44" t="str">
            <v>MISO004317</v>
          </cell>
          <cell r="K44" t="str">
            <v>VH1</v>
          </cell>
          <cell r="L44" t="str">
            <v>HONORARIO</v>
          </cell>
          <cell r="N44">
            <v>0</v>
          </cell>
        </row>
        <row r="45">
          <cell r="A45" t="str">
            <v>MISO004335</v>
          </cell>
          <cell r="B45" t="str">
            <v>210VESTE</v>
          </cell>
          <cell r="C45" t="str">
            <v>Marcelo Estevez</v>
          </cell>
          <cell r="D45" t="str">
            <v>1705640611001</v>
          </cell>
          <cell r="E45" t="str">
            <v>408</v>
          </cell>
          <cell r="F45" t="str">
            <v>25/04/2004</v>
          </cell>
          <cell r="G45">
            <v>510</v>
          </cell>
          <cell r="H45">
            <v>61.199999999999996</v>
          </cell>
          <cell r="I45">
            <v>61.2</v>
          </cell>
          <cell r="J45" t="str">
            <v>MISO004335</v>
          </cell>
          <cell r="K45" t="str">
            <v>VH1</v>
          </cell>
          <cell r="L45" t="str">
            <v>HONORARIO</v>
          </cell>
          <cell r="M45" t="str">
            <v>0001352004</v>
          </cell>
          <cell r="N45">
            <v>0</v>
          </cell>
        </row>
        <row r="46">
          <cell r="A46" t="str">
            <v>MIIV003050</v>
          </cell>
          <cell r="B46" t="str">
            <v>210VESTE</v>
          </cell>
          <cell r="C46" t="str">
            <v>Marcelo Estevez</v>
          </cell>
          <cell r="D46" t="str">
            <v>1705640611001</v>
          </cell>
          <cell r="E46" t="str">
            <v>409</v>
          </cell>
          <cell r="F46" t="str">
            <v>25/05/2004</v>
          </cell>
          <cell r="G46">
            <v>379.084</v>
          </cell>
          <cell r="H46">
            <v>45.490079999999999</v>
          </cell>
          <cell r="I46">
            <v>45.49</v>
          </cell>
          <cell r="J46" t="str">
            <v>MIIV003050</v>
          </cell>
          <cell r="K46" t="str">
            <v>VH1</v>
          </cell>
          <cell r="L46" t="str">
            <v>HONORARIO</v>
          </cell>
          <cell r="M46" t="str">
            <v>0001352004</v>
          </cell>
          <cell r="N46">
            <v>0</v>
          </cell>
        </row>
        <row r="47">
          <cell r="A47" t="str">
            <v>MISO004151</v>
          </cell>
          <cell r="B47" t="str">
            <v>210VESTE</v>
          </cell>
          <cell r="C47" t="str">
            <v>Marcelo Estevez</v>
          </cell>
          <cell r="D47" t="str">
            <v>1705640611001</v>
          </cell>
          <cell r="E47" t="str">
            <v>403</v>
          </cell>
          <cell r="F47" t="str">
            <v>28/04/2004</v>
          </cell>
          <cell r="G47">
            <v>930</v>
          </cell>
          <cell r="H47">
            <v>111.6</v>
          </cell>
          <cell r="I47">
            <v>111.6</v>
          </cell>
          <cell r="J47" t="str">
            <v>MISO004151</v>
          </cell>
          <cell r="K47" t="str">
            <v>VH1</v>
          </cell>
          <cell r="L47" t="str">
            <v>HONORARIO</v>
          </cell>
          <cell r="M47" t="str">
            <v>0001352004</v>
          </cell>
          <cell r="N47">
            <v>0</v>
          </cell>
        </row>
        <row r="48">
          <cell r="A48" t="str">
            <v>MISO004153</v>
          </cell>
          <cell r="B48" t="str">
            <v>210VZUNI</v>
          </cell>
          <cell r="C48" t="str">
            <v>Marcia Zu¤iga</v>
          </cell>
          <cell r="D48" t="str">
            <v>1711791614001</v>
          </cell>
          <cell r="E48" t="str">
            <v>85</v>
          </cell>
          <cell r="F48" t="str">
            <v>10/05/2004</v>
          </cell>
          <cell r="G48">
            <v>540</v>
          </cell>
          <cell r="H48">
            <v>64.8</v>
          </cell>
          <cell r="I48">
            <v>64.8</v>
          </cell>
          <cell r="J48" t="str">
            <v>MISO004153</v>
          </cell>
          <cell r="K48" t="str">
            <v>VH1</v>
          </cell>
          <cell r="L48" t="str">
            <v>HONORARIO</v>
          </cell>
          <cell r="M48" t="str">
            <v>0001402004</v>
          </cell>
          <cell r="N48">
            <v>1</v>
          </cell>
        </row>
        <row r="49">
          <cell r="A49" t="str">
            <v>MISO004240</v>
          </cell>
          <cell r="B49" t="str">
            <v>210VZUNI</v>
          </cell>
          <cell r="C49" t="str">
            <v>Marcia Zu¤iga</v>
          </cell>
          <cell r="D49" t="str">
            <v>1711791614001</v>
          </cell>
          <cell r="E49" t="str">
            <v>85</v>
          </cell>
          <cell r="F49" t="str">
            <v>10/05/2004</v>
          </cell>
          <cell r="G49">
            <v>930</v>
          </cell>
          <cell r="H49">
            <v>111.6</v>
          </cell>
          <cell r="I49">
            <v>111.6</v>
          </cell>
          <cell r="J49" t="str">
            <v>MISO004240</v>
          </cell>
          <cell r="K49" t="str">
            <v>VH1</v>
          </cell>
          <cell r="L49" t="str">
            <v>HONORARIO</v>
          </cell>
          <cell r="M49" t="str">
            <v>0001402004</v>
          </cell>
          <cell r="N49">
            <v>1</v>
          </cell>
        </row>
        <row r="50">
          <cell r="A50" t="str">
            <v>HONORARIOS NESTOR</v>
          </cell>
          <cell r="B50" t="str">
            <v>210VROMR</v>
          </cell>
          <cell r="C50" t="str">
            <v>NESTOR ROMERO</v>
          </cell>
          <cell r="D50" t="str">
            <v>1710265339001</v>
          </cell>
          <cell r="E50" t="str">
            <v>9490</v>
          </cell>
          <cell r="F50" t="str">
            <v>28/05/2004</v>
          </cell>
          <cell r="G50">
            <v>10869.57</v>
          </cell>
          <cell r="H50">
            <v>1304.3483999999999</v>
          </cell>
          <cell r="I50">
            <v>1304.3499999999999</v>
          </cell>
          <cell r="J50" t="str">
            <v>HONORARIOS NESTOR</v>
          </cell>
          <cell r="K50" t="str">
            <v>VH1</v>
          </cell>
          <cell r="L50" t="str">
            <v>HONORARIO</v>
          </cell>
          <cell r="N50">
            <v>1</v>
          </cell>
        </row>
        <row r="51">
          <cell r="A51" t="str">
            <v>MISO003947</v>
          </cell>
          <cell r="B51" t="str">
            <v>210VCERP</v>
          </cell>
          <cell r="C51" t="str">
            <v>Polo Ceron</v>
          </cell>
          <cell r="D51" t="str">
            <v>0400704532001</v>
          </cell>
          <cell r="E51" t="str">
            <v>71</v>
          </cell>
          <cell r="F51" t="str">
            <v>30/04/2004</v>
          </cell>
          <cell r="G51">
            <v>930</v>
          </cell>
          <cell r="H51">
            <v>111.6</v>
          </cell>
          <cell r="I51">
            <v>111.6</v>
          </cell>
          <cell r="J51" t="str">
            <v>MISO003947</v>
          </cell>
          <cell r="K51" t="str">
            <v>VH1</v>
          </cell>
          <cell r="L51" t="str">
            <v>HONORARIO</v>
          </cell>
          <cell r="M51" t="str">
            <v>0001352004</v>
          </cell>
          <cell r="N51">
            <v>0</v>
          </cell>
        </row>
        <row r="52">
          <cell r="A52" t="str">
            <v>MISO004179</v>
          </cell>
          <cell r="B52" t="str">
            <v>210VCALD</v>
          </cell>
          <cell r="C52" t="str">
            <v>Richard Estrella Calderon</v>
          </cell>
          <cell r="D52" t="str">
            <v>1710219807001</v>
          </cell>
          <cell r="E52" t="str">
            <v>1168-69</v>
          </cell>
          <cell r="F52" t="str">
            <v>10/05/2004</v>
          </cell>
          <cell r="G52">
            <v>120</v>
          </cell>
          <cell r="H52">
            <v>14.4</v>
          </cell>
          <cell r="I52">
            <v>14.4</v>
          </cell>
          <cell r="J52" t="str">
            <v>MISO004179</v>
          </cell>
          <cell r="K52" t="str">
            <v>VH1</v>
          </cell>
          <cell r="L52" t="str">
            <v>HONORARIO</v>
          </cell>
          <cell r="M52" t="str">
            <v>0000010860</v>
          </cell>
          <cell r="N52">
            <v>1</v>
          </cell>
        </row>
        <row r="53">
          <cell r="A53" t="str">
            <v>MISO004178</v>
          </cell>
          <cell r="B53" t="str">
            <v>210VCALD</v>
          </cell>
          <cell r="C53" t="str">
            <v>Richard Estrella Calderon</v>
          </cell>
          <cell r="D53" t="str">
            <v>1710219807001</v>
          </cell>
          <cell r="E53" t="str">
            <v>1170-71</v>
          </cell>
          <cell r="F53" t="str">
            <v>10/05/2004</v>
          </cell>
          <cell r="G53">
            <v>120</v>
          </cell>
          <cell r="H53">
            <v>14.4</v>
          </cell>
          <cell r="I53">
            <v>14.4</v>
          </cell>
          <cell r="J53" t="str">
            <v>MISO004178</v>
          </cell>
          <cell r="K53" t="str">
            <v>VH1</v>
          </cell>
          <cell r="L53" t="str">
            <v>HONORARIO</v>
          </cell>
          <cell r="M53" t="str">
            <v>0000010860</v>
          </cell>
          <cell r="N53">
            <v>1</v>
          </cell>
        </row>
        <row r="54">
          <cell r="A54" t="str">
            <v>MISO004176</v>
          </cell>
          <cell r="B54" t="str">
            <v>210VCALD</v>
          </cell>
          <cell r="C54" t="str">
            <v>Richard Estrella Calderon</v>
          </cell>
          <cell r="D54" t="str">
            <v>1710219807001</v>
          </cell>
          <cell r="E54" t="str">
            <v>1172-73</v>
          </cell>
          <cell r="F54" t="str">
            <v>10/05/2004</v>
          </cell>
          <cell r="G54">
            <v>120</v>
          </cell>
          <cell r="H54">
            <v>14.4</v>
          </cell>
          <cell r="I54">
            <v>14.4</v>
          </cell>
          <cell r="J54" t="str">
            <v>MISO004176</v>
          </cell>
          <cell r="K54" t="str">
            <v>VH1</v>
          </cell>
          <cell r="L54" t="str">
            <v>HONORARIO</v>
          </cell>
          <cell r="M54" t="str">
            <v>0000010860</v>
          </cell>
          <cell r="N54">
            <v>1</v>
          </cell>
        </row>
        <row r="55">
          <cell r="A55" t="str">
            <v>MISO004175</v>
          </cell>
          <cell r="B55" t="str">
            <v>210VCALD</v>
          </cell>
          <cell r="C55" t="str">
            <v>Richard Estrella Calderon</v>
          </cell>
          <cell r="D55" t="str">
            <v>1710219807001</v>
          </cell>
          <cell r="E55" t="str">
            <v>1164-65</v>
          </cell>
          <cell r="F55" t="str">
            <v>10/05/2004</v>
          </cell>
          <cell r="G55">
            <v>120</v>
          </cell>
          <cell r="H55">
            <v>14.4</v>
          </cell>
          <cell r="I55">
            <v>14.4</v>
          </cell>
          <cell r="J55" t="str">
            <v>MISO004175</v>
          </cell>
          <cell r="K55" t="str">
            <v>VH1</v>
          </cell>
          <cell r="L55" t="str">
            <v>HONORARIO</v>
          </cell>
          <cell r="M55" t="str">
            <v>0000010860</v>
          </cell>
          <cell r="N55">
            <v>1</v>
          </cell>
        </row>
        <row r="56">
          <cell r="A56" t="str">
            <v>MISO004177</v>
          </cell>
          <cell r="B56" t="str">
            <v>210VCALD</v>
          </cell>
          <cell r="C56" t="str">
            <v>Richard Estrella Calderon</v>
          </cell>
          <cell r="D56" t="str">
            <v>1710219807001</v>
          </cell>
          <cell r="E56" t="str">
            <v>1166-67</v>
          </cell>
          <cell r="F56" t="str">
            <v>10/05/2004</v>
          </cell>
          <cell r="G56">
            <v>120</v>
          </cell>
          <cell r="H56">
            <v>14.4</v>
          </cell>
          <cell r="I56">
            <v>14.4</v>
          </cell>
          <cell r="J56" t="str">
            <v>MISO004177</v>
          </cell>
          <cell r="K56" t="str">
            <v>VH1</v>
          </cell>
          <cell r="L56" t="str">
            <v>HONORARIO</v>
          </cell>
          <cell r="M56" t="str">
            <v>0000010860</v>
          </cell>
          <cell r="N56">
            <v>1</v>
          </cell>
        </row>
        <row r="57">
          <cell r="A57" t="str">
            <v>MISO004140</v>
          </cell>
          <cell r="B57" t="str">
            <v>210VCALD</v>
          </cell>
          <cell r="C57" t="str">
            <v>Richard Estrella Calderon</v>
          </cell>
          <cell r="D57" t="str">
            <v>1710219807001</v>
          </cell>
          <cell r="E57" t="str">
            <v>1176</v>
          </cell>
          <cell r="F57" t="str">
            <v>10/05/2004</v>
          </cell>
          <cell r="G57">
            <v>40</v>
          </cell>
          <cell r="H57">
            <v>4.8</v>
          </cell>
          <cell r="I57">
            <v>4.8</v>
          </cell>
          <cell r="J57" t="str">
            <v>MISO004140</v>
          </cell>
          <cell r="K57" t="str">
            <v>VH1</v>
          </cell>
          <cell r="L57" t="str">
            <v>HONORARIO</v>
          </cell>
          <cell r="M57" t="str">
            <v>0000010860</v>
          </cell>
          <cell r="N57">
            <v>1</v>
          </cell>
        </row>
        <row r="58">
          <cell r="A58" t="str">
            <v>MISO004180</v>
          </cell>
          <cell r="B58" t="str">
            <v>210VCALD</v>
          </cell>
          <cell r="C58" t="str">
            <v>Richard Estrella Calderon</v>
          </cell>
          <cell r="D58" t="str">
            <v>1710219807001</v>
          </cell>
          <cell r="E58" t="str">
            <v>1161</v>
          </cell>
          <cell r="F58" t="str">
            <v>10/05/2004</v>
          </cell>
          <cell r="G58">
            <v>60</v>
          </cell>
          <cell r="H58">
            <v>7.2</v>
          </cell>
          <cell r="I58">
            <v>7.2</v>
          </cell>
          <cell r="J58" t="str">
            <v>MISO004180</v>
          </cell>
          <cell r="K58" t="str">
            <v>VH1</v>
          </cell>
          <cell r="L58" t="str">
            <v>HONORARIO</v>
          </cell>
          <cell r="M58" t="str">
            <v>0000010860</v>
          </cell>
          <cell r="N58">
            <v>1</v>
          </cell>
        </row>
        <row r="59">
          <cell r="A59" t="str">
            <v>MISO004157</v>
          </cell>
          <cell r="B59" t="str">
            <v>210VCALD</v>
          </cell>
          <cell r="C59" t="str">
            <v>Richard Estrella Calderon</v>
          </cell>
          <cell r="D59" t="str">
            <v>1710219807001</v>
          </cell>
          <cell r="E59" t="str">
            <v>1175</v>
          </cell>
          <cell r="F59" t="str">
            <v>10/05/2004</v>
          </cell>
          <cell r="G59">
            <v>40</v>
          </cell>
          <cell r="H59">
            <v>4.8</v>
          </cell>
          <cell r="I59">
            <v>4.8</v>
          </cell>
          <cell r="J59" t="str">
            <v>MISO004157</v>
          </cell>
          <cell r="K59" t="str">
            <v>VH1</v>
          </cell>
          <cell r="L59" t="str">
            <v>HONORARIO</v>
          </cell>
          <cell r="M59" t="str">
            <v>0000010860</v>
          </cell>
          <cell r="N59">
            <v>1</v>
          </cell>
        </row>
        <row r="60">
          <cell r="A60" t="str">
            <v>MISO004172</v>
          </cell>
          <cell r="B60" t="str">
            <v>210VCALD</v>
          </cell>
          <cell r="C60" t="str">
            <v>Richard Estrella Calderon</v>
          </cell>
          <cell r="D60" t="str">
            <v>1710219807001</v>
          </cell>
          <cell r="E60" t="str">
            <v>1174</v>
          </cell>
          <cell r="F60" t="str">
            <v>10/05/2004</v>
          </cell>
          <cell r="G60">
            <v>740</v>
          </cell>
          <cell r="H60">
            <v>88.8</v>
          </cell>
          <cell r="I60">
            <v>88.8</v>
          </cell>
          <cell r="J60" t="str">
            <v>MISO004172</v>
          </cell>
          <cell r="K60" t="str">
            <v>VH1</v>
          </cell>
          <cell r="L60" t="str">
            <v>HONORARIO</v>
          </cell>
          <cell r="M60" t="str">
            <v>0000010860</v>
          </cell>
          <cell r="N60">
            <v>1</v>
          </cell>
        </row>
        <row r="61">
          <cell r="A61" t="str">
            <v>MISO004011</v>
          </cell>
          <cell r="B61" t="str">
            <v>210VCALD</v>
          </cell>
          <cell r="C61" t="str">
            <v>Richard Estrella Calderon</v>
          </cell>
          <cell r="D61" t="str">
            <v>1710219807001</v>
          </cell>
          <cell r="E61" t="str">
            <v>1162</v>
          </cell>
          <cell r="F61" t="str">
            <v>10/05/2004</v>
          </cell>
          <cell r="G61">
            <v>160</v>
          </cell>
          <cell r="H61">
            <v>19.2</v>
          </cell>
          <cell r="I61">
            <v>19.2</v>
          </cell>
          <cell r="J61" t="str">
            <v>MISO004011</v>
          </cell>
          <cell r="K61" t="str">
            <v>VH1</v>
          </cell>
          <cell r="L61" t="str">
            <v>HONORARIO</v>
          </cell>
          <cell r="M61" t="str">
            <v>0000010860</v>
          </cell>
          <cell r="N61">
            <v>1</v>
          </cell>
        </row>
        <row r="62">
          <cell r="A62" t="str">
            <v>MISO004303</v>
          </cell>
          <cell r="B62" t="str">
            <v>210VCALD</v>
          </cell>
          <cell r="C62" t="str">
            <v>Richard Estrella Calderon</v>
          </cell>
          <cell r="D62" t="str">
            <v>1710219807001</v>
          </cell>
          <cell r="E62" t="str">
            <v>1188-89</v>
          </cell>
          <cell r="F62" t="str">
            <v>25/05/2004</v>
          </cell>
          <cell r="G62">
            <v>680</v>
          </cell>
          <cell r="H62">
            <v>81.599999999999994</v>
          </cell>
          <cell r="I62">
            <v>81.599999999999994</v>
          </cell>
          <cell r="J62" t="str">
            <v>MISO004303</v>
          </cell>
          <cell r="K62" t="str">
            <v>VH1</v>
          </cell>
          <cell r="L62" t="str">
            <v>HONORARIO</v>
          </cell>
          <cell r="N62">
            <v>1</v>
          </cell>
        </row>
        <row r="63">
          <cell r="A63" t="str">
            <v>MISO004302</v>
          </cell>
          <cell r="B63" t="str">
            <v>210VCALD</v>
          </cell>
          <cell r="C63" t="str">
            <v>Richard Estrella Calderon</v>
          </cell>
          <cell r="D63" t="str">
            <v>1710219807001</v>
          </cell>
          <cell r="E63" t="str">
            <v>1186-87</v>
          </cell>
          <cell r="F63" t="str">
            <v>25/05/2004</v>
          </cell>
          <cell r="G63">
            <v>680</v>
          </cell>
          <cell r="H63">
            <v>81.599999999999994</v>
          </cell>
          <cell r="I63">
            <v>81.599999999999994</v>
          </cell>
          <cell r="J63" t="str">
            <v>MISO004302</v>
          </cell>
          <cell r="K63" t="str">
            <v>VH1</v>
          </cell>
          <cell r="L63" t="str">
            <v>HONORARIO</v>
          </cell>
          <cell r="N63">
            <v>1</v>
          </cell>
        </row>
        <row r="64">
          <cell r="A64" t="str">
            <v>MISO004323</v>
          </cell>
          <cell r="B64" t="str">
            <v>210VCALD</v>
          </cell>
          <cell r="C64" t="str">
            <v>Richard Estrella Calderon</v>
          </cell>
          <cell r="D64" t="str">
            <v>1710219807001</v>
          </cell>
          <cell r="E64" t="str">
            <v>1196-97</v>
          </cell>
          <cell r="F64" t="str">
            <v>25/05/2004</v>
          </cell>
          <cell r="G64">
            <v>120</v>
          </cell>
          <cell r="H64">
            <v>14.399999999999999</v>
          </cell>
          <cell r="I64">
            <v>14.4</v>
          </cell>
          <cell r="J64" t="str">
            <v>MISO004323</v>
          </cell>
          <cell r="K64" t="str">
            <v>VH1</v>
          </cell>
          <cell r="L64" t="str">
            <v>HONORARIO</v>
          </cell>
          <cell r="N64">
            <v>1</v>
          </cell>
        </row>
        <row r="65">
          <cell r="A65" t="str">
            <v>MISO004325</v>
          </cell>
          <cell r="B65" t="str">
            <v>210VCALD</v>
          </cell>
          <cell r="C65" t="str">
            <v>Richard Estrella Calderon</v>
          </cell>
          <cell r="D65" t="str">
            <v>1710219807001</v>
          </cell>
          <cell r="E65" t="str">
            <v>1190-91</v>
          </cell>
          <cell r="F65" t="str">
            <v>25/05/2004</v>
          </cell>
          <cell r="G65">
            <v>120</v>
          </cell>
          <cell r="H65">
            <v>14.399999999999999</v>
          </cell>
          <cell r="I65">
            <v>14.4</v>
          </cell>
          <cell r="J65" t="str">
            <v>MISO004325</v>
          </cell>
          <cell r="K65" t="str">
            <v>VH1</v>
          </cell>
          <cell r="L65" t="str">
            <v>HONORARIO</v>
          </cell>
          <cell r="N65">
            <v>1</v>
          </cell>
        </row>
        <row r="66">
          <cell r="A66" t="str">
            <v>MISO004326</v>
          </cell>
          <cell r="B66" t="str">
            <v>210VCALD</v>
          </cell>
          <cell r="C66" t="str">
            <v>Richard Estrella Calderon</v>
          </cell>
          <cell r="D66" t="str">
            <v>1710219807001</v>
          </cell>
          <cell r="E66" t="str">
            <v>1192-93</v>
          </cell>
          <cell r="F66" t="str">
            <v>25/05/2004</v>
          </cell>
          <cell r="G66">
            <v>120</v>
          </cell>
          <cell r="H66">
            <v>14.399999999999999</v>
          </cell>
          <cell r="I66">
            <v>14.4</v>
          </cell>
          <cell r="J66" t="str">
            <v>MISO004326</v>
          </cell>
          <cell r="K66" t="str">
            <v>VH1</v>
          </cell>
          <cell r="L66" t="str">
            <v>HONORARIO</v>
          </cell>
          <cell r="N66">
            <v>1</v>
          </cell>
        </row>
        <row r="67">
          <cell r="A67" t="str">
            <v>MISO004324</v>
          </cell>
          <cell r="B67" t="str">
            <v>210VCALD</v>
          </cell>
          <cell r="C67" t="str">
            <v>Richard Estrella Calderon</v>
          </cell>
          <cell r="D67" t="str">
            <v>1710219807001</v>
          </cell>
          <cell r="E67" t="str">
            <v>1194-95</v>
          </cell>
          <cell r="F67" t="str">
            <v>25/05/2004</v>
          </cell>
          <cell r="G67">
            <v>120</v>
          </cell>
          <cell r="H67">
            <v>14.399999999999999</v>
          </cell>
          <cell r="I67">
            <v>14.4</v>
          </cell>
          <cell r="J67" t="str">
            <v>MISO004324</v>
          </cell>
          <cell r="K67" t="str">
            <v>VH1</v>
          </cell>
          <cell r="L67" t="str">
            <v>HONORARIO</v>
          </cell>
          <cell r="N67">
            <v>1</v>
          </cell>
        </row>
        <row r="68">
          <cell r="A68" t="str">
            <v>MISO004154</v>
          </cell>
          <cell r="B68" t="str">
            <v>210VSAMA</v>
          </cell>
          <cell r="C68" t="str">
            <v>SANTACRUZ MARGARITA</v>
          </cell>
          <cell r="D68" t="str">
            <v>1711005932001</v>
          </cell>
          <cell r="E68" t="str">
            <v>378</v>
          </cell>
          <cell r="F68" t="str">
            <v>07/05/2004</v>
          </cell>
          <cell r="G68">
            <v>540</v>
          </cell>
          <cell r="H68">
            <v>64.8</v>
          </cell>
          <cell r="I68">
            <v>64.8</v>
          </cell>
          <cell r="J68" t="str">
            <v>MISO004154</v>
          </cell>
          <cell r="K68" t="str">
            <v>VH1</v>
          </cell>
          <cell r="L68" t="str">
            <v>HONORARIO</v>
          </cell>
          <cell r="M68" t="str">
            <v>0001402004</v>
          </cell>
          <cell r="N68">
            <v>1</v>
          </cell>
        </row>
        <row r="69">
          <cell r="A69" t="str">
            <v>MISO004236</v>
          </cell>
          <cell r="B69" t="str">
            <v>210VSAMA</v>
          </cell>
          <cell r="C69" t="str">
            <v>SANTACRUZ MARGARITA</v>
          </cell>
          <cell r="D69" t="str">
            <v>1711005932001</v>
          </cell>
          <cell r="E69" t="str">
            <v>378</v>
          </cell>
          <cell r="F69" t="str">
            <v>07/05/2004</v>
          </cell>
          <cell r="G69">
            <v>390</v>
          </cell>
          <cell r="H69">
            <v>46.8</v>
          </cell>
          <cell r="I69">
            <v>46.8</v>
          </cell>
          <cell r="J69" t="str">
            <v>MISO004236</v>
          </cell>
          <cell r="K69" t="str">
            <v>VH1</v>
          </cell>
          <cell r="L69" t="str">
            <v>HONORARIO</v>
          </cell>
          <cell r="M69" t="str">
            <v>0001402004</v>
          </cell>
          <cell r="N69">
            <v>1</v>
          </cell>
        </row>
        <row r="70">
          <cell r="A70" t="str">
            <v>MISO004162</v>
          </cell>
          <cell r="B70" t="str">
            <v>210VSECA</v>
          </cell>
          <cell r="C70" t="str">
            <v>SERRATO CARLOS</v>
          </cell>
          <cell r="D70" t="str">
            <v>1791890817001</v>
          </cell>
          <cell r="E70" t="str">
            <v>7</v>
          </cell>
          <cell r="F70" t="str">
            <v>17/05/2004</v>
          </cell>
          <cell r="G70">
            <v>2399.92</v>
          </cell>
          <cell r="H70">
            <v>287.99040000000002</v>
          </cell>
          <cell r="I70">
            <v>287.99</v>
          </cell>
          <cell r="J70" t="str">
            <v>MISO004162</v>
          </cell>
          <cell r="K70" t="str">
            <v>VH1</v>
          </cell>
          <cell r="L70" t="str">
            <v>HONORARIO</v>
          </cell>
          <cell r="M70" t="str">
            <v>0001412004</v>
          </cell>
          <cell r="N70">
            <v>9</v>
          </cell>
        </row>
        <row r="71">
          <cell r="A71" t="str">
            <v>MISO004292</v>
          </cell>
          <cell r="B71" t="str">
            <v>210VSECA</v>
          </cell>
          <cell r="C71" t="str">
            <v>SERRATO CARLOS</v>
          </cell>
          <cell r="D71" t="str">
            <v>1791890817001</v>
          </cell>
          <cell r="E71" t="str">
            <v>7</v>
          </cell>
          <cell r="F71" t="str">
            <v>17/05/2004</v>
          </cell>
          <cell r="G71">
            <v>2199.92</v>
          </cell>
          <cell r="H71">
            <v>263.99040000000002</v>
          </cell>
          <cell r="I71">
            <v>263.99</v>
          </cell>
          <cell r="J71" t="str">
            <v>MISO004292</v>
          </cell>
          <cell r="K71" t="str">
            <v>VH1</v>
          </cell>
          <cell r="L71" t="str">
            <v>HONORARIO</v>
          </cell>
          <cell r="M71" t="str">
            <v>0001412004</v>
          </cell>
          <cell r="N71">
            <v>9</v>
          </cell>
        </row>
        <row r="72">
          <cell r="A72" t="str">
            <v>MIIV003039</v>
          </cell>
          <cell r="B72" t="str">
            <v>210VSECA</v>
          </cell>
          <cell r="C72" t="str">
            <v>SERRATO CARLOS</v>
          </cell>
          <cell r="D72" t="str">
            <v>1791890817001</v>
          </cell>
          <cell r="E72" t="str">
            <v>5</v>
          </cell>
          <cell r="F72" t="str">
            <v>17/05/2004</v>
          </cell>
          <cell r="G72">
            <v>535.66999999999996</v>
          </cell>
          <cell r="H72">
            <v>64.280399999999986</v>
          </cell>
          <cell r="I72">
            <v>64.28</v>
          </cell>
          <cell r="J72" t="str">
            <v>MIIV003039</v>
          </cell>
          <cell r="K72" t="str">
            <v>VH1</v>
          </cell>
          <cell r="L72" t="str">
            <v>HONORARIO</v>
          </cell>
          <cell r="M72" t="str">
            <v>0001412004</v>
          </cell>
          <cell r="N72">
            <v>9</v>
          </cell>
        </row>
        <row r="73">
          <cell r="A73" t="str">
            <v>MISO004356</v>
          </cell>
          <cell r="B73" t="str">
            <v>210VSVTC</v>
          </cell>
          <cell r="C73" t="str">
            <v>SERVITECNICOMPANY</v>
          </cell>
          <cell r="D73" t="str">
            <v>0992300930001</v>
          </cell>
          <cell r="E73" t="str">
            <v>12</v>
          </cell>
          <cell r="F73" t="str">
            <v>17/05/2004</v>
          </cell>
          <cell r="G73">
            <v>5511</v>
          </cell>
          <cell r="H73">
            <v>661.31999999999994</v>
          </cell>
          <cell r="I73">
            <v>661.32</v>
          </cell>
          <cell r="J73" t="str">
            <v>MISO004356</v>
          </cell>
          <cell r="K73" t="str">
            <v>VH1</v>
          </cell>
          <cell r="L73" t="str">
            <v>HONORARIO</v>
          </cell>
          <cell r="M73" t="str">
            <v>0001442004</v>
          </cell>
          <cell r="N73">
            <v>9</v>
          </cell>
        </row>
        <row r="74">
          <cell r="A74" t="str">
            <v>MISO004149</v>
          </cell>
          <cell r="B74" t="str">
            <v>210VSVTC</v>
          </cell>
          <cell r="C74" t="str">
            <v>SERVITECNICOMPANY</v>
          </cell>
          <cell r="D74" t="str">
            <v>0992300930001</v>
          </cell>
          <cell r="E74" t="str">
            <v>12</v>
          </cell>
          <cell r="F74" t="str">
            <v>17/05/2004</v>
          </cell>
          <cell r="G74">
            <v>5344</v>
          </cell>
          <cell r="H74">
            <v>641.28</v>
          </cell>
          <cell r="I74">
            <v>641.28</v>
          </cell>
          <cell r="J74" t="str">
            <v>MISO004149</v>
          </cell>
          <cell r="K74" t="str">
            <v>VH1</v>
          </cell>
          <cell r="L74" t="str">
            <v>HONORARIO</v>
          </cell>
          <cell r="M74" t="str">
            <v>0001442004</v>
          </cell>
          <cell r="N74">
            <v>9</v>
          </cell>
        </row>
        <row r="75">
          <cell r="A75" t="str">
            <v>MISO004357</v>
          </cell>
          <cell r="B75" t="str">
            <v>210VSAEN</v>
          </cell>
          <cell r="C75" t="str">
            <v>Victor Saenz</v>
          </cell>
          <cell r="D75" t="str">
            <v>1702519552001</v>
          </cell>
          <cell r="E75" t="str">
            <v>60</v>
          </cell>
          <cell r="F75" t="str">
            <v>25/05/2004</v>
          </cell>
          <cell r="G75">
            <v>2200</v>
          </cell>
          <cell r="H75">
            <v>264</v>
          </cell>
          <cell r="I75">
            <v>264</v>
          </cell>
          <cell r="J75" t="str">
            <v>MISO004357</v>
          </cell>
          <cell r="K75" t="str">
            <v>VH1</v>
          </cell>
          <cell r="L75" t="str">
            <v>HONORARIO</v>
          </cell>
          <cell r="M75" t="str">
            <v>0000010789</v>
          </cell>
          <cell r="N75">
            <v>0</v>
          </cell>
        </row>
        <row r="76">
          <cell r="A76" t="str">
            <v>HONORARIO VICK MAYO-04</v>
          </cell>
          <cell r="B76" t="str">
            <v>210VBATH</v>
          </cell>
          <cell r="C76" t="str">
            <v>Vikram Bath</v>
          </cell>
          <cell r="D76" t="str">
            <v>1791788087001</v>
          </cell>
          <cell r="E76" t="str">
            <v>9473</v>
          </cell>
          <cell r="F76" t="str">
            <v>20/05/2004</v>
          </cell>
          <cell r="G76">
            <v>9891.32</v>
          </cell>
          <cell r="H76">
            <v>1186.9584</v>
          </cell>
          <cell r="I76">
            <v>1186.96</v>
          </cell>
          <cell r="J76" t="str">
            <v>HONORARIO VICK MAYO-04</v>
          </cell>
          <cell r="K76" t="str">
            <v>VH1</v>
          </cell>
          <cell r="L76" t="str">
            <v>HONORARIO</v>
          </cell>
          <cell r="N76">
            <v>9</v>
          </cell>
        </row>
        <row r="77">
          <cell r="G77">
            <v>139286.43400000001</v>
          </cell>
          <cell r="H77">
            <v>16714.379279999997</v>
          </cell>
          <cell r="I77">
            <v>16714.379999999997</v>
          </cell>
        </row>
        <row r="78">
          <cell r="A78" t="str">
            <v>MIPC001217</v>
          </cell>
          <cell r="B78" t="str">
            <v>210VABAR</v>
          </cell>
          <cell r="C78" t="str">
            <v>Abarrotes Su Despensa</v>
          </cell>
          <cell r="D78" t="str">
            <v>0101110047001</v>
          </cell>
          <cell r="E78" t="str">
            <v>14866</v>
          </cell>
          <cell r="F78" t="str">
            <v>17/05/2004</v>
          </cell>
          <cell r="G78">
            <v>64.319999999999993</v>
          </cell>
          <cell r="H78">
            <v>7.7149999999999999</v>
          </cell>
          <cell r="I78">
            <v>2.3199999999999998</v>
          </cell>
          <cell r="J78" t="str">
            <v>MIPC001217</v>
          </cell>
          <cell r="K78" t="str">
            <v>VC3</v>
          </cell>
          <cell r="L78" t="str">
            <v>P. NATURAL</v>
          </cell>
          <cell r="M78" t="str">
            <v>0000010857</v>
          </cell>
          <cell r="N78">
            <v>0</v>
          </cell>
        </row>
        <row r="79">
          <cell r="A79" t="str">
            <v>MIPC001259</v>
          </cell>
          <cell r="B79" t="str">
            <v>210VABAR</v>
          </cell>
          <cell r="C79" t="str">
            <v>Abarrotes Su Despensa</v>
          </cell>
          <cell r="D79" t="str">
            <v>0101110047001</v>
          </cell>
          <cell r="E79" t="str">
            <v>14868</v>
          </cell>
          <cell r="F79" t="str">
            <v>17/05/2004</v>
          </cell>
          <cell r="G79">
            <v>36.380000000000003</v>
          </cell>
          <cell r="H79">
            <v>4.3650000000000002</v>
          </cell>
          <cell r="I79">
            <v>1.31</v>
          </cell>
          <cell r="J79" t="str">
            <v>MIPC001259</v>
          </cell>
          <cell r="K79" t="str">
            <v>VC3</v>
          </cell>
          <cell r="L79" t="str">
            <v>P. NATURAL</v>
          </cell>
          <cell r="N79">
            <v>0</v>
          </cell>
        </row>
        <row r="80">
          <cell r="A80" t="str">
            <v>MIPC001235</v>
          </cell>
          <cell r="B80">
            <v>8</v>
          </cell>
          <cell r="C80" t="str">
            <v>Aga S. A.</v>
          </cell>
          <cell r="D80" t="str">
            <v>0990021007001</v>
          </cell>
          <cell r="E80" t="str">
            <v>11780</v>
          </cell>
          <cell r="G80">
            <v>465.33</v>
          </cell>
          <cell r="H80">
            <v>55.839599999999997</v>
          </cell>
          <cell r="J80" t="str">
            <v>MIPC001235</v>
          </cell>
          <cell r="K80" t="str">
            <v>RC1</v>
          </cell>
          <cell r="L80" t="str">
            <v>SOCIEDAD</v>
          </cell>
          <cell r="M80" t="str">
            <v>0000010796</v>
          </cell>
          <cell r="N80">
            <v>9</v>
          </cell>
          <cell r="Q80" t="str">
            <v>VAGA</v>
          </cell>
        </row>
        <row r="81">
          <cell r="A81" t="str">
            <v>MIPC001239</v>
          </cell>
          <cell r="B81" t="str">
            <v>210VAGA</v>
          </cell>
          <cell r="C81" t="str">
            <v>Aga S. A.</v>
          </cell>
          <cell r="D81" t="str">
            <v>0990021007001</v>
          </cell>
          <cell r="E81" t="str">
            <v>11993</v>
          </cell>
          <cell r="G81">
            <v>129.83000000000001</v>
          </cell>
          <cell r="H81">
            <v>15.579600000000001</v>
          </cell>
          <cell r="J81" t="str">
            <v>MIPC001239</v>
          </cell>
          <cell r="K81" t="str">
            <v>RC1</v>
          </cell>
          <cell r="L81" t="str">
            <v>SOCIEDAD</v>
          </cell>
          <cell r="N81">
            <v>9</v>
          </cell>
          <cell r="Q81" t="str">
            <v>VAGA</v>
          </cell>
        </row>
        <row r="82">
          <cell r="A82" t="str">
            <v>MIPC001268</v>
          </cell>
          <cell r="B82" t="str">
            <v>210VAGA</v>
          </cell>
          <cell r="C82" t="str">
            <v>Aga S. A.</v>
          </cell>
          <cell r="D82" t="str">
            <v>0990021007001</v>
          </cell>
          <cell r="E82" t="str">
            <v>11994</v>
          </cell>
          <cell r="G82">
            <v>642.58000000000004</v>
          </cell>
          <cell r="H82">
            <v>77.1096</v>
          </cell>
          <cell r="J82" t="str">
            <v>MIPC001268</v>
          </cell>
          <cell r="K82" t="str">
            <v>RC1</v>
          </cell>
          <cell r="L82" t="str">
            <v>SOCIEDAD</v>
          </cell>
          <cell r="N82">
            <v>9</v>
          </cell>
          <cell r="Q82" t="str">
            <v>VAGA</v>
          </cell>
        </row>
        <row r="83">
          <cell r="A83" t="str">
            <v>MIPC001274</v>
          </cell>
          <cell r="B83" t="str">
            <v>210VAGA</v>
          </cell>
          <cell r="C83" t="str">
            <v>Aga S. A.</v>
          </cell>
          <cell r="D83" t="str">
            <v>0990021007001</v>
          </cell>
          <cell r="E83" t="str">
            <v>11995</v>
          </cell>
          <cell r="G83">
            <v>60.67</v>
          </cell>
          <cell r="H83">
            <v>7.2804000000000002</v>
          </cell>
          <cell r="J83" t="str">
            <v>MIPC001274</v>
          </cell>
          <cell r="K83" t="str">
            <v>RC1</v>
          </cell>
          <cell r="L83" t="str">
            <v>SOCIEDAD</v>
          </cell>
          <cell r="N83">
            <v>9</v>
          </cell>
          <cell r="Q83" t="str">
            <v>VAGA</v>
          </cell>
        </row>
        <row r="84">
          <cell r="A84" t="str">
            <v>MIPO002874</v>
          </cell>
          <cell r="B84" t="str">
            <v>210VAXIO</v>
          </cell>
          <cell r="C84" t="str">
            <v>AXIOMA</v>
          </cell>
          <cell r="D84" t="str">
            <v>1791770412001</v>
          </cell>
          <cell r="E84" t="str">
            <v>1283</v>
          </cell>
          <cell r="F84" t="str">
            <v>10/05/2004</v>
          </cell>
          <cell r="G84">
            <v>1010.5</v>
          </cell>
          <cell r="H84">
            <v>121.26</v>
          </cell>
          <cell r="I84">
            <v>36.380000000000003</v>
          </cell>
          <cell r="J84" t="str">
            <v>MIPO002874</v>
          </cell>
          <cell r="K84" t="str">
            <v>VC3</v>
          </cell>
          <cell r="L84" t="str">
            <v>SOCIEDAD</v>
          </cell>
          <cell r="N84">
            <v>9</v>
          </cell>
        </row>
        <row r="85">
          <cell r="A85" t="str">
            <v>MIPO002878</v>
          </cell>
          <cell r="B85" t="str">
            <v>210VAXIO</v>
          </cell>
          <cell r="C85" t="str">
            <v>AXIOMA</v>
          </cell>
          <cell r="D85" t="str">
            <v>1791770412001</v>
          </cell>
          <cell r="E85" t="str">
            <v>1283</v>
          </cell>
          <cell r="F85" t="str">
            <v>10/05/2004</v>
          </cell>
          <cell r="G85">
            <v>346.5</v>
          </cell>
          <cell r="H85">
            <v>41.58</v>
          </cell>
          <cell r="I85">
            <v>12.47</v>
          </cell>
          <cell r="J85" t="str">
            <v>MIPO002878</v>
          </cell>
          <cell r="K85" t="str">
            <v>VC3</v>
          </cell>
          <cell r="L85" t="str">
            <v>SOCIEDAD</v>
          </cell>
          <cell r="N85">
            <v>9</v>
          </cell>
        </row>
        <row r="86">
          <cell r="A86" t="str">
            <v>MIPO002781</v>
          </cell>
          <cell r="B86" t="str">
            <v>210VBENB</v>
          </cell>
          <cell r="C86" t="str">
            <v>Benbarec S.A.</v>
          </cell>
          <cell r="D86" t="str">
            <v>1791738934001</v>
          </cell>
          <cell r="E86" t="str">
            <v>467</v>
          </cell>
          <cell r="F86" t="str">
            <v>10/05/2004</v>
          </cell>
          <cell r="G86">
            <v>43092</v>
          </cell>
          <cell r="H86">
            <v>5171.04</v>
          </cell>
          <cell r="I86">
            <v>1551.31</v>
          </cell>
          <cell r="J86" t="str">
            <v>MIPO002781</v>
          </cell>
          <cell r="K86" t="str">
            <v>VC3</v>
          </cell>
          <cell r="L86" t="str">
            <v>SOCIEDAD</v>
          </cell>
          <cell r="N86">
            <v>9</v>
          </cell>
        </row>
        <row r="87">
          <cell r="A87" t="str">
            <v>MIPO002869</v>
          </cell>
          <cell r="B87" t="str">
            <v>210VBENB</v>
          </cell>
          <cell r="C87" t="str">
            <v>Benbarec S.A.</v>
          </cell>
          <cell r="D87" t="str">
            <v>1791738934001</v>
          </cell>
          <cell r="E87" t="str">
            <v>469</v>
          </cell>
          <cell r="F87" t="str">
            <v>17/05/2004</v>
          </cell>
          <cell r="G87">
            <v>2538</v>
          </cell>
          <cell r="H87">
            <v>304.56</v>
          </cell>
          <cell r="I87">
            <v>91.37</v>
          </cell>
          <cell r="J87" t="str">
            <v>MIPO002869</v>
          </cell>
          <cell r="K87" t="str">
            <v>VC3</v>
          </cell>
          <cell r="L87" t="str">
            <v>SOCIEDAD</v>
          </cell>
          <cell r="N87">
            <v>9</v>
          </cell>
        </row>
        <row r="88">
          <cell r="A88" t="str">
            <v>MIPO002726</v>
          </cell>
          <cell r="B88" t="str">
            <v>210VBENB</v>
          </cell>
          <cell r="C88" t="str">
            <v>Benbarec S.A.</v>
          </cell>
          <cell r="D88" t="str">
            <v>1791738934001</v>
          </cell>
          <cell r="E88" t="str">
            <v>470</v>
          </cell>
          <cell r="F88" t="str">
            <v>17/05/2004</v>
          </cell>
          <cell r="G88">
            <v>39345</v>
          </cell>
          <cell r="H88">
            <v>4721.3999999999996</v>
          </cell>
          <cell r="I88">
            <v>1416.42</v>
          </cell>
          <cell r="J88" t="str">
            <v>MIPO002726</v>
          </cell>
          <cell r="K88" t="str">
            <v>VC3</v>
          </cell>
          <cell r="L88" t="str">
            <v>SOCIEDAD</v>
          </cell>
          <cell r="N88">
            <v>9</v>
          </cell>
        </row>
        <row r="89">
          <cell r="A89" t="str">
            <v>MIPO002889</v>
          </cell>
          <cell r="B89" t="str">
            <v>210VBENB</v>
          </cell>
          <cell r="C89" t="str">
            <v>Benbarec S.A.</v>
          </cell>
          <cell r="D89" t="str">
            <v>1791738934001</v>
          </cell>
          <cell r="E89" t="str">
            <v>472</v>
          </cell>
          <cell r="F89" t="str">
            <v>25/05/2004</v>
          </cell>
          <cell r="G89">
            <v>43092</v>
          </cell>
          <cell r="H89">
            <v>5171.04</v>
          </cell>
          <cell r="I89">
            <v>1551.31</v>
          </cell>
          <cell r="J89" t="str">
            <v>MIPO002889</v>
          </cell>
          <cell r="K89" t="str">
            <v>VC3</v>
          </cell>
          <cell r="L89" t="str">
            <v>SOCIEDAD</v>
          </cell>
          <cell r="N89">
            <v>9</v>
          </cell>
        </row>
        <row r="90">
          <cell r="A90" t="str">
            <v>MIPO002767</v>
          </cell>
          <cell r="B90" t="str">
            <v>210VBIS</v>
          </cell>
          <cell r="C90" t="str">
            <v>Bis S.A.</v>
          </cell>
          <cell r="D90" t="str">
            <v>1791743164001</v>
          </cell>
          <cell r="E90" t="str">
            <v>1981</v>
          </cell>
          <cell r="F90" t="str">
            <v>03/05/2004</v>
          </cell>
          <cell r="G90">
            <v>159</v>
          </cell>
          <cell r="H90">
            <v>19.079999999999998</v>
          </cell>
          <cell r="I90">
            <v>5.72</v>
          </cell>
          <cell r="J90" t="str">
            <v>MIPO002767</v>
          </cell>
          <cell r="K90" t="str">
            <v>VC3</v>
          </cell>
          <cell r="L90" t="str">
            <v>SOCIEDAD</v>
          </cell>
          <cell r="M90" t="str">
            <v>0000010800</v>
          </cell>
          <cell r="N90">
            <v>9</v>
          </cell>
        </row>
        <row r="91">
          <cell r="A91" t="str">
            <v>MIPO002680</v>
          </cell>
          <cell r="B91" t="str">
            <v>210VBIS</v>
          </cell>
          <cell r="C91" t="str">
            <v>Bis S.A.</v>
          </cell>
          <cell r="D91" t="str">
            <v>1791743164001</v>
          </cell>
          <cell r="E91" t="str">
            <v>1989</v>
          </cell>
          <cell r="F91" t="str">
            <v>03/05/2004</v>
          </cell>
          <cell r="G91">
            <v>159</v>
          </cell>
          <cell r="H91">
            <v>19.079999999999998</v>
          </cell>
          <cell r="I91">
            <v>5.72</v>
          </cell>
          <cell r="J91" t="str">
            <v>MIPO002680</v>
          </cell>
          <cell r="K91" t="str">
            <v>VC3</v>
          </cell>
          <cell r="L91" t="str">
            <v>SOCIEDAD</v>
          </cell>
          <cell r="M91" t="str">
            <v>0000010800</v>
          </cell>
          <cell r="N91">
            <v>9</v>
          </cell>
        </row>
        <row r="92">
          <cell r="A92" t="str">
            <v>MIPO002901</v>
          </cell>
          <cell r="B92" t="str">
            <v>210VBREN</v>
          </cell>
          <cell r="C92" t="str">
            <v>Brenntag Ecuador S.A</v>
          </cell>
          <cell r="D92" t="str">
            <v>0990005087001</v>
          </cell>
          <cell r="E92" t="str">
            <v>878</v>
          </cell>
          <cell r="G92">
            <v>1800</v>
          </cell>
          <cell r="H92">
            <v>216</v>
          </cell>
          <cell r="J92" t="str">
            <v>MIPO002901</v>
          </cell>
          <cell r="K92" t="str">
            <v>RC1</v>
          </cell>
          <cell r="L92" t="str">
            <v>SOCIEDAD</v>
          </cell>
          <cell r="N92">
            <v>9</v>
          </cell>
          <cell r="Q92" t="str">
            <v>VBREN</v>
          </cell>
        </row>
        <row r="93">
          <cell r="A93" t="str">
            <v>MIPO002879</v>
          </cell>
          <cell r="B93" t="str">
            <v>210VPROA</v>
          </cell>
          <cell r="C93" t="str">
            <v>Carlos Ramiro Proaño T.</v>
          </cell>
          <cell r="D93" t="str">
            <v>1707777213001</v>
          </cell>
          <cell r="E93" t="str">
            <v>23072</v>
          </cell>
          <cell r="F93" t="str">
            <v>11/05/2004</v>
          </cell>
          <cell r="G93">
            <v>62</v>
          </cell>
          <cell r="H93">
            <v>7.4399999999999995</v>
          </cell>
          <cell r="I93">
            <v>2.23</v>
          </cell>
          <cell r="J93" t="str">
            <v>MIPO002879</v>
          </cell>
          <cell r="K93" t="str">
            <v>VC3</v>
          </cell>
          <cell r="L93" t="str">
            <v>P. NATURAL</v>
          </cell>
          <cell r="N93">
            <v>0</v>
          </cell>
        </row>
        <row r="94">
          <cell r="A94" t="str">
            <v>MIPO002840</v>
          </cell>
          <cell r="B94" t="str">
            <v>210VCEME</v>
          </cell>
          <cell r="C94" t="str">
            <v>Cemepro</v>
          </cell>
          <cell r="D94" t="str">
            <v>1708360803001</v>
          </cell>
          <cell r="E94" t="str">
            <v>3502</v>
          </cell>
          <cell r="F94" t="str">
            <v>03/05/2004</v>
          </cell>
          <cell r="G94">
            <v>1362.83</v>
          </cell>
          <cell r="H94">
            <v>163.53959999999998</v>
          </cell>
          <cell r="I94">
            <v>49.06</v>
          </cell>
          <cell r="J94" t="str">
            <v>MIPO002840</v>
          </cell>
          <cell r="K94" t="str">
            <v>VC3</v>
          </cell>
          <cell r="L94" t="str">
            <v>P. NATURAL</v>
          </cell>
          <cell r="M94" t="str">
            <v>0000010804</v>
          </cell>
          <cell r="N94">
            <v>0</v>
          </cell>
        </row>
        <row r="95">
          <cell r="A95" t="str">
            <v>MIPO002810</v>
          </cell>
          <cell r="B95" t="str">
            <v>210VCEME</v>
          </cell>
          <cell r="C95" t="str">
            <v>Cemepro</v>
          </cell>
          <cell r="D95" t="str">
            <v>1708360803001</v>
          </cell>
          <cell r="E95" t="str">
            <v>3497</v>
          </cell>
          <cell r="F95" t="str">
            <v>03/05/2004</v>
          </cell>
          <cell r="G95">
            <v>554.25</v>
          </cell>
          <cell r="H95">
            <v>66.509999999999991</v>
          </cell>
          <cell r="I95">
            <v>19.95</v>
          </cell>
          <cell r="J95" t="str">
            <v>MIPO002810</v>
          </cell>
          <cell r="K95" t="str">
            <v>VC3</v>
          </cell>
          <cell r="L95" t="str">
            <v>P. NATURAL</v>
          </cell>
          <cell r="M95" t="str">
            <v>0000010804</v>
          </cell>
          <cell r="N95">
            <v>0</v>
          </cell>
        </row>
        <row r="96">
          <cell r="A96" t="str">
            <v>MIPO002837</v>
          </cell>
          <cell r="B96" t="str">
            <v>210VCEME</v>
          </cell>
          <cell r="C96" t="str">
            <v>Cemepro</v>
          </cell>
          <cell r="D96" t="str">
            <v>1708360803001</v>
          </cell>
          <cell r="E96" t="str">
            <v>3501</v>
          </cell>
          <cell r="F96" t="str">
            <v>03/05/2004</v>
          </cell>
          <cell r="G96">
            <v>50</v>
          </cell>
          <cell r="H96">
            <v>6</v>
          </cell>
          <cell r="I96">
            <v>1.8</v>
          </cell>
          <cell r="J96" t="str">
            <v>MIPO002837</v>
          </cell>
          <cell r="K96" t="str">
            <v>VC3</v>
          </cell>
          <cell r="L96" t="str">
            <v>P. NATURAL</v>
          </cell>
          <cell r="N96">
            <v>0</v>
          </cell>
        </row>
        <row r="97">
          <cell r="A97" t="str">
            <v>MIPO002844</v>
          </cell>
          <cell r="B97" t="str">
            <v>210VCEME</v>
          </cell>
          <cell r="C97" t="str">
            <v>Cemepro</v>
          </cell>
          <cell r="D97" t="str">
            <v>1708360803001</v>
          </cell>
          <cell r="E97" t="str">
            <v>3501</v>
          </cell>
          <cell r="F97" t="str">
            <v>03/05/2004</v>
          </cell>
          <cell r="G97">
            <v>636</v>
          </cell>
          <cell r="H97">
            <v>76.319999999999993</v>
          </cell>
          <cell r="I97">
            <v>22.9</v>
          </cell>
          <cell r="J97" t="str">
            <v>MIPO002844</v>
          </cell>
          <cell r="K97" t="str">
            <v>VC3</v>
          </cell>
          <cell r="L97" t="str">
            <v>P. NATURAL</v>
          </cell>
          <cell r="N97">
            <v>0</v>
          </cell>
        </row>
        <row r="98">
          <cell r="A98" t="str">
            <v>MIPO002848</v>
          </cell>
          <cell r="B98" t="str">
            <v>210VCEME</v>
          </cell>
          <cell r="C98" t="str">
            <v>Cemepro</v>
          </cell>
          <cell r="D98" t="str">
            <v>1708360803001</v>
          </cell>
          <cell r="E98" t="str">
            <v>3519</v>
          </cell>
          <cell r="F98" t="str">
            <v>10/05/2004</v>
          </cell>
          <cell r="G98">
            <v>2350.92</v>
          </cell>
          <cell r="H98">
            <v>282.11039999999997</v>
          </cell>
          <cell r="I98">
            <v>84.63</v>
          </cell>
          <cell r="J98" t="str">
            <v>MIPO002848</v>
          </cell>
          <cell r="K98" t="str">
            <v>VC3</v>
          </cell>
          <cell r="L98" t="str">
            <v>P. NATURAL</v>
          </cell>
          <cell r="N98">
            <v>0</v>
          </cell>
        </row>
        <row r="99">
          <cell r="A99" t="str">
            <v>MIPO002886</v>
          </cell>
          <cell r="B99" t="str">
            <v>210VCEME</v>
          </cell>
          <cell r="C99" t="str">
            <v>Cemepro</v>
          </cell>
          <cell r="D99" t="str">
            <v>1708360803001</v>
          </cell>
          <cell r="E99" t="str">
            <v>3518</v>
          </cell>
          <cell r="F99" t="str">
            <v>10/05/2004</v>
          </cell>
          <cell r="G99">
            <v>1364.25</v>
          </cell>
          <cell r="H99">
            <v>163.71</v>
          </cell>
          <cell r="I99">
            <v>49.11</v>
          </cell>
          <cell r="J99" t="str">
            <v>MIPO002886</v>
          </cell>
          <cell r="K99" t="str">
            <v>VC3</v>
          </cell>
          <cell r="L99" t="str">
            <v>P. NATURAL</v>
          </cell>
          <cell r="N99">
            <v>0</v>
          </cell>
        </row>
        <row r="100">
          <cell r="A100" t="str">
            <v>MIPO002911</v>
          </cell>
          <cell r="B100" t="str">
            <v>210VCEME</v>
          </cell>
          <cell r="C100" t="str">
            <v>Cemepro</v>
          </cell>
          <cell r="D100" t="str">
            <v>1708360803001</v>
          </cell>
          <cell r="E100" t="str">
            <v>3534</v>
          </cell>
          <cell r="F100" t="str">
            <v>17/05/2004</v>
          </cell>
          <cell r="G100">
            <v>545.54999999999995</v>
          </cell>
          <cell r="H100">
            <v>65.47</v>
          </cell>
          <cell r="I100">
            <v>19.64</v>
          </cell>
          <cell r="J100" t="str">
            <v>MIPO002911</v>
          </cell>
          <cell r="K100" t="str">
            <v>VC3</v>
          </cell>
          <cell r="L100" t="str">
            <v>P. NATURAL</v>
          </cell>
          <cell r="N100">
            <v>0</v>
          </cell>
        </row>
        <row r="101">
          <cell r="A101" t="str">
            <v>MIPO002907</v>
          </cell>
          <cell r="B101" t="str">
            <v>210VCEME</v>
          </cell>
          <cell r="C101" t="str">
            <v>Cemepro</v>
          </cell>
          <cell r="D101" t="str">
            <v>1708360803001</v>
          </cell>
          <cell r="E101" t="str">
            <v>3535</v>
          </cell>
          <cell r="F101" t="str">
            <v>17/05/2004</v>
          </cell>
          <cell r="G101">
            <v>45</v>
          </cell>
          <cell r="H101">
            <v>5.4</v>
          </cell>
          <cell r="I101">
            <v>1.62</v>
          </cell>
          <cell r="J101" t="str">
            <v>MIPO002907</v>
          </cell>
          <cell r="K101" t="str">
            <v>VC3</v>
          </cell>
          <cell r="L101" t="str">
            <v>P. NATURAL</v>
          </cell>
          <cell r="N101">
            <v>0</v>
          </cell>
        </row>
        <row r="102">
          <cell r="A102" t="str">
            <v>MIPO002929</v>
          </cell>
          <cell r="B102" t="str">
            <v>210VCEME</v>
          </cell>
          <cell r="C102" t="str">
            <v>Cemepro</v>
          </cell>
          <cell r="D102" t="str">
            <v>1708360803001</v>
          </cell>
          <cell r="E102" t="str">
            <v>3550</v>
          </cell>
          <cell r="F102" t="str">
            <v>25/05/2004</v>
          </cell>
          <cell r="G102">
            <v>570</v>
          </cell>
          <cell r="H102">
            <v>68.400000000000006</v>
          </cell>
          <cell r="I102">
            <v>20.52</v>
          </cell>
          <cell r="J102" t="str">
            <v>MIPO002929</v>
          </cell>
          <cell r="K102" t="str">
            <v>VC3</v>
          </cell>
          <cell r="L102" t="str">
            <v>P. NATURAL</v>
          </cell>
          <cell r="N102">
            <v>0</v>
          </cell>
        </row>
        <row r="103">
          <cell r="A103" t="str">
            <v>MIPO002918</v>
          </cell>
          <cell r="B103" t="str">
            <v>210VCERO</v>
          </cell>
          <cell r="C103" t="str">
            <v>Ceron Importadores</v>
          </cell>
          <cell r="D103" t="str">
            <v>1703833200001</v>
          </cell>
          <cell r="E103" t="str">
            <v>3423</v>
          </cell>
          <cell r="F103" t="str">
            <v>17/05/2004</v>
          </cell>
          <cell r="G103">
            <v>448</v>
          </cell>
          <cell r="H103">
            <v>53.76</v>
          </cell>
          <cell r="I103">
            <v>16.13</v>
          </cell>
          <cell r="J103" t="str">
            <v>MIPO002918</v>
          </cell>
          <cell r="K103" t="str">
            <v>VC3</v>
          </cell>
          <cell r="L103" t="str">
            <v>P. NATURAL</v>
          </cell>
          <cell r="N103">
            <v>0</v>
          </cell>
        </row>
        <row r="104">
          <cell r="A104" t="str">
            <v>MIPO002850</v>
          </cell>
          <cell r="B104" t="str">
            <v>210VCETG</v>
          </cell>
          <cell r="C104" t="str">
            <v>CETAGUA</v>
          </cell>
          <cell r="D104" t="str">
            <v>0991461337001</v>
          </cell>
          <cell r="E104" t="str">
            <v>747</v>
          </cell>
          <cell r="F104" t="str">
            <v>03/05/2004</v>
          </cell>
          <cell r="G104">
            <v>1743.58</v>
          </cell>
          <cell r="H104">
            <v>209.23</v>
          </cell>
          <cell r="I104">
            <v>62.77</v>
          </cell>
          <cell r="J104" t="str">
            <v>MIPO002850</v>
          </cell>
          <cell r="K104" t="str">
            <v>VC3</v>
          </cell>
          <cell r="L104" t="str">
            <v>SOCIEDAD</v>
          </cell>
          <cell r="N104">
            <v>9</v>
          </cell>
        </row>
        <row r="105">
          <cell r="A105" t="str">
            <v>MIPO002885</v>
          </cell>
          <cell r="B105" t="str">
            <v>210VCETG</v>
          </cell>
          <cell r="C105" t="str">
            <v>CETAGUA</v>
          </cell>
          <cell r="D105" t="str">
            <v>0991461337001</v>
          </cell>
          <cell r="E105" t="str">
            <v>764</v>
          </cell>
          <cell r="F105" t="str">
            <v>17/05/2004</v>
          </cell>
          <cell r="G105">
            <v>1159.25</v>
          </cell>
          <cell r="H105">
            <v>139.11000000000001</v>
          </cell>
          <cell r="I105">
            <v>41.73</v>
          </cell>
          <cell r="J105" t="str">
            <v>MIPO002885</v>
          </cell>
          <cell r="K105" t="str">
            <v>VC3</v>
          </cell>
          <cell r="L105" t="str">
            <v>SOCIEDAD</v>
          </cell>
          <cell r="N105">
            <v>9</v>
          </cell>
        </row>
        <row r="106">
          <cell r="A106" t="str">
            <v>MIPO002916</v>
          </cell>
          <cell r="B106" t="str">
            <v>210VCETG</v>
          </cell>
          <cell r="C106" t="str">
            <v>CETAGUA</v>
          </cell>
          <cell r="D106" t="str">
            <v>0991461337001</v>
          </cell>
          <cell r="E106" t="str">
            <v>767</v>
          </cell>
          <cell r="F106" t="str">
            <v>17/05/2004</v>
          </cell>
          <cell r="G106">
            <v>1530</v>
          </cell>
          <cell r="H106">
            <v>183.6</v>
          </cell>
          <cell r="I106">
            <v>55.08</v>
          </cell>
          <cell r="J106" t="str">
            <v>MIPO002916</v>
          </cell>
          <cell r="K106" t="str">
            <v>VC3</v>
          </cell>
          <cell r="L106" t="str">
            <v>SOCIEDAD</v>
          </cell>
          <cell r="N106">
            <v>9</v>
          </cell>
        </row>
        <row r="107">
          <cell r="A107" t="str">
            <v>MIPO002905</v>
          </cell>
          <cell r="B107" t="str">
            <v>210VCETG</v>
          </cell>
          <cell r="C107" t="str">
            <v>CETAGUA</v>
          </cell>
          <cell r="D107" t="str">
            <v>0991461337001</v>
          </cell>
          <cell r="E107" t="str">
            <v>765</v>
          </cell>
          <cell r="F107" t="str">
            <v>17/05/2004</v>
          </cell>
          <cell r="G107">
            <v>218.67</v>
          </cell>
          <cell r="H107">
            <v>26.24</v>
          </cell>
          <cell r="I107">
            <v>7.87</v>
          </cell>
          <cell r="J107" t="str">
            <v>MIPO002905</v>
          </cell>
          <cell r="K107" t="str">
            <v>VC3</v>
          </cell>
          <cell r="L107" t="str">
            <v>SOCIEDAD</v>
          </cell>
          <cell r="N107">
            <v>9</v>
          </cell>
        </row>
        <row r="108">
          <cell r="A108" t="str">
            <v>MIPO002899</v>
          </cell>
          <cell r="B108" t="str">
            <v>210VCODE</v>
          </cell>
          <cell r="C108" t="str">
            <v>Codemel</v>
          </cell>
          <cell r="D108" t="str">
            <v>1201201652001</v>
          </cell>
          <cell r="E108" t="str">
            <v>7318</v>
          </cell>
          <cell r="F108" t="str">
            <v>17/05/2004</v>
          </cell>
          <cell r="G108">
            <v>129.66999999999999</v>
          </cell>
          <cell r="H108">
            <v>15.560399999999998</v>
          </cell>
          <cell r="I108">
            <v>4.67</v>
          </cell>
          <cell r="J108" t="str">
            <v>MIPO002899</v>
          </cell>
          <cell r="K108" t="str">
            <v>VC3</v>
          </cell>
          <cell r="L108" t="str">
            <v>P. NATURAL</v>
          </cell>
          <cell r="N108">
            <v>0</v>
          </cell>
        </row>
        <row r="109">
          <cell r="A109" t="str">
            <v>MIPC001270</v>
          </cell>
          <cell r="B109" t="str">
            <v>210VCOLO</v>
          </cell>
          <cell r="C109" t="str">
            <v>COLORARTE</v>
          </cell>
          <cell r="D109" t="str">
            <v>0600704472001</v>
          </cell>
          <cell r="E109" t="str">
            <v>205</v>
          </cell>
          <cell r="F109" t="str">
            <v>24/05/2004</v>
          </cell>
          <cell r="G109">
            <v>394.83</v>
          </cell>
          <cell r="H109">
            <v>47.379599999999996</v>
          </cell>
          <cell r="I109">
            <v>14.21</v>
          </cell>
          <cell r="J109" t="str">
            <v>MIPC001270</v>
          </cell>
          <cell r="K109" t="str">
            <v>VC3</v>
          </cell>
          <cell r="L109" t="str">
            <v>P. NATURAL</v>
          </cell>
          <cell r="N109">
            <v>0</v>
          </cell>
        </row>
        <row r="110">
          <cell r="A110" t="str">
            <v>MIPC001244</v>
          </cell>
          <cell r="B110" t="str">
            <v>210VCORO</v>
          </cell>
          <cell r="C110" t="str">
            <v>Comercial Rocio</v>
          </cell>
          <cell r="D110" t="str">
            <v>0600309397001</v>
          </cell>
          <cell r="E110" t="str">
            <v>11724</v>
          </cell>
          <cell r="F110" t="str">
            <v>03/05/2004</v>
          </cell>
          <cell r="G110">
            <v>45.75</v>
          </cell>
          <cell r="H110">
            <v>5.49</v>
          </cell>
          <cell r="I110">
            <v>1.65</v>
          </cell>
          <cell r="J110" t="str">
            <v>MIPC001244</v>
          </cell>
          <cell r="K110" t="str">
            <v>VC3</v>
          </cell>
          <cell r="L110" t="str">
            <v>P. NATURAL</v>
          </cell>
          <cell r="M110" t="str">
            <v>0000010806</v>
          </cell>
          <cell r="N110">
            <v>0</v>
          </cell>
        </row>
        <row r="111">
          <cell r="A111" t="str">
            <v>MIPC001260</v>
          </cell>
          <cell r="B111" t="str">
            <v>210VCORO</v>
          </cell>
          <cell r="C111" t="str">
            <v>Comercial Rocio</v>
          </cell>
          <cell r="D111" t="str">
            <v>0600309397001</v>
          </cell>
          <cell r="E111" t="str">
            <v>11876</v>
          </cell>
          <cell r="F111" t="str">
            <v>17/05/2004</v>
          </cell>
          <cell r="G111">
            <v>405.08</v>
          </cell>
          <cell r="H111">
            <v>48.609599999999993</v>
          </cell>
          <cell r="I111">
            <v>14.58</v>
          </cell>
          <cell r="J111" t="str">
            <v>MIPC001260</v>
          </cell>
          <cell r="K111" t="str">
            <v>VC3</v>
          </cell>
          <cell r="L111" t="str">
            <v>P. NATURAL</v>
          </cell>
          <cell r="N111">
            <v>0</v>
          </cell>
        </row>
        <row r="112">
          <cell r="A112" t="str">
            <v>MIPO002763</v>
          </cell>
          <cell r="B112" t="str">
            <v>210VCOMC</v>
          </cell>
          <cell r="C112" t="str">
            <v>CompuCal</v>
          </cell>
          <cell r="D112" t="str">
            <v>0102517558001</v>
          </cell>
          <cell r="E112" t="str">
            <v>14306</v>
          </cell>
          <cell r="F112" t="str">
            <v>17/05/2004</v>
          </cell>
          <cell r="G112">
            <v>96</v>
          </cell>
          <cell r="H112">
            <v>11.52</v>
          </cell>
          <cell r="I112">
            <v>3.46</v>
          </cell>
          <cell r="J112" t="str">
            <v>MIPO002763</v>
          </cell>
          <cell r="K112" t="str">
            <v>VC3</v>
          </cell>
          <cell r="L112" t="str">
            <v>P. NATURAL</v>
          </cell>
          <cell r="M112" t="str">
            <v>0000010859</v>
          </cell>
          <cell r="N112">
            <v>0</v>
          </cell>
        </row>
        <row r="113">
          <cell r="A113" t="str">
            <v>MIPO002880</v>
          </cell>
          <cell r="B113" t="str">
            <v>210VCOMC</v>
          </cell>
          <cell r="C113" t="str">
            <v>CompuCal</v>
          </cell>
          <cell r="D113" t="str">
            <v>0102517558001</v>
          </cell>
          <cell r="E113" t="str">
            <v>14186</v>
          </cell>
          <cell r="F113" t="str">
            <v>10/05/2004</v>
          </cell>
          <cell r="G113">
            <v>524.41999999999996</v>
          </cell>
          <cell r="H113">
            <v>62.930399999999992</v>
          </cell>
          <cell r="I113">
            <v>18.88</v>
          </cell>
          <cell r="J113" t="str">
            <v>MIPO002880</v>
          </cell>
          <cell r="K113" t="str">
            <v>VC3</v>
          </cell>
          <cell r="L113" t="str">
            <v>P. NATURAL</v>
          </cell>
          <cell r="N113">
            <v>0</v>
          </cell>
        </row>
        <row r="114">
          <cell r="A114" t="str">
            <v>MIPO002782</v>
          </cell>
          <cell r="B114" t="str">
            <v>210VOTRO</v>
          </cell>
          <cell r="C114" t="str">
            <v>CONFORT LINE</v>
          </cell>
          <cell r="D114" t="str">
            <v>1708464761001</v>
          </cell>
          <cell r="E114" t="str">
            <v>724</v>
          </cell>
          <cell r="F114" t="str">
            <v>03/05/2004</v>
          </cell>
          <cell r="G114">
            <v>1500</v>
          </cell>
          <cell r="H114">
            <v>180</v>
          </cell>
          <cell r="I114">
            <v>54</v>
          </cell>
          <cell r="J114" t="str">
            <v>MIPO002782</v>
          </cell>
          <cell r="K114" t="str">
            <v>VC3</v>
          </cell>
          <cell r="L114" t="str">
            <v>P. NATURAL</v>
          </cell>
          <cell r="M114" t="str">
            <v>0000010693</v>
          </cell>
          <cell r="N114">
            <v>0</v>
          </cell>
        </row>
        <row r="115">
          <cell r="A115" t="str">
            <v>MIPO002851</v>
          </cell>
          <cell r="B115" t="str">
            <v>210VCUCA</v>
          </cell>
          <cell r="C115" t="str">
            <v>Cucasa</v>
          </cell>
          <cell r="D115" t="str">
            <v>1790294609001</v>
          </cell>
          <cell r="E115" t="str">
            <v>94788</v>
          </cell>
          <cell r="G115">
            <v>2278.5</v>
          </cell>
          <cell r="H115">
            <v>273.42</v>
          </cell>
          <cell r="J115" t="str">
            <v>MIPO002851</v>
          </cell>
          <cell r="K115" t="str">
            <v>RC1</v>
          </cell>
          <cell r="L115" t="str">
            <v>SOCIEDAD</v>
          </cell>
          <cell r="M115" t="str">
            <v>0000010807</v>
          </cell>
          <cell r="N115">
            <v>9</v>
          </cell>
          <cell r="Q115" t="str">
            <v>VCUCA</v>
          </cell>
        </row>
        <row r="116">
          <cell r="A116" t="str">
            <v>MIPO002884</v>
          </cell>
          <cell r="B116" t="str">
            <v>210VCUCA</v>
          </cell>
          <cell r="C116" t="str">
            <v>Cucasa</v>
          </cell>
          <cell r="D116" t="str">
            <v>1790294609001</v>
          </cell>
          <cell r="E116" t="str">
            <v>95248</v>
          </cell>
          <cell r="G116">
            <v>253.58</v>
          </cell>
          <cell r="H116">
            <v>30.429600000000001</v>
          </cell>
          <cell r="J116" t="str">
            <v>MIPO002884</v>
          </cell>
          <cell r="K116" t="str">
            <v>RC1</v>
          </cell>
          <cell r="L116" t="str">
            <v>SOCIEDAD</v>
          </cell>
          <cell r="M116" t="str">
            <v>0000010807</v>
          </cell>
          <cell r="N116">
            <v>9</v>
          </cell>
          <cell r="Q116" t="str">
            <v>VCUCA</v>
          </cell>
        </row>
        <row r="117">
          <cell r="A117" t="str">
            <v>MIPO002910</v>
          </cell>
          <cell r="B117" t="str">
            <v>210VCUCA</v>
          </cell>
          <cell r="C117" t="str">
            <v>Cucasa</v>
          </cell>
          <cell r="D117" t="str">
            <v>1790294609001</v>
          </cell>
          <cell r="E117" t="str">
            <v>96366</v>
          </cell>
          <cell r="G117">
            <v>1971.33</v>
          </cell>
          <cell r="H117">
            <v>236.55959999999999</v>
          </cell>
          <cell r="J117" t="str">
            <v>MIPO002910</v>
          </cell>
          <cell r="K117" t="str">
            <v>RC1</v>
          </cell>
          <cell r="L117" t="str">
            <v>SOCIEDAD</v>
          </cell>
          <cell r="N117">
            <v>9</v>
          </cell>
          <cell r="Q117" t="str">
            <v>VCUCA</v>
          </cell>
        </row>
        <row r="118">
          <cell r="A118" t="str">
            <v>MIPO002897</v>
          </cell>
          <cell r="B118" t="str">
            <v>210VGCS</v>
          </cell>
          <cell r="C118" t="str">
            <v>Distribuidora GCS</v>
          </cell>
          <cell r="D118" t="str">
            <v>1701164566001</v>
          </cell>
          <cell r="E118" t="str">
            <v>1239</v>
          </cell>
          <cell r="F118" t="str">
            <v>10/05/2004</v>
          </cell>
          <cell r="G118">
            <v>524.33000000000004</v>
          </cell>
          <cell r="H118">
            <v>62.92</v>
          </cell>
          <cell r="I118">
            <v>18.88</v>
          </cell>
          <cell r="J118" t="str">
            <v>MIPO002897</v>
          </cell>
          <cell r="K118" t="str">
            <v>VC3</v>
          </cell>
          <cell r="L118" t="str">
            <v>P. NATURAL</v>
          </cell>
          <cell r="M118" t="str">
            <v>0000010864</v>
          </cell>
          <cell r="N118">
            <v>0</v>
          </cell>
        </row>
        <row r="119">
          <cell r="A119" t="str">
            <v>MIPC001257</v>
          </cell>
          <cell r="B119" t="str">
            <v>210VSOLG</v>
          </cell>
          <cell r="C119" t="str">
            <v>EQUISOLGAS</v>
          </cell>
          <cell r="D119" t="str">
            <v>1713320446001</v>
          </cell>
          <cell r="E119" t="str">
            <v>215</v>
          </cell>
          <cell r="F119" t="str">
            <v>10/05/2004</v>
          </cell>
          <cell r="G119">
            <v>590</v>
          </cell>
          <cell r="H119">
            <v>70.8</v>
          </cell>
          <cell r="I119">
            <v>21.24</v>
          </cell>
          <cell r="J119" t="str">
            <v>MIPC001257</v>
          </cell>
          <cell r="K119" t="str">
            <v>VC3</v>
          </cell>
          <cell r="L119" t="str">
            <v>P. NATURAL</v>
          </cell>
          <cell r="M119" t="str">
            <v>0000010862</v>
          </cell>
          <cell r="N119">
            <v>1</v>
          </cell>
        </row>
        <row r="120">
          <cell r="A120" t="str">
            <v>MIPC001243</v>
          </cell>
          <cell r="B120" t="str">
            <v>210VFERS</v>
          </cell>
          <cell r="C120" t="str">
            <v>FERRETERIA SCHLUMBER</v>
          </cell>
          <cell r="D120" t="str">
            <v>1308371408001</v>
          </cell>
          <cell r="E120" t="str">
            <v>731</v>
          </cell>
          <cell r="F120" t="str">
            <v>26/04/2004</v>
          </cell>
          <cell r="G120">
            <v>78.33</v>
          </cell>
          <cell r="H120">
            <v>9.4</v>
          </cell>
          <cell r="I120">
            <v>2.82</v>
          </cell>
          <cell r="J120" t="str">
            <v>MIPC001243</v>
          </cell>
          <cell r="K120" t="str">
            <v>VC3</v>
          </cell>
          <cell r="L120" t="str">
            <v>P. NATURAL</v>
          </cell>
          <cell r="M120" t="str">
            <v>0000010813</v>
          </cell>
          <cell r="N120">
            <v>0</v>
          </cell>
        </row>
        <row r="121">
          <cell r="A121" t="str">
            <v>MIPC001246</v>
          </cell>
          <cell r="B121" t="str">
            <v>210VFERS</v>
          </cell>
          <cell r="C121" t="str">
            <v>FERRETERIA SCHLUMBER</v>
          </cell>
          <cell r="D121" t="str">
            <v>1308371408001</v>
          </cell>
          <cell r="E121" t="str">
            <v>739</v>
          </cell>
          <cell r="F121" t="str">
            <v>03/05/2004</v>
          </cell>
          <cell r="G121">
            <v>29</v>
          </cell>
          <cell r="H121">
            <v>3.48</v>
          </cell>
          <cell r="I121">
            <v>1.04</v>
          </cell>
          <cell r="J121" t="str">
            <v>MIPC001246</v>
          </cell>
          <cell r="K121" t="str">
            <v>VC3</v>
          </cell>
          <cell r="L121" t="str">
            <v>P. NATURAL</v>
          </cell>
          <cell r="M121" t="str">
            <v>0000010813</v>
          </cell>
          <cell r="N121">
            <v>0</v>
          </cell>
        </row>
        <row r="122">
          <cell r="A122" t="str">
            <v>MIPC001254</v>
          </cell>
          <cell r="B122" t="str">
            <v>210VFERS</v>
          </cell>
          <cell r="C122" t="str">
            <v>FERRETERIA SCHLUMBER</v>
          </cell>
          <cell r="D122" t="str">
            <v>1308371408001</v>
          </cell>
          <cell r="E122" t="str">
            <v>759</v>
          </cell>
          <cell r="F122" t="str">
            <v>10/05/2004</v>
          </cell>
          <cell r="G122">
            <v>85</v>
          </cell>
          <cell r="H122">
            <v>10.199999999999999</v>
          </cell>
          <cell r="I122">
            <v>3.06</v>
          </cell>
          <cell r="J122" t="str">
            <v>MIPC001254</v>
          </cell>
          <cell r="K122" t="str">
            <v>VC3</v>
          </cell>
          <cell r="L122" t="str">
            <v>P. NATURAL</v>
          </cell>
          <cell r="M122" t="str">
            <v>0000010813</v>
          </cell>
          <cell r="N122">
            <v>0</v>
          </cell>
        </row>
        <row r="123">
          <cell r="A123" t="str">
            <v>MIPC001271</v>
          </cell>
          <cell r="B123" t="str">
            <v>210VFERS</v>
          </cell>
          <cell r="C123" t="str">
            <v>FERRETERIA SCHLUMBER</v>
          </cell>
          <cell r="D123" t="str">
            <v>1308371408001</v>
          </cell>
          <cell r="E123" t="str">
            <v>769</v>
          </cell>
          <cell r="F123" t="str">
            <v>24/05/2004</v>
          </cell>
          <cell r="G123">
            <v>47.58</v>
          </cell>
          <cell r="H123">
            <v>5.7089999999999996</v>
          </cell>
          <cell r="I123">
            <v>1.71</v>
          </cell>
          <cell r="J123" t="str">
            <v>MIPC001271</v>
          </cell>
          <cell r="K123" t="str">
            <v>VC3</v>
          </cell>
          <cell r="L123" t="str">
            <v>P. NATURAL</v>
          </cell>
          <cell r="N123">
            <v>0</v>
          </cell>
        </row>
        <row r="124">
          <cell r="A124" t="str">
            <v>MIPC001276</v>
          </cell>
          <cell r="B124" t="str">
            <v>210VFERS</v>
          </cell>
          <cell r="C124" t="str">
            <v>FERRETERIA SCHLUMBER</v>
          </cell>
          <cell r="D124" t="str">
            <v>1308371408001</v>
          </cell>
          <cell r="E124" t="str">
            <v>772</v>
          </cell>
          <cell r="F124" t="str">
            <v>25/05/2004</v>
          </cell>
          <cell r="G124">
            <v>24</v>
          </cell>
          <cell r="H124">
            <v>2.88</v>
          </cell>
          <cell r="I124">
            <v>0.86</v>
          </cell>
          <cell r="J124" t="str">
            <v>MIPC001276</v>
          </cell>
          <cell r="K124" t="str">
            <v>VC3</v>
          </cell>
          <cell r="L124" t="str">
            <v>P. NATURAL</v>
          </cell>
          <cell r="N124">
            <v>0</v>
          </cell>
        </row>
        <row r="125">
          <cell r="A125" t="str">
            <v>MIPC001253</v>
          </cell>
          <cell r="B125" t="str">
            <v>210VFER1</v>
          </cell>
          <cell r="C125" t="str">
            <v>Ferrocolor</v>
          </cell>
          <cell r="D125" t="str">
            <v>1707336341001</v>
          </cell>
          <cell r="E125" t="str">
            <v>5232</v>
          </cell>
          <cell r="F125" t="str">
            <v>03/05/2004</v>
          </cell>
          <cell r="G125">
            <v>246.5</v>
          </cell>
          <cell r="H125">
            <v>29.58</v>
          </cell>
          <cell r="I125">
            <v>8.8699999999999992</v>
          </cell>
          <cell r="J125" t="str">
            <v>MIPC001253</v>
          </cell>
          <cell r="K125" t="str">
            <v>VC3</v>
          </cell>
          <cell r="L125" t="str">
            <v>P. NATURAL</v>
          </cell>
          <cell r="M125" t="str">
            <v>0000010812</v>
          </cell>
          <cell r="N125">
            <v>0</v>
          </cell>
        </row>
        <row r="126">
          <cell r="A126" t="str">
            <v>MIPC001245</v>
          </cell>
          <cell r="B126" t="str">
            <v>210VFER1</v>
          </cell>
          <cell r="C126" t="str">
            <v>Ferrocolor</v>
          </cell>
          <cell r="D126" t="str">
            <v>1707336341001</v>
          </cell>
          <cell r="E126" t="str">
            <v>5206</v>
          </cell>
          <cell r="F126" t="str">
            <v>03/05/2004</v>
          </cell>
          <cell r="G126">
            <v>96</v>
          </cell>
          <cell r="H126">
            <v>11.52</v>
          </cell>
          <cell r="I126">
            <v>3.46</v>
          </cell>
          <cell r="J126" t="str">
            <v>MIPC001245</v>
          </cell>
          <cell r="K126" t="str">
            <v>VC3</v>
          </cell>
          <cell r="L126" t="str">
            <v>P. NATURAL</v>
          </cell>
          <cell r="M126" t="str">
            <v>0000010812</v>
          </cell>
          <cell r="N126">
            <v>0</v>
          </cell>
        </row>
        <row r="127">
          <cell r="A127" t="str">
            <v>MIPC001252</v>
          </cell>
          <cell r="B127" t="str">
            <v>210VFER1</v>
          </cell>
          <cell r="C127" t="str">
            <v>Ferrocolor</v>
          </cell>
          <cell r="D127" t="str">
            <v>1707336341001</v>
          </cell>
          <cell r="E127" t="str">
            <v>5219</v>
          </cell>
          <cell r="F127" t="str">
            <v>03/05/2004</v>
          </cell>
          <cell r="G127">
            <v>403.16</v>
          </cell>
          <cell r="H127">
            <v>48.38</v>
          </cell>
          <cell r="I127">
            <v>14.51</v>
          </cell>
          <cell r="J127" t="str">
            <v>MIPC001252</v>
          </cell>
          <cell r="K127" t="str">
            <v>VC3</v>
          </cell>
          <cell r="L127" t="str">
            <v>P. NATURAL</v>
          </cell>
          <cell r="M127" t="str">
            <v>0000010812</v>
          </cell>
          <cell r="N127">
            <v>0</v>
          </cell>
        </row>
        <row r="128">
          <cell r="A128" t="str">
            <v>MIPC001264</v>
          </cell>
          <cell r="B128" t="str">
            <v>210VFER1</v>
          </cell>
          <cell r="C128" t="str">
            <v>Ferrocolor</v>
          </cell>
          <cell r="D128" t="str">
            <v>1707336341001</v>
          </cell>
          <cell r="E128" t="str">
            <v>5291</v>
          </cell>
          <cell r="F128" t="str">
            <v>17/05/2004</v>
          </cell>
          <cell r="G128">
            <v>205.33</v>
          </cell>
          <cell r="H128">
            <v>24.64</v>
          </cell>
          <cell r="I128">
            <v>7.39</v>
          </cell>
          <cell r="J128" t="str">
            <v>MIPC001264</v>
          </cell>
          <cell r="K128" t="str">
            <v>VC3</v>
          </cell>
          <cell r="L128" t="str">
            <v>P. NATURAL</v>
          </cell>
          <cell r="N128">
            <v>0</v>
          </cell>
        </row>
        <row r="129">
          <cell r="A129" t="str">
            <v>MIPC001262</v>
          </cell>
          <cell r="B129" t="str">
            <v>210VFER1</v>
          </cell>
          <cell r="C129" t="str">
            <v>Ferrocolor</v>
          </cell>
          <cell r="D129" t="str">
            <v>1707336341001</v>
          </cell>
          <cell r="E129" t="str">
            <v>5294</v>
          </cell>
          <cell r="F129" t="str">
            <v>24/05/2004</v>
          </cell>
          <cell r="G129">
            <v>244.75</v>
          </cell>
          <cell r="H129">
            <v>29.37</v>
          </cell>
          <cell r="I129">
            <v>8.81</v>
          </cell>
          <cell r="J129" t="str">
            <v>MIPC001262</v>
          </cell>
          <cell r="K129" t="str">
            <v>VC3</v>
          </cell>
          <cell r="L129" t="str">
            <v>P. NATURAL</v>
          </cell>
          <cell r="N129">
            <v>0</v>
          </cell>
        </row>
        <row r="130">
          <cell r="A130" t="str">
            <v>MIPC001266</v>
          </cell>
          <cell r="B130" t="str">
            <v>210VFER1</v>
          </cell>
          <cell r="C130" t="str">
            <v>Ferrocolor</v>
          </cell>
          <cell r="D130" t="str">
            <v>1707336341001</v>
          </cell>
          <cell r="E130" t="str">
            <v>5295</v>
          </cell>
          <cell r="F130" t="str">
            <v>24/05/2004</v>
          </cell>
          <cell r="G130">
            <v>39.159999999999997</v>
          </cell>
          <cell r="H130">
            <v>4.6950000000000003</v>
          </cell>
          <cell r="I130">
            <v>1.41</v>
          </cell>
          <cell r="J130" t="str">
            <v>MIPC001266</v>
          </cell>
          <cell r="K130" t="str">
            <v>VC3</v>
          </cell>
          <cell r="L130" t="str">
            <v>P. NATURAL</v>
          </cell>
          <cell r="N130">
            <v>0</v>
          </cell>
        </row>
        <row r="131">
          <cell r="A131" t="str">
            <v>MIPC001272</v>
          </cell>
          <cell r="B131" t="str">
            <v>210VFER1</v>
          </cell>
          <cell r="C131" t="str">
            <v>Ferrocolor</v>
          </cell>
          <cell r="D131" t="str">
            <v>1707336341001</v>
          </cell>
          <cell r="E131" t="str">
            <v>5306</v>
          </cell>
          <cell r="F131" t="str">
            <v>25/05/2004</v>
          </cell>
          <cell r="G131">
            <v>173</v>
          </cell>
          <cell r="H131">
            <v>20.76</v>
          </cell>
          <cell r="I131">
            <v>6.23</v>
          </cell>
          <cell r="J131" t="str">
            <v>MIPC001272</v>
          </cell>
          <cell r="K131" t="str">
            <v>VC3</v>
          </cell>
          <cell r="L131" t="str">
            <v>P. NATURAL</v>
          </cell>
          <cell r="N131">
            <v>0</v>
          </cell>
        </row>
        <row r="132">
          <cell r="A132" t="str">
            <v>MIPO002904</v>
          </cell>
          <cell r="B132" t="str">
            <v>210VOTRO</v>
          </cell>
          <cell r="C132" t="str">
            <v>Foto Uno Service Bureau S.A.</v>
          </cell>
          <cell r="D132" t="str">
            <v>1791877446001</v>
          </cell>
          <cell r="E132" t="str">
            <v>2048</v>
          </cell>
          <cell r="F132" t="str">
            <v>17/05/2004</v>
          </cell>
          <cell r="G132">
            <v>81.5</v>
          </cell>
          <cell r="H132">
            <v>9.7799999999999994</v>
          </cell>
          <cell r="I132">
            <v>2.93</v>
          </cell>
          <cell r="J132" t="str">
            <v>MIPO002904</v>
          </cell>
          <cell r="K132" t="str">
            <v>VC3</v>
          </cell>
          <cell r="L132" t="str">
            <v>SOCIEDAD</v>
          </cell>
          <cell r="N132">
            <v>9</v>
          </cell>
        </row>
        <row r="133">
          <cell r="A133" t="str">
            <v>MIPO002924</v>
          </cell>
          <cell r="B133" t="str">
            <v>210VOTRO</v>
          </cell>
          <cell r="C133" t="str">
            <v>Foto Uno Service Bureau S.A.</v>
          </cell>
          <cell r="D133" t="str">
            <v>1791877446001</v>
          </cell>
          <cell r="E133" t="str">
            <v>2138</v>
          </cell>
          <cell r="F133" t="str">
            <v>25/05/2004</v>
          </cell>
          <cell r="G133">
            <v>370</v>
          </cell>
          <cell r="H133">
            <v>44.4</v>
          </cell>
          <cell r="I133">
            <v>13.32</v>
          </cell>
          <cell r="J133" t="str">
            <v>MIPO002924</v>
          </cell>
          <cell r="K133" t="str">
            <v>VC3</v>
          </cell>
          <cell r="L133" t="str">
            <v>SOCIEDAD</v>
          </cell>
          <cell r="N133">
            <v>9</v>
          </cell>
        </row>
        <row r="134">
          <cell r="A134" t="str">
            <v>MIPO002868</v>
          </cell>
          <cell r="B134" t="str">
            <v>210VSCHW</v>
          </cell>
          <cell r="C134" t="str">
            <v>FROILAN SCHWEITZER</v>
          </cell>
          <cell r="D134" t="str">
            <v>1705577433001</v>
          </cell>
          <cell r="E134" t="str">
            <v>151</v>
          </cell>
          <cell r="F134" t="str">
            <v>25/05/2004</v>
          </cell>
          <cell r="G134">
            <v>5760</v>
          </cell>
          <cell r="H134">
            <v>691.2</v>
          </cell>
          <cell r="I134">
            <v>207.36</v>
          </cell>
          <cell r="J134" t="str">
            <v>MIPO002868</v>
          </cell>
          <cell r="K134" t="str">
            <v>VC3</v>
          </cell>
          <cell r="L134" t="str">
            <v>P. NATURAL</v>
          </cell>
          <cell r="N134">
            <v>0</v>
          </cell>
        </row>
        <row r="135">
          <cell r="A135" t="str">
            <v>MIPO002895</v>
          </cell>
          <cell r="B135" t="str">
            <v>210VGAMA</v>
          </cell>
          <cell r="C135" t="str">
            <v>Gama Cia.Ltda.</v>
          </cell>
          <cell r="D135" t="str">
            <v>1790004643001</v>
          </cell>
          <cell r="E135" t="str">
            <v>21551</v>
          </cell>
          <cell r="F135" t="str">
            <v>10/05/2004</v>
          </cell>
          <cell r="G135">
            <v>119.42</v>
          </cell>
          <cell r="H135">
            <v>14.33</v>
          </cell>
          <cell r="I135">
            <v>4.3</v>
          </cell>
          <cell r="J135" t="str">
            <v>MIPO002895</v>
          </cell>
          <cell r="K135" t="str">
            <v>VC3</v>
          </cell>
          <cell r="L135" t="str">
            <v>SOCIEDAD</v>
          </cell>
          <cell r="M135" t="str">
            <v>0000010866</v>
          </cell>
          <cell r="N135">
            <v>9</v>
          </cell>
        </row>
        <row r="136">
          <cell r="A136" t="str">
            <v>MIPO002896</v>
          </cell>
          <cell r="B136" t="str">
            <v>210VGAMA</v>
          </cell>
          <cell r="C136" t="str">
            <v>Gama Cia.Ltda.</v>
          </cell>
          <cell r="D136" t="str">
            <v>1790004643001</v>
          </cell>
          <cell r="E136" t="str">
            <v>21552</v>
          </cell>
          <cell r="F136" t="str">
            <v>10/05/2004</v>
          </cell>
          <cell r="G136">
            <v>42.67</v>
          </cell>
          <cell r="H136">
            <v>5.12</v>
          </cell>
          <cell r="I136">
            <v>1.54</v>
          </cell>
          <cell r="J136" t="str">
            <v>MIPO002896</v>
          </cell>
          <cell r="K136" t="str">
            <v>VC3</v>
          </cell>
          <cell r="L136" t="str">
            <v>SOCIEDAD</v>
          </cell>
          <cell r="M136" t="str">
            <v>0000010866</v>
          </cell>
          <cell r="N136">
            <v>9</v>
          </cell>
        </row>
        <row r="137">
          <cell r="A137" t="str">
            <v>MIPO002858</v>
          </cell>
          <cell r="B137" t="str">
            <v>210VULLG</v>
          </cell>
          <cell r="C137" t="str">
            <v>GENOVEVA ULLOA</v>
          </cell>
          <cell r="D137" t="str">
            <v>1712993771001</v>
          </cell>
          <cell r="E137" t="str">
            <v>234</v>
          </cell>
          <cell r="F137" t="str">
            <v>10/05/2004</v>
          </cell>
          <cell r="G137">
            <v>51</v>
          </cell>
          <cell r="H137">
            <v>6.12</v>
          </cell>
          <cell r="I137">
            <v>1.84</v>
          </cell>
          <cell r="J137" t="str">
            <v>MIPO002858</v>
          </cell>
          <cell r="K137" t="str">
            <v>VC3</v>
          </cell>
          <cell r="L137" t="str">
            <v>P. NATURAL</v>
          </cell>
          <cell r="M137" t="str">
            <v>0000010874</v>
          </cell>
          <cell r="N137">
            <v>1</v>
          </cell>
        </row>
        <row r="138">
          <cell r="A138" t="str">
            <v>MIPO002867</v>
          </cell>
          <cell r="B138" t="str">
            <v>210VGLOQ</v>
          </cell>
          <cell r="C138" t="str">
            <v>GLOBAL QUIMICOS</v>
          </cell>
          <cell r="D138" t="str">
            <v>1791827317001</v>
          </cell>
          <cell r="E138" t="str">
            <v>3089</v>
          </cell>
          <cell r="F138" t="str">
            <v>25/05/2004</v>
          </cell>
          <cell r="G138">
            <v>3836</v>
          </cell>
          <cell r="H138">
            <v>460.32</v>
          </cell>
          <cell r="I138">
            <v>138.1</v>
          </cell>
          <cell r="J138" t="str">
            <v>MIPO002867</v>
          </cell>
          <cell r="K138" t="str">
            <v>VC3</v>
          </cell>
          <cell r="L138" t="str">
            <v>SOCIEDAD</v>
          </cell>
          <cell r="N138">
            <v>9</v>
          </cell>
        </row>
        <row r="139">
          <cell r="A139" t="str">
            <v>MIPO002842</v>
          </cell>
          <cell r="B139" t="str">
            <v>210VHDM</v>
          </cell>
          <cell r="C139" t="str">
            <v>Hdm</v>
          </cell>
          <cell r="D139" t="str">
            <v>1790990842001</v>
          </cell>
          <cell r="E139" t="str">
            <v>4393</v>
          </cell>
          <cell r="F139" t="str">
            <v>03/05/2004</v>
          </cell>
          <cell r="G139">
            <v>238.25</v>
          </cell>
          <cell r="H139">
            <v>28.59</v>
          </cell>
          <cell r="I139">
            <v>8.58</v>
          </cell>
          <cell r="J139" t="str">
            <v>MIPO002842</v>
          </cell>
          <cell r="K139" t="str">
            <v>VC3</v>
          </cell>
          <cell r="L139" t="str">
            <v>SOCIEDAD</v>
          </cell>
          <cell r="M139" t="str">
            <v>0000010788</v>
          </cell>
          <cell r="N139">
            <v>9</v>
          </cell>
        </row>
        <row r="140">
          <cell r="A140" t="str">
            <v>MIPO002865</v>
          </cell>
          <cell r="B140" t="str">
            <v>210VILCH</v>
          </cell>
          <cell r="C140" t="str">
            <v>ILCH</v>
          </cell>
          <cell r="D140" t="str">
            <v>1705323952001</v>
          </cell>
          <cell r="E140" t="str">
            <v>2948</v>
          </cell>
          <cell r="F140" t="str">
            <v>10/05/2004</v>
          </cell>
          <cell r="G140">
            <v>250.08</v>
          </cell>
          <cell r="H140">
            <v>30.01</v>
          </cell>
          <cell r="I140">
            <v>9</v>
          </cell>
          <cell r="J140" t="str">
            <v>MIPO002865</v>
          </cell>
          <cell r="K140" t="str">
            <v>VC3</v>
          </cell>
          <cell r="L140" t="str">
            <v>P. NATURAL</v>
          </cell>
          <cell r="N140">
            <v>0</v>
          </cell>
        </row>
        <row r="141">
          <cell r="A141" t="str">
            <v>MIPO002917</v>
          </cell>
          <cell r="B141" t="str">
            <v>210VILCH</v>
          </cell>
          <cell r="C141" t="str">
            <v>ILCH</v>
          </cell>
          <cell r="D141" t="str">
            <v>1705323952001</v>
          </cell>
          <cell r="E141" t="str">
            <v>2968</v>
          </cell>
          <cell r="F141" t="str">
            <v>17/05/2004</v>
          </cell>
          <cell r="G141">
            <v>218</v>
          </cell>
          <cell r="H141">
            <v>26.16</v>
          </cell>
          <cell r="I141">
            <v>7.85</v>
          </cell>
          <cell r="J141" t="str">
            <v>MIPO002917</v>
          </cell>
          <cell r="K141" t="str">
            <v>VC3</v>
          </cell>
          <cell r="L141" t="str">
            <v>P. NATURAL</v>
          </cell>
          <cell r="N141">
            <v>0</v>
          </cell>
        </row>
        <row r="142">
          <cell r="A142" t="str">
            <v>MIPO002909</v>
          </cell>
          <cell r="B142" t="str">
            <v>210VILCH</v>
          </cell>
          <cell r="C142" t="str">
            <v>ILCH</v>
          </cell>
          <cell r="D142" t="str">
            <v>1705323952001</v>
          </cell>
          <cell r="E142" t="str">
            <v>2967</v>
          </cell>
          <cell r="F142" t="str">
            <v>17/05/2004</v>
          </cell>
          <cell r="G142">
            <v>101.416</v>
          </cell>
          <cell r="H142">
            <v>12.17</v>
          </cell>
          <cell r="I142">
            <v>3.65</v>
          </cell>
          <cell r="J142" t="str">
            <v>MIPO002909</v>
          </cell>
          <cell r="K142" t="str">
            <v>VC3</v>
          </cell>
          <cell r="L142" t="str">
            <v>P. NATURAL</v>
          </cell>
          <cell r="N142">
            <v>0</v>
          </cell>
        </row>
        <row r="143">
          <cell r="A143" t="str">
            <v>MIPC001240</v>
          </cell>
          <cell r="B143" t="str">
            <v>210VINDM</v>
          </cell>
          <cell r="C143" t="str">
            <v>Industrial Marco</v>
          </cell>
          <cell r="D143" t="str">
            <v>1712039237001</v>
          </cell>
          <cell r="E143" t="str">
            <v>1720</v>
          </cell>
          <cell r="F143" t="str">
            <v>26/04/2004</v>
          </cell>
          <cell r="G143">
            <v>350</v>
          </cell>
          <cell r="H143">
            <v>42</v>
          </cell>
          <cell r="I143">
            <v>12.6</v>
          </cell>
          <cell r="J143" t="str">
            <v>MIPC001240</v>
          </cell>
          <cell r="K143" t="str">
            <v>VC3</v>
          </cell>
          <cell r="L143" t="str">
            <v>P. NATURAL</v>
          </cell>
          <cell r="M143" t="str">
            <v>0000010819</v>
          </cell>
          <cell r="N143">
            <v>1</v>
          </cell>
        </row>
        <row r="144">
          <cell r="A144" t="str">
            <v>MIPC001242</v>
          </cell>
          <cell r="B144" t="str">
            <v>210VINDM</v>
          </cell>
          <cell r="C144" t="str">
            <v>Industrial Marco</v>
          </cell>
          <cell r="D144" t="str">
            <v>1712039237001</v>
          </cell>
          <cell r="E144" t="str">
            <v>1721</v>
          </cell>
          <cell r="F144" t="str">
            <v>26/04/2004</v>
          </cell>
          <cell r="G144">
            <v>26</v>
          </cell>
          <cell r="H144">
            <v>3.12</v>
          </cell>
          <cell r="I144">
            <v>0.94</v>
          </cell>
          <cell r="J144" t="str">
            <v>MIPC001242</v>
          </cell>
          <cell r="K144" t="str">
            <v>VC3</v>
          </cell>
          <cell r="L144" t="str">
            <v>P. NATURAL</v>
          </cell>
          <cell r="M144" t="str">
            <v>0000010819</v>
          </cell>
          <cell r="N144">
            <v>1</v>
          </cell>
        </row>
        <row r="145">
          <cell r="A145" t="str">
            <v>MIPC001255</v>
          </cell>
          <cell r="B145" t="str">
            <v>210VINDM</v>
          </cell>
          <cell r="C145" t="str">
            <v>Industrial Marco</v>
          </cell>
          <cell r="D145" t="str">
            <v>1712039237001</v>
          </cell>
          <cell r="E145" t="str">
            <v>1740</v>
          </cell>
          <cell r="F145" t="str">
            <v>10/05/2004</v>
          </cell>
          <cell r="G145">
            <v>199</v>
          </cell>
          <cell r="H145">
            <v>23.88</v>
          </cell>
          <cell r="I145">
            <v>7.16</v>
          </cell>
          <cell r="J145" t="str">
            <v>MIPC001255</v>
          </cell>
          <cell r="K145" t="str">
            <v>VC3</v>
          </cell>
          <cell r="L145" t="str">
            <v>P. NATURAL</v>
          </cell>
          <cell r="M145" t="str">
            <v>0000010819</v>
          </cell>
          <cell r="N145">
            <v>1</v>
          </cell>
        </row>
        <row r="146">
          <cell r="A146" t="str">
            <v>MIPO002921</v>
          </cell>
          <cell r="B146" t="str">
            <v>210VINDM</v>
          </cell>
          <cell r="C146" t="str">
            <v>Industrial Marco</v>
          </cell>
          <cell r="D146" t="str">
            <v>1712039237001</v>
          </cell>
          <cell r="E146" t="str">
            <v>1730</v>
          </cell>
          <cell r="F146" t="str">
            <v>14/05/2004</v>
          </cell>
          <cell r="G146">
            <v>799.16600000000005</v>
          </cell>
          <cell r="H146">
            <v>95.9</v>
          </cell>
          <cell r="I146">
            <v>28.77</v>
          </cell>
          <cell r="J146" t="str">
            <v>MIPO002921</v>
          </cell>
          <cell r="K146" t="str">
            <v>VC3</v>
          </cell>
          <cell r="L146" t="str">
            <v>P. NATURAL</v>
          </cell>
          <cell r="M146" t="str">
            <v>0000010819</v>
          </cell>
          <cell r="N146">
            <v>1</v>
          </cell>
        </row>
        <row r="147">
          <cell r="A147" t="str">
            <v>MIPC001263</v>
          </cell>
          <cell r="B147" t="str">
            <v>210VINDM</v>
          </cell>
          <cell r="C147" t="str">
            <v>Industrial Marco</v>
          </cell>
          <cell r="D147" t="str">
            <v>1712039237001</v>
          </cell>
          <cell r="E147" t="str">
            <v>1746</v>
          </cell>
          <cell r="F147" t="str">
            <v>24/05/2004</v>
          </cell>
          <cell r="G147">
            <v>96</v>
          </cell>
          <cell r="H147">
            <v>11.52</v>
          </cell>
          <cell r="I147">
            <v>3.46</v>
          </cell>
          <cell r="J147" t="str">
            <v>MIPC001263</v>
          </cell>
          <cell r="K147" t="str">
            <v>VC3</v>
          </cell>
          <cell r="L147" t="str">
            <v>P. NATURAL</v>
          </cell>
          <cell r="N147">
            <v>1</v>
          </cell>
        </row>
        <row r="148">
          <cell r="A148" t="str">
            <v>MIPC001269</v>
          </cell>
          <cell r="B148" t="str">
            <v>210VINDM</v>
          </cell>
          <cell r="C148" t="str">
            <v>Industrial Marco</v>
          </cell>
          <cell r="D148" t="str">
            <v>1712039237001</v>
          </cell>
          <cell r="E148" t="str">
            <v>1747</v>
          </cell>
          <cell r="F148" t="str">
            <v>24/05/2004</v>
          </cell>
          <cell r="G148">
            <v>263</v>
          </cell>
          <cell r="H148">
            <v>31.56</v>
          </cell>
          <cell r="I148">
            <v>9.4700000000000006</v>
          </cell>
          <cell r="J148" t="str">
            <v>MIPC001269</v>
          </cell>
          <cell r="K148" t="str">
            <v>VC3</v>
          </cell>
          <cell r="L148" t="str">
            <v>P. NATURAL</v>
          </cell>
          <cell r="N148">
            <v>1</v>
          </cell>
        </row>
        <row r="149">
          <cell r="A149" t="str">
            <v>MIPC001275</v>
          </cell>
          <cell r="B149" t="str">
            <v>210VINDM</v>
          </cell>
          <cell r="C149" t="str">
            <v>Industrial Marco</v>
          </cell>
          <cell r="D149" t="str">
            <v>1712039237001</v>
          </cell>
          <cell r="E149" t="str">
            <v>1749</v>
          </cell>
          <cell r="F149" t="str">
            <v>25/05/2004</v>
          </cell>
          <cell r="G149">
            <v>360</v>
          </cell>
          <cell r="H149">
            <v>43.2</v>
          </cell>
          <cell r="I149">
            <v>12.96</v>
          </cell>
          <cell r="J149" t="str">
            <v>MIPC001275</v>
          </cell>
          <cell r="K149" t="str">
            <v>VC3</v>
          </cell>
          <cell r="L149" t="str">
            <v>P. NATURAL</v>
          </cell>
          <cell r="N149">
            <v>1</v>
          </cell>
        </row>
        <row r="150">
          <cell r="A150" t="str">
            <v>MIPC001237</v>
          </cell>
          <cell r="B150" t="str">
            <v>210VMAIF</v>
          </cell>
          <cell r="C150" t="str">
            <v>Mainfg S.A</v>
          </cell>
          <cell r="D150" t="str">
            <v>0991399682001</v>
          </cell>
          <cell r="E150" t="str">
            <v>1415</v>
          </cell>
          <cell r="F150" t="str">
            <v>03/05/2004</v>
          </cell>
          <cell r="G150">
            <v>449</v>
          </cell>
          <cell r="H150">
            <v>53.88</v>
          </cell>
          <cell r="I150">
            <v>16.16</v>
          </cell>
          <cell r="J150" t="str">
            <v>MIPC001237</v>
          </cell>
          <cell r="K150" t="str">
            <v>VC3</v>
          </cell>
          <cell r="L150" t="str">
            <v>SOCIEDAD</v>
          </cell>
          <cell r="M150" t="str">
            <v>0000010825</v>
          </cell>
          <cell r="N150">
            <v>9</v>
          </cell>
        </row>
        <row r="151">
          <cell r="A151" t="str">
            <v>SOCIEDAD</v>
          </cell>
          <cell r="B151" t="str">
            <v>210VESBA</v>
          </cell>
          <cell r="C151" t="str">
            <v>ESBAL SA</v>
          </cell>
          <cell r="D151" t="str">
            <v>0991474226001</v>
          </cell>
          <cell r="E151" t="str">
            <v>227</v>
          </cell>
          <cell r="F151">
            <v>13600</v>
          </cell>
          <cell r="G151">
            <v>136</v>
          </cell>
          <cell r="H151" t="str">
            <v>MIPO002856</v>
          </cell>
          <cell r="I151" t="str">
            <v>RC1</v>
          </cell>
          <cell r="J151" t="str">
            <v>SOCIEDAD</v>
          </cell>
          <cell r="K151" t="str">
            <v>0000010863</v>
          </cell>
          <cell r="L151">
            <v>9</v>
          </cell>
          <cell r="O151" t="str">
            <v>VESBA</v>
          </cell>
        </row>
        <row r="152">
          <cell r="A152" t="str">
            <v>MIPO002860</v>
          </cell>
          <cell r="B152" t="str">
            <v>210VMARQ</v>
          </cell>
          <cell r="C152" t="str">
            <v>MARQUIM FLOWERS CA</v>
          </cell>
          <cell r="D152" t="str">
            <v>1791730356001</v>
          </cell>
          <cell r="E152" t="str">
            <v>4858</v>
          </cell>
          <cell r="G152">
            <v>1830</v>
          </cell>
          <cell r="H152">
            <v>18.3</v>
          </cell>
          <cell r="J152" t="str">
            <v>MIPO002860</v>
          </cell>
          <cell r="K152" t="str">
            <v>RC1</v>
          </cell>
          <cell r="L152" t="str">
            <v>SOCIEDAD</v>
          </cell>
          <cell r="M152" t="str">
            <v>0000010827</v>
          </cell>
          <cell r="N152">
            <v>9</v>
          </cell>
          <cell r="Q152" t="str">
            <v>VMARQ</v>
          </cell>
        </row>
        <row r="153">
          <cell r="A153" t="str">
            <v>MIPC001265</v>
          </cell>
          <cell r="B153" t="str">
            <v>210VMARA</v>
          </cell>
          <cell r="C153" t="str">
            <v>Martinez Alfredo</v>
          </cell>
          <cell r="D153" t="str">
            <v>1600099988001</v>
          </cell>
          <cell r="E153" t="str">
            <v>259</v>
          </cell>
          <cell r="F153" t="str">
            <v>17/05/2004</v>
          </cell>
          <cell r="G153">
            <v>150</v>
          </cell>
          <cell r="H153">
            <v>18</v>
          </cell>
          <cell r="I153">
            <v>5.4</v>
          </cell>
          <cell r="J153" t="str">
            <v>MIPC001265</v>
          </cell>
          <cell r="K153" t="str">
            <v>VC3</v>
          </cell>
          <cell r="L153" t="str">
            <v>P. NATURAL</v>
          </cell>
          <cell r="N153">
            <v>0</v>
          </cell>
        </row>
        <row r="154">
          <cell r="A154" t="str">
            <v>MIPC001212</v>
          </cell>
          <cell r="B154" t="str">
            <v>210VMASS</v>
          </cell>
          <cell r="C154" t="str">
            <v>Masson Abdon Gonzalo</v>
          </cell>
          <cell r="D154" t="str">
            <v>1600117855</v>
          </cell>
          <cell r="E154" t="str">
            <v>926</v>
          </cell>
          <cell r="F154" t="str">
            <v>03/05/2004</v>
          </cell>
          <cell r="G154">
            <v>200</v>
          </cell>
          <cell r="H154">
            <v>24</v>
          </cell>
          <cell r="I154">
            <v>7.2</v>
          </cell>
          <cell r="J154" t="str">
            <v>MIPC001212</v>
          </cell>
          <cell r="K154" t="str">
            <v>VC3</v>
          </cell>
          <cell r="L154" t="str">
            <v>P. NATURAL</v>
          </cell>
          <cell r="M154" t="str">
            <v>0000010826</v>
          </cell>
          <cell r="N154">
            <v>0</v>
          </cell>
        </row>
        <row r="155">
          <cell r="A155" t="str">
            <v>MIPO002790</v>
          </cell>
          <cell r="B155" t="str">
            <v>210VOTRO</v>
          </cell>
          <cell r="C155" t="str">
            <v>MASTER FORMAS</v>
          </cell>
          <cell r="D155" t="str">
            <v xml:space="preserve"> </v>
          </cell>
          <cell r="E155" t="str">
            <v>2076</v>
          </cell>
          <cell r="F155" t="str">
            <v>10/05/2004</v>
          </cell>
          <cell r="G155">
            <v>115</v>
          </cell>
          <cell r="H155">
            <v>13.8</v>
          </cell>
          <cell r="I155">
            <v>4.1399999999999997</v>
          </cell>
          <cell r="J155" t="str">
            <v>MIPO002790</v>
          </cell>
          <cell r="K155" t="str">
            <v>VC3</v>
          </cell>
          <cell r="L155" t="str">
            <v>P. NATURAL</v>
          </cell>
          <cell r="M155" t="str">
            <v>0000010828</v>
          </cell>
        </row>
        <row r="156">
          <cell r="A156" t="str">
            <v>MIPO002800</v>
          </cell>
          <cell r="B156" t="str">
            <v>210VMATR</v>
          </cell>
          <cell r="C156" t="str">
            <v>Matrin</v>
          </cell>
          <cell r="D156" t="str">
            <v>1790631214001</v>
          </cell>
          <cell r="E156" t="str">
            <v>712</v>
          </cell>
          <cell r="F156" t="str">
            <v>10/05/2004</v>
          </cell>
          <cell r="G156">
            <v>520</v>
          </cell>
          <cell r="H156">
            <v>62.4</v>
          </cell>
          <cell r="I156">
            <v>18.72</v>
          </cell>
          <cell r="J156" t="str">
            <v>MIPO002800</v>
          </cell>
          <cell r="K156" t="str">
            <v>VC3</v>
          </cell>
          <cell r="L156" t="str">
            <v>SOCIEDAD</v>
          </cell>
          <cell r="M156" t="str">
            <v>0000010867</v>
          </cell>
          <cell r="N156">
            <v>9</v>
          </cell>
        </row>
        <row r="157">
          <cell r="A157" t="str">
            <v>MIPO002765</v>
          </cell>
          <cell r="B157" t="str">
            <v>210VMICR</v>
          </cell>
          <cell r="C157" t="str">
            <v>MICROSIPSH</v>
          </cell>
          <cell r="D157" t="str">
            <v>1709769390001</v>
          </cell>
          <cell r="E157" t="str">
            <v>314</v>
          </cell>
          <cell r="F157" t="str">
            <v>05/05/2004</v>
          </cell>
          <cell r="G157">
            <v>45.5</v>
          </cell>
          <cell r="H157">
            <v>5.46</v>
          </cell>
          <cell r="I157">
            <v>1.64</v>
          </cell>
          <cell r="J157" t="str">
            <v>MIPO002765</v>
          </cell>
          <cell r="K157" t="str">
            <v>VC3</v>
          </cell>
          <cell r="L157" t="str">
            <v>P. NATURAL</v>
          </cell>
          <cell r="M157" t="str">
            <v>0000010869</v>
          </cell>
          <cell r="N157">
            <v>0</v>
          </cell>
        </row>
        <row r="158">
          <cell r="A158" t="str">
            <v>MIPO002808</v>
          </cell>
          <cell r="B158" t="str">
            <v>210VMICR</v>
          </cell>
          <cell r="C158" t="str">
            <v>MICROSIPSH</v>
          </cell>
          <cell r="D158" t="str">
            <v>1709769390001</v>
          </cell>
          <cell r="E158" t="str">
            <v>315</v>
          </cell>
          <cell r="F158" t="str">
            <v>05/05/2004</v>
          </cell>
          <cell r="G158">
            <v>77</v>
          </cell>
          <cell r="H158">
            <v>9.24</v>
          </cell>
          <cell r="I158">
            <v>2.77</v>
          </cell>
          <cell r="J158" t="str">
            <v>MIPO002808</v>
          </cell>
          <cell r="K158" t="str">
            <v>VC3</v>
          </cell>
          <cell r="L158" t="str">
            <v>P. NATURAL</v>
          </cell>
          <cell r="M158" t="str">
            <v>0000010869</v>
          </cell>
          <cell r="N158">
            <v>0</v>
          </cell>
        </row>
        <row r="159">
          <cell r="A159" t="str">
            <v>MIPO002859</v>
          </cell>
          <cell r="B159" t="str">
            <v>210VMICR</v>
          </cell>
          <cell r="C159" t="str">
            <v>MICROSIPSH</v>
          </cell>
          <cell r="D159" t="str">
            <v>1709769390001</v>
          </cell>
          <cell r="E159" t="str">
            <v>313</v>
          </cell>
          <cell r="F159" t="str">
            <v>05/05/2004</v>
          </cell>
          <cell r="G159">
            <v>88.5</v>
          </cell>
          <cell r="H159">
            <v>10.62</v>
          </cell>
          <cell r="I159">
            <v>3.19</v>
          </cell>
          <cell r="J159" t="str">
            <v>MIPO002859</v>
          </cell>
          <cell r="K159" t="str">
            <v>VC3</v>
          </cell>
          <cell r="L159" t="str">
            <v>P. NATURAL</v>
          </cell>
          <cell r="M159" t="str">
            <v>0000010869</v>
          </cell>
          <cell r="N159">
            <v>0</v>
          </cell>
        </row>
        <row r="160">
          <cell r="A160" t="str">
            <v>MIPO002827</v>
          </cell>
          <cell r="B160" t="str">
            <v>210VMODU</v>
          </cell>
          <cell r="C160" t="str">
            <v>Modulos</v>
          </cell>
          <cell r="D160" t="str">
            <v>1790476472001</v>
          </cell>
          <cell r="E160" t="str">
            <v>1671</v>
          </cell>
          <cell r="F160" t="str">
            <v>03/05/2004</v>
          </cell>
          <cell r="G160">
            <v>130.41</v>
          </cell>
          <cell r="H160">
            <v>15.65</v>
          </cell>
          <cell r="I160">
            <v>4.7</v>
          </cell>
          <cell r="J160" t="str">
            <v>MIPO002827</v>
          </cell>
          <cell r="K160" t="str">
            <v>VC3</v>
          </cell>
          <cell r="L160" t="str">
            <v>SOCIEDAD</v>
          </cell>
          <cell r="M160" t="str">
            <v>0000010789</v>
          </cell>
          <cell r="N160">
            <v>9</v>
          </cell>
        </row>
        <row r="161">
          <cell r="A161" t="str">
            <v>MIPO002849</v>
          </cell>
          <cell r="B161" t="str">
            <v>210VPECE</v>
          </cell>
          <cell r="C161" t="str">
            <v>PE. CE.</v>
          </cell>
          <cell r="D161" t="str">
            <v>1712704772001</v>
          </cell>
          <cell r="E161" t="str">
            <v>1692</v>
          </cell>
          <cell r="F161" t="str">
            <v>03/05/2004</v>
          </cell>
          <cell r="G161">
            <v>828.17</v>
          </cell>
          <cell r="H161">
            <v>99.38</v>
          </cell>
          <cell r="I161">
            <v>29.81</v>
          </cell>
          <cell r="J161" t="str">
            <v>MIPO002849</v>
          </cell>
          <cell r="K161" t="str">
            <v>VC3</v>
          </cell>
          <cell r="L161" t="str">
            <v>P. NATURAL</v>
          </cell>
          <cell r="N161">
            <v>1</v>
          </cell>
        </row>
        <row r="162">
          <cell r="A162" t="str">
            <v>MIPO002855</v>
          </cell>
          <cell r="B162" t="str">
            <v>210VPECE</v>
          </cell>
          <cell r="C162" t="str">
            <v>PE. CE.</v>
          </cell>
          <cell r="D162" t="str">
            <v>1712704772001</v>
          </cell>
          <cell r="E162" t="str">
            <v>1693</v>
          </cell>
          <cell r="F162" t="str">
            <v>03/05/2004</v>
          </cell>
          <cell r="G162">
            <v>441.66</v>
          </cell>
          <cell r="H162">
            <v>53</v>
          </cell>
          <cell r="I162">
            <v>15.9</v>
          </cell>
          <cell r="J162" t="str">
            <v>MIPO002855</v>
          </cell>
          <cell r="K162" t="str">
            <v>VC3</v>
          </cell>
          <cell r="L162" t="str">
            <v>P. NATURAL</v>
          </cell>
          <cell r="N162">
            <v>1</v>
          </cell>
        </row>
        <row r="163">
          <cell r="A163" t="str">
            <v>MIPO002875</v>
          </cell>
          <cell r="B163" t="str">
            <v>210VPECE</v>
          </cell>
          <cell r="C163" t="str">
            <v>PE. CE.</v>
          </cell>
          <cell r="D163" t="str">
            <v>1712704772001</v>
          </cell>
          <cell r="E163" t="str">
            <v>1706</v>
          </cell>
          <cell r="F163" t="str">
            <v>05/05/2004</v>
          </cell>
          <cell r="G163">
            <v>264.75</v>
          </cell>
          <cell r="H163">
            <v>31.77</v>
          </cell>
          <cell r="I163">
            <v>9.5299999999999994</v>
          </cell>
          <cell r="J163" t="str">
            <v>MIPO002875</v>
          </cell>
          <cell r="K163" t="str">
            <v>VC3</v>
          </cell>
          <cell r="L163" t="str">
            <v>P. NATURAL</v>
          </cell>
          <cell r="N163">
            <v>1</v>
          </cell>
        </row>
        <row r="164">
          <cell r="A164" t="str">
            <v>MIPO002876</v>
          </cell>
          <cell r="B164" t="str">
            <v>210VPECE</v>
          </cell>
          <cell r="C164" t="str">
            <v>PE. CE.</v>
          </cell>
          <cell r="D164" t="str">
            <v>1712704772001</v>
          </cell>
          <cell r="E164" t="str">
            <v>1706</v>
          </cell>
          <cell r="F164" t="str">
            <v>05/05/2004</v>
          </cell>
          <cell r="G164">
            <v>30.75</v>
          </cell>
          <cell r="H164">
            <v>3.69</v>
          </cell>
          <cell r="I164">
            <v>1.1100000000000001</v>
          </cell>
          <cell r="J164" t="str">
            <v>MIPO002876</v>
          </cell>
          <cell r="K164" t="str">
            <v>VC3</v>
          </cell>
          <cell r="L164" t="str">
            <v>P. NATURAL</v>
          </cell>
          <cell r="N164">
            <v>1</v>
          </cell>
        </row>
        <row r="165">
          <cell r="A165" t="str">
            <v>MIPO002883</v>
          </cell>
          <cell r="B165" t="str">
            <v>210VPECE</v>
          </cell>
          <cell r="C165" t="str">
            <v>PE. CE.</v>
          </cell>
          <cell r="D165" t="str">
            <v>1712704772001</v>
          </cell>
          <cell r="E165" t="str">
            <v>1707</v>
          </cell>
          <cell r="F165" t="str">
            <v>10/05/2004</v>
          </cell>
          <cell r="G165">
            <v>929.58</v>
          </cell>
          <cell r="H165">
            <v>111.5496</v>
          </cell>
          <cell r="I165">
            <v>33.47</v>
          </cell>
          <cell r="J165" t="str">
            <v>MIPO002883</v>
          </cell>
          <cell r="K165" t="str">
            <v>VC3</v>
          </cell>
          <cell r="L165" t="str">
            <v>P. NATURAL</v>
          </cell>
          <cell r="N165">
            <v>1</v>
          </cell>
        </row>
        <row r="166">
          <cell r="A166" t="str">
            <v>MIPO002906</v>
          </cell>
          <cell r="B166" t="str">
            <v>210VPECE</v>
          </cell>
          <cell r="C166" t="str">
            <v>PE. CE.</v>
          </cell>
          <cell r="D166" t="str">
            <v>1712704772001</v>
          </cell>
          <cell r="E166" t="str">
            <v>1729</v>
          </cell>
          <cell r="F166" t="str">
            <v>14/05/2004</v>
          </cell>
          <cell r="G166">
            <v>59.83</v>
          </cell>
          <cell r="H166">
            <v>7.18</v>
          </cell>
          <cell r="I166">
            <v>2.15</v>
          </cell>
          <cell r="J166" t="str">
            <v>MIPO002906</v>
          </cell>
          <cell r="K166" t="str">
            <v>VC3</v>
          </cell>
          <cell r="L166" t="str">
            <v>P. NATURAL</v>
          </cell>
          <cell r="N166">
            <v>1</v>
          </cell>
        </row>
        <row r="167">
          <cell r="A167" t="str">
            <v>MIPO002888</v>
          </cell>
          <cell r="B167" t="str">
            <v>210VPRO1</v>
          </cell>
          <cell r="C167" t="str">
            <v>Promigpart Cia.Ltda.</v>
          </cell>
          <cell r="D167" t="str">
            <v>1791754271001</v>
          </cell>
          <cell r="E167" t="str">
            <v>2797</v>
          </cell>
          <cell r="F167" t="str">
            <v>17/05/2004</v>
          </cell>
          <cell r="G167">
            <v>864</v>
          </cell>
          <cell r="H167">
            <v>103.68</v>
          </cell>
          <cell r="I167">
            <v>31.1</v>
          </cell>
          <cell r="J167" t="str">
            <v>MIPO002888</v>
          </cell>
          <cell r="K167" t="str">
            <v>VC3</v>
          </cell>
          <cell r="L167" t="str">
            <v>SOCIEDAD</v>
          </cell>
          <cell r="N167">
            <v>9</v>
          </cell>
        </row>
        <row r="168">
          <cell r="A168" t="str">
            <v>MIPO002877</v>
          </cell>
          <cell r="B168" t="str">
            <v>210VPROS</v>
          </cell>
          <cell r="C168" t="str">
            <v>Prosein Cia.Ltda.</v>
          </cell>
          <cell r="D168" t="str">
            <v>1791065093001</v>
          </cell>
          <cell r="E168" t="str">
            <v>31727</v>
          </cell>
          <cell r="F168" t="str">
            <v>10/05/2004</v>
          </cell>
          <cell r="G168">
            <v>1059</v>
          </cell>
          <cell r="H168">
            <v>127.08</v>
          </cell>
          <cell r="I168">
            <v>38.119999999999997</v>
          </cell>
          <cell r="J168" t="str">
            <v>MIPO002877</v>
          </cell>
          <cell r="K168" t="str">
            <v>VC3</v>
          </cell>
          <cell r="L168" t="str">
            <v>SOCIEDAD</v>
          </cell>
          <cell r="N168">
            <v>9</v>
          </cell>
        </row>
        <row r="169">
          <cell r="A169" t="str">
            <v>MIPO002857</v>
          </cell>
          <cell r="B169" t="str">
            <v>210VRESM</v>
          </cell>
          <cell r="C169" t="str">
            <v>RESIMON SA</v>
          </cell>
          <cell r="D169" t="str">
            <v>0992232099001</v>
          </cell>
          <cell r="E169" t="str">
            <v>6500</v>
          </cell>
          <cell r="G169">
            <v>44800</v>
          </cell>
          <cell r="H169">
            <v>448</v>
          </cell>
          <cell r="J169" t="str">
            <v>MIPO002857</v>
          </cell>
          <cell r="K169" t="str">
            <v>RC1</v>
          </cell>
          <cell r="L169" t="str">
            <v>SOCIEDAD</v>
          </cell>
          <cell r="M169" t="str">
            <v>0000010839</v>
          </cell>
          <cell r="N169">
            <v>9</v>
          </cell>
          <cell r="Q169" t="str">
            <v>VRESM</v>
          </cell>
        </row>
        <row r="170">
          <cell r="A170" t="str">
            <v>MIPO002920</v>
          </cell>
          <cell r="B170" t="str">
            <v>210VRESM</v>
          </cell>
          <cell r="C170" t="str">
            <v>RESIMON SA</v>
          </cell>
          <cell r="D170" t="str">
            <v>0992232099001</v>
          </cell>
          <cell r="E170" t="str">
            <v>811</v>
          </cell>
          <cell r="F170" t="str">
            <v>14/05/2004</v>
          </cell>
          <cell r="G170">
            <v>5900</v>
          </cell>
          <cell r="H170">
            <v>708</v>
          </cell>
          <cell r="I170">
            <v>212.4</v>
          </cell>
          <cell r="J170" t="str">
            <v>MIPO002920</v>
          </cell>
          <cell r="K170" t="str">
            <v>VC3</v>
          </cell>
          <cell r="L170" t="str">
            <v>SOCIEDAD</v>
          </cell>
          <cell r="M170" t="str">
            <v>0000010839</v>
          </cell>
          <cell r="N170">
            <v>9</v>
          </cell>
        </row>
        <row r="171">
          <cell r="A171" t="str">
            <v>MIPO002914</v>
          </cell>
          <cell r="B171" t="str">
            <v>210VRUSA</v>
          </cell>
          <cell r="C171" t="str">
            <v>RULIMANES SALVATIERRA</v>
          </cell>
          <cell r="D171" t="str">
            <v>0990005818004</v>
          </cell>
          <cell r="E171" t="str">
            <v>31596</v>
          </cell>
          <cell r="G171">
            <v>451.92</v>
          </cell>
          <cell r="H171">
            <v>54.230400000000003</v>
          </cell>
          <cell r="J171" t="str">
            <v>MIPO002914</v>
          </cell>
          <cell r="K171" t="str">
            <v>RC1</v>
          </cell>
          <cell r="L171" t="str">
            <v>SOCIEDAD</v>
          </cell>
          <cell r="N171">
            <v>9</v>
          </cell>
          <cell r="Q171" t="str">
            <v>VRUSA</v>
          </cell>
        </row>
        <row r="172">
          <cell r="A172" t="str">
            <v>MIPO002730</v>
          </cell>
          <cell r="B172" t="str">
            <v>210VRUSA</v>
          </cell>
          <cell r="C172" t="str">
            <v>RULIMANES SALVATIERRA</v>
          </cell>
          <cell r="D172" t="str">
            <v>0990005818004</v>
          </cell>
          <cell r="E172" t="str">
            <v>31597</v>
          </cell>
          <cell r="G172">
            <v>536.08000000000004</v>
          </cell>
          <cell r="H172">
            <v>64.329599999999999</v>
          </cell>
          <cell r="J172" t="str">
            <v>MIPO002730</v>
          </cell>
          <cell r="K172" t="str">
            <v>RC1</v>
          </cell>
          <cell r="L172" t="str">
            <v>SOCIEDAD</v>
          </cell>
          <cell r="N172">
            <v>9</v>
          </cell>
          <cell r="Q172" t="str">
            <v>VRUSA</v>
          </cell>
        </row>
        <row r="173">
          <cell r="A173" t="str">
            <v>MIPO002854</v>
          </cell>
          <cell r="B173" t="str">
            <v>210VSANV</v>
          </cell>
          <cell r="C173" t="str">
            <v>SANCEV ELECTRICA INDUSTRIAL</v>
          </cell>
          <cell r="D173" t="str">
            <v>1791313747001</v>
          </cell>
          <cell r="E173" t="str">
            <v>6456</v>
          </cell>
          <cell r="F173" t="str">
            <v>03/05/2004</v>
          </cell>
          <cell r="G173">
            <v>39.17</v>
          </cell>
          <cell r="H173">
            <v>4.7</v>
          </cell>
          <cell r="I173">
            <v>1.41</v>
          </cell>
          <cell r="J173" t="str">
            <v>MIPO002854</v>
          </cell>
          <cell r="K173" t="str">
            <v>VC3</v>
          </cell>
          <cell r="L173" t="str">
            <v>SOCIEDAD</v>
          </cell>
          <cell r="M173" t="str">
            <v>0000010840</v>
          </cell>
          <cell r="N173">
            <v>9</v>
          </cell>
        </row>
        <row r="174">
          <cell r="A174" t="str">
            <v>MIPO002903</v>
          </cell>
          <cell r="B174" t="str">
            <v>210VSANV</v>
          </cell>
          <cell r="C174" t="str">
            <v>SANCEV ELECTRICA INDUSTRIAL</v>
          </cell>
          <cell r="D174" t="str">
            <v>1791313747001</v>
          </cell>
          <cell r="E174" t="str">
            <v>6511</v>
          </cell>
          <cell r="F174" t="str">
            <v>17/05/2004</v>
          </cell>
          <cell r="G174">
            <v>223.42</v>
          </cell>
          <cell r="H174">
            <v>26.81</v>
          </cell>
          <cell r="I174">
            <v>8.0399999999999991</v>
          </cell>
          <cell r="J174" t="str">
            <v>MIPO002903</v>
          </cell>
          <cell r="K174" t="str">
            <v>VC3</v>
          </cell>
          <cell r="L174" t="str">
            <v>SOCIEDAD</v>
          </cell>
          <cell r="N174">
            <v>9</v>
          </cell>
        </row>
        <row r="175">
          <cell r="A175" t="str">
            <v>MIPO002841</v>
          </cell>
          <cell r="B175" t="str">
            <v>210VSIQU</v>
          </cell>
          <cell r="C175" t="str">
            <v>SIQUEM</v>
          </cell>
          <cell r="D175" t="str">
            <v>0602047797001</v>
          </cell>
          <cell r="E175" t="str">
            <v>360</v>
          </cell>
          <cell r="F175" t="str">
            <v>03/05/2004</v>
          </cell>
          <cell r="G175">
            <v>168</v>
          </cell>
          <cell r="H175">
            <v>20.16</v>
          </cell>
          <cell r="I175">
            <v>6.05</v>
          </cell>
          <cell r="J175" t="str">
            <v>MIPO002841</v>
          </cell>
          <cell r="K175" t="str">
            <v>VC3</v>
          </cell>
          <cell r="L175" t="str">
            <v>P. NATURAL</v>
          </cell>
          <cell r="M175" t="str">
            <v>0000010842</v>
          </cell>
          <cell r="N175">
            <v>0</v>
          </cell>
        </row>
        <row r="176">
          <cell r="A176" t="str">
            <v>MIPC001241</v>
          </cell>
          <cell r="B176" t="str">
            <v>210VSIXM</v>
          </cell>
          <cell r="C176" t="str">
            <v>Six Motors</v>
          </cell>
          <cell r="D176" t="str">
            <v>1500350978002</v>
          </cell>
          <cell r="E176" t="str">
            <v>8283</v>
          </cell>
          <cell r="F176" t="str">
            <v>26/04/2004</v>
          </cell>
          <cell r="G176">
            <v>25</v>
          </cell>
          <cell r="H176">
            <v>3</v>
          </cell>
          <cell r="I176">
            <v>0.9</v>
          </cell>
          <cell r="J176" t="str">
            <v>MIPC001241</v>
          </cell>
          <cell r="K176" t="str">
            <v>VC3</v>
          </cell>
          <cell r="L176" t="str">
            <v>P. NATURAL</v>
          </cell>
          <cell r="M176" t="str">
            <v>0000010843</v>
          </cell>
          <cell r="N176">
            <v>0</v>
          </cell>
        </row>
        <row r="177">
          <cell r="A177" t="str">
            <v>MISO004199</v>
          </cell>
          <cell r="B177" t="str">
            <v>210VSUPF</v>
          </cell>
          <cell r="C177" t="str">
            <v>Supermercados La Favorita</v>
          </cell>
          <cell r="D177" t="str">
            <v>1790016919001</v>
          </cell>
          <cell r="E177" t="str">
            <v>264402-361</v>
          </cell>
          <cell r="G177">
            <v>242</v>
          </cell>
          <cell r="H177">
            <v>29.04</v>
          </cell>
          <cell r="J177" t="str">
            <v>MISO004199</v>
          </cell>
          <cell r="K177" t="str">
            <v>RC1</v>
          </cell>
          <cell r="L177" t="str">
            <v>SOCIEDAD</v>
          </cell>
          <cell r="M177" t="str">
            <v>0000010774</v>
          </cell>
          <cell r="N177">
            <v>9</v>
          </cell>
          <cell r="Q177" t="str">
            <v>VSUPF</v>
          </cell>
        </row>
        <row r="178">
          <cell r="A178" t="str">
            <v>MIPO002700</v>
          </cell>
          <cell r="B178" t="str">
            <v>210VTACC</v>
          </cell>
          <cell r="C178" t="str">
            <v>Tacc Cia. Ltda.</v>
          </cell>
          <cell r="D178" t="str">
            <v>1790943437001</v>
          </cell>
          <cell r="E178" t="str">
            <v>4596</v>
          </cell>
          <cell r="F178" t="str">
            <v>10/05/2004</v>
          </cell>
          <cell r="G178">
            <v>1020</v>
          </cell>
          <cell r="H178">
            <v>122.4</v>
          </cell>
          <cell r="I178">
            <v>36.72</v>
          </cell>
          <cell r="J178" t="str">
            <v>MIPO002700</v>
          </cell>
          <cell r="K178" t="str">
            <v>VC3</v>
          </cell>
          <cell r="L178" t="str">
            <v>SOCIEDAD</v>
          </cell>
          <cell r="M178" t="str">
            <v>0000010872</v>
          </cell>
          <cell r="N178">
            <v>9</v>
          </cell>
        </row>
        <row r="179">
          <cell r="A179" t="str">
            <v>MIPO002898</v>
          </cell>
          <cell r="B179" t="str">
            <v>210VTUBO</v>
          </cell>
          <cell r="C179" t="str">
            <v>Tuboscope Vetco Internat.</v>
          </cell>
          <cell r="D179" t="str">
            <v>1791334744001</v>
          </cell>
          <cell r="E179" t="str">
            <v>1336</v>
          </cell>
          <cell r="G179">
            <v>4338.42</v>
          </cell>
          <cell r="H179">
            <v>520.61040000000003</v>
          </cell>
          <cell r="J179" t="str">
            <v>MIPO002898</v>
          </cell>
          <cell r="K179" t="str">
            <v>RC1</v>
          </cell>
          <cell r="L179" t="str">
            <v>SOCIEDAD</v>
          </cell>
          <cell r="N179">
            <v>9</v>
          </cell>
          <cell r="Q179" t="str">
            <v>VTUBO</v>
          </cell>
        </row>
        <row r="180">
          <cell r="G180">
            <v>235091.37199999994</v>
          </cell>
          <cell r="H180">
            <v>23065.342400000012</v>
          </cell>
          <cell r="I180">
            <v>6305.57</v>
          </cell>
        </row>
        <row r="181">
          <cell r="A181" t="str">
            <v>MISO003775</v>
          </cell>
          <cell r="B181" t="str">
            <v>210VAERO</v>
          </cell>
          <cell r="C181" t="str">
            <v>Aerogal</v>
          </cell>
          <cell r="D181" t="str">
            <v>1790727203001</v>
          </cell>
          <cell r="E181" t="str">
            <v>5445</v>
          </cell>
          <cell r="F181" t="str">
            <v>06/05/2004</v>
          </cell>
          <cell r="G181">
            <v>216.90476190476193</v>
          </cell>
          <cell r="H181">
            <v>26.028571428571428</v>
          </cell>
          <cell r="I181">
            <v>18.22</v>
          </cell>
          <cell r="J181" t="str">
            <v>MISO003775</v>
          </cell>
          <cell r="K181" t="str">
            <v>VS7</v>
          </cell>
          <cell r="L181" t="str">
            <v>SOCIEDAD</v>
          </cell>
          <cell r="N181">
            <v>9</v>
          </cell>
        </row>
        <row r="182">
          <cell r="A182" t="str">
            <v>MISO004265</v>
          </cell>
          <cell r="B182" t="str">
            <v>210VCOCM</v>
          </cell>
          <cell r="C182" t="str">
            <v>Almacenes Comego</v>
          </cell>
          <cell r="D182" t="str">
            <v>0790054644001</v>
          </cell>
          <cell r="E182" t="str">
            <v>16837</v>
          </cell>
          <cell r="F182" t="str">
            <v>28/04/2004</v>
          </cell>
          <cell r="G182">
            <v>1500</v>
          </cell>
          <cell r="H182">
            <v>180</v>
          </cell>
          <cell r="I182">
            <v>126</v>
          </cell>
          <cell r="J182" t="str">
            <v>MISO004265</v>
          </cell>
          <cell r="K182" t="str">
            <v>VS7</v>
          </cell>
          <cell r="L182" t="str">
            <v>SOCIEDAD</v>
          </cell>
          <cell r="M182" t="str">
            <v>0000010721</v>
          </cell>
          <cell r="N182">
            <v>9</v>
          </cell>
        </row>
        <row r="183">
          <cell r="A183" t="str">
            <v>MISO004077</v>
          </cell>
          <cell r="B183" t="str">
            <v>210VARB</v>
          </cell>
          <cell r="C183" t="str">
            <v>ARB ECUADOR</v>
          </cell>
          <cell r="D183" t="str">
            <v>1791285883001</v>
          </cell>
          <cell r="E183" t="str">
            <v>1830</v>
          </cell>
          <cell r="G183">
            <v>1800</v>
          </cell>
          <cell r="H183">
            <v>216</v>
          </cell>
          <cell r="J183" t="str">
            <v>MISO004077</v>
          </cell>
          <cell r="K183" t="str">
            <v>RS1</v>
          </cell>
          <cell r="L183" t="str">
            <v>SOCIEDAD</v>
          </cell>
          <cell r="M183" t="str">
            <v>0000010855</v>
          </cell>
          <cell r="N183">
            <v>9</v>
          </cell>
          <cell r="Q183" t="str">
            <v>VARB</v>
          </cell>
        </row>
        <row r="184">
          <cell r="A184" t="str">
            <v>MISO004023</v>
          </cell>
          <cell r="B184" t="str">
            <v>210VARML</v>
          </cell>
          <cell r="C184" t="str">
            <v>ARMILED</v>
          </cell>
          <cell r="D184" t="str">
            <v>1791800503001</v>
          </cell>
          <cell r="E184" t="str">
            <v>178</v>
          </cell>
          <cell r="F184" t="str">
            <v>10/05/2004</v>
          </cell>
          <cell r="G184">
            <v>3996</v>
          </cell>
          <cell r="H184">
            <v>479.52</v>
          </cell>
          <cell r="I184">
            <v>335.66</v>
          </cell>
          <cell r="J184" t="str">
            <v>MISO004023</v>
          </cell>
          <cell r="K184" t="str">
            <v>VS7</v>
          </cell>
          <cell r="L184" t="str">
            <v>SOCIEDAD</v>
          </cell>
          <cell r="M184" t="str">
            <v>0000010856</v>
          </cell>
          <cell r="N184">
            <v>9</v>
          </cell>
        </row>
        <row r="185">
          <cell r="A185" t="str">
            <v>MISO004229</v>
          </cell>
          <cell r="B185" t="str">
            <v>210VARML</v>
          </cell>
          <cell r="C185" t="str">
            <v>ARMILED</v>
          </cell>
          <cell r="D185" t="str">
            <v>1791800503001</v>
          </cell>
          <cell r="E185" t="str">
            <v>10185</v>
          </cell>
          <cell r="F185" t="str">
            <v>17/05/2004</v>
          </cell>
          <cell r="G185">
            <v>3996</v>
          </cell>
          <cell r="H185">
            <v>479.52</v>
          </cell>
          <cell r="I185">
            <v>335.66</v>
          </cell>
          <cell r="J185" t="str">
            <v>MISO004229</v>
          </cell>
          <cell r="K185" t="str">
            <v>VS7</v>
          </cell>
          <cell r="L185" t="str">
            <v>SOCIEDAD</v>
          </cell>
          <cell r="N185">
            <v>9</v>
          </cell>
        </row>
        <row r="186">
          <cell r="A186" t="str">
            <v>MISO004183</v>
          </cell>
          <cell r="B186" t="str">
            <v>210VBIVA</v>
          </cell>
          <cell r="C186" t="str">
            <v>Bivac</v>
          </cell>
          <cell r="D186" t="str">
            <v>1791276817001</v>
          </cell>
          <cell r="E186" t="str">
            <v>6518</v>
          </cell>
          <cell r="F186" t="str">
            <v>13/05/2004</v>
          </cell>
          <cell r="G186">
            <v>180</v>
          </cell>
          <cell r="H186">
            <v>21.6</v>
          </cell>
          <cell r="I186">
            <v>15.12</v>
          </cell>
          <cell r="J186" t="str">
            <v>MISO004183</v>
          </cell>
          <cell r="K186" t="str">
            <v>VS7</v>
          </cell>
          <cell r="L186" t="str">
            <v>SOCIEDAD</v>
          </cell>
          <cell r="M186" t="str">
            <v>0000010801</v>
          </cell>
          <cell r="N186">
            <v>9</v>
          </cell>
        </row>
        <row r="187">
          <cell r="A187" t="str">
            <v>MISO004278</v>
          </cell>
          <cell r="B187" t="str">
            <v>210VBIVA</v>
          </cell>
          <cell r="C187" t="str">
            <v>Bivac</v>
          </cell>
          <cell r="D187" t="str">
            <v>1791276817001</v>
          </cell>
          <cell r="E187" t="str">
            <v>6958</v>
          </cell>
          <cell r="F187" t="str">
            <v>05/05/2004</v>
          </cell>
          <cell r="G187">
            <v>1986.58</v>
          </cell>
          <cell r="H187">
            <v>238.38959999999997</v>
          </cell>
          <cell r="I187">
            <v>166.87</v>
          </cell>
          <cell r="J187" t="str">
            <v>MISO004278</v>
          </cell>
          <cell r="K187" t="str">
            <v>VS7</v>
          </cell>
          <cell r="L187" t="str">
            <v>SOCIEDAD</v>
          </cell>
          <cell r="M187" t="str">
            <v>0000010858</v>
          </cell>
          <cell r="N187">
            <v>9</v>
          </cell>
        </row>
        <row r="188">
          <cell r="A188" t="str">
            <v>MISO004277</v>
          </cell>
          <cell r="B188" t="str">
            <v>210VBIVA</v>
          </cell>
          <cell r="C188" t="str">
            <v>Bivac</v>
          </cell>
          <cell r="D188" t="str">
            <v>1791276817001</v>
          </cell>
          <cell r="E188" t="str">
            <v>6999</v>
          </cell>
          <cell r="F188" t="str">
            <v>06/05/2004</v>
          </cell>
          <cell r="G188">
            <v>2336.92</v>
          </cell>
          <cell r="H188">
            <v>280.43040000000002</v>
          </cell>
          <cell r="I188">
            <v>196.3</v>
          </cell>
          <cell r="J188" t="str">
            <v>MISO004277</v>
          </cell>
          <cell r="K188" t="str">
            <v>VS7</v>
          </cell>
          <cell r="L188" t="str">
            <v>SOCIEDAD</v>
          </cell>
          <cell r="M188" t="str">
            <v>0000010858</v>
          </cell>
          <cell r="N188">
            <v>9</v>
          </cell>
        </row>
        <row r="189">
          <cell r="A189" t="str">
            <v>MISO004276</v>
          </cell>
          <cell r="B189" t="str">
            <v>210VBIVA</v>
          </cell>
          <cell r="C189" t="str">
            <v>Bivac</v>
          </cell>
          <cell r="D189" t="str">
            <v>1791276817001</v>
          </cell>
          <cell r="E189" t="str">
            <v>7023</v>
          </cell>
          <cell r="F189" t="str">
            <v>06/05/2004</v>
          </cell>
          <cell r="G189">
            <v>180</v>
          </cell>
          <cell r="H189">
            <v>21.6</v>
          </cell>
          <cell r="I189">
            <v>15.12</v>
          </cell>
          <cell r="J189" t="str">
            <v>MISO004276</v>
          </cell>
          <cell r="K189" t="str">
            <v>VS7</v>
          </cell>
          <cell r="L189" t="str">
            <v>SOCIEDAD</v>
          </cell>
          <cell r="M189" t="str">
            <v>0000010858</v>
          </cell>
          <cell r="N189">
            <v>9</v>
          </cell>
        </row>
        <row r="190">
          <cell r="A190" t="str">
            <v>MISO004376</v>
          </cell>
          <cell r="B190" t="str">
            <v>210VBIVA</v>
          </cell>
          <cell r="C190" t="str">
            <v>Bivac</v>
          </cell>
          <cell r="D190" t="str">
            <v>1791276817001</v>
          </cell>
          <cell r="E190" t="str">
            <v>8083</v>
          </cell>
          <cell r="F190" t="str">
            <v>26/05/2004</v>
          </cell>
          <cell r="G190">
            <v>180</v>
          </cell>
          <cell r="H190">
            <v>21.6</v>
          </cell>
          <cell r="I190">
            <v>15.12</v>
          </cell>
          <cell r="J190" t="str">
            <v>MISO004376</v>
          </cell>
          <cell r="K190" t="str">
            <v>VS7</v>
          </cell>
          <cell r="L190" t="str">
            <v>SOCIEDAD</v>
          </cell>
          <cell r="N190">
            <v>9</v>
          </cell>
        </row>
        <row r="191">
          <cell r="A191" t="str">
            <v>MISO004060</v>
          </cell>
          <cell r="B191" t="str">
            <v>210VCETG</v>
          </cell>
          <cell r="C191" t="str">
            <v>CETAGUA</v>
          </cell>
          <cell r="D191" t="str">
            <v>0991461337001</v>
          </cell>
          <cell r="E191" t="str">
            <v>757</v>
          </cell>
          <cell r="F191" t="str">
            <v>10/05/2004</v>
          </cell>
          <cell r="G191">
            <v>8990</v>
          </cell>
          <cell r="H191">
            <v>1078.8</v>
          </cell>
          <cell r="I191">
            <v>755.16</v>
          </cell>
          <cell r="J191" t="str">
            <v>MISO004060</v>
          </cell>
          <cell r="K191" t="str">
            <v>VS7</v>
          </cell>
          <cell r="L191" t="str">
            <v>SOCIEDAD</v>
          </cell>
          <cell r="N191">
            <v>9</v>
          </cell>
        </row>
        <row r="192">
          <cell r="A192" t="str">
            <v>MISO004146</v>
          </cell>
          <cell r="B192" t="str">
            <v>210VCETG</v>
          </cell>
          <cell r="C192" t="str">
            <v>CETAGUA</v>
          </cell>
          <cell r="D192" t="str">
            <v>0991461337001</v>
          </cell>
          <cell r="E192" t="str">
            <v>756</v>
          </cell>
          <cell r="F192" t="str">
            <v>10/05/2004</v>
          </cell>
          <cell r="G192">
            <v>3190</v>
          </cell>
          <cell r="H192">
            <v>382.8</v>
          </cell>
          <cell r="I192">
            <v>267.95999999999998</v>
          </cell>
          <cell r="J192" t="str">
            <v>MISO004146</v>
          </cell>
          <cell r="K192" t="str">
            <v>VS7</v>
          </cell>
          <cell r="L192" t="str">
            <v>SOCIEDAD</v>
          </cell>
          <cell r="N192">
            <v>9</v>
          </cell>
        </row>
        <row r="193">
          <cell r="A193" t="str">
            <v>MISO004053</v>
          </cell>
          <cell r="B193" t="str">
            <v>210VCETG</v>
          </cell>
          <cell r="C193" t="str">
            <v>CETAGUA</v>
          </cell>
          <cell r="D193" t="str">
            <v>0991461337001</v>
          </cell>
          <cell r="E193" t="str">
            <v>756</v>
          </cell>
          <cell r="F193" t="str">
            <v>10/05/2004</v>
          </cell>
          <cell r="G193">
            <v>7060</v>
          </cell>
          <cell r="H193">
            <v>847.2</v>
          </cell>
          <cell r="I193">
            <v>593.04</v>
          </cell>
          <cell r="J193" t="str">
            <v>MISO004053</v>
          </cell>
          <cell r="K193" t="str">
            <v>VS7</v>
          </cell>
          <cell r="L193" t="str">
            <v>SOCIEDAD</v>
          </cell>
          <cell r="N193">
            <v>9</v>
          </cell>
        </row>
        <row r="194">
          <cell r="A194" t="str">
            <v>MISO004256</v>
          </cell>
          <cell r="B194" t="str">
            <v>210VCLEA</v>
          </cell>
          <cell r="C194" t="str">
            <v>Cleaner Plus</v>
          </cell>
          <cell r="D194" t="str">
            <v>1791314697001</v>
          </cell>
          <cell r="E194" t="str">
            <v>351</v>
          </cell>
          <cell r="F194" t="str">
            <v>25/05/2004</v>
          </cell>
          <cell r="G194">
            <v>376.33</v>
          </cell>
          <cell r="H194">
            <v>45.159599999999998</v>
          </cell>
          <cell r="I194">
            <v>31.61</v>
          </cell>
          <cell r="J194" t="str">
            <v>MISO004256</v>
          </cell>
          <cell r="K194" t="str">
            <v>VS7</v>
          </cell>
          <cell r="L194" t="str">
            <v>SOCIEDAD</v>
          </cell>
          <cell r="N194">
            <v>9</v>
          </cell>
        </row>
        <row r="195">
          <cell r="A195" t="str">
            <v>MISO004287</v>
          </cell>
          <cell r="B195" t="str">
            <v>210VCONE</v>
          </cell>
          <cell r="C195" t="str">
            <v>Conecel</v>
          </cell>
          <cell r="D195" t="str">
            <v>1791251237001</v>
          </cell>
          <cell r="E195" t="str">
            <v>401495-855</v>
          </cell>
          <cell r="G195">
            <v>1724.83</v>
          </cell>
          <cell r="H195">
            <v>206.97959999999998</v>
          </cell>
          <cell r="J195" t="str">
            <v>MISO004287</v>
          </cell>
          <cell r="K195" t="str">
            <v>RS1</v>
          </cell>
          <cell r="L195" t="str">
            <v>SOCIEDAD</v>
          </cell>
          <cell r="M195" t="str">
            <v>0000010655</v>
          </cell>
          <cell r="N195">
            <v>9</v>
          </cell>
          <cell r="Q195" t="str">
            <v>VCONE</v>
          </cell>
        </row>
        <row r="196">
          <cell r="A196" t="str">
            <v>MISO004309</v>
          </cell>
          <cell r="B196" t="str">
            <v>210VDHL</v>
          </cell>
          <cell r="C196" t="str">
            <v>Dhl</v>
          </cell>
          <cell r="D196" t="str">
            <v>1790546667001</v>
          </cell>
          <cell r="E196" t="str">
            <v xml:space="preserve"> </v>
          </cell>
          <cell r="G196">
            <v>25</v>
          </cell>
          <cell r="H196">
            <v>3</v>
          </cell>
          <cell r="J196" t="str">
            <v>MISO004309</v>
          </cell>
          <cell r="K196" t="str">
            <v>RS1</v>
          </cell>
          <cell r="L196" t="str">
            <v>SOCIEDAD</v>
          </cell>
          <cell r="M196" t="str">
            <v>0000010710</v>
          </cell>
          <cell r="N196">
            <v>9</v>
          </cell>
          <cell r="Q196" t="str">
            <v>VDHL</v>
          </cell>
        </row>
        <row r="197">
          <cell r="A197" t="str">
            <v>MISO004187</v>
          </cell>
          <cell r="B197" t="str">
            <v>210VDHL</v>
          </cell>
          <cell r="C197" t="str">
            <v>Dhl</v>
          </cell>
          <cell r="D197" t="str">
            <v>1790546667001</v>
          </cell>
          <cell r="E197" t="str">
            <v>57250</v>
          </cell>
          <cell r="G197">
            <v>210.33</v>
          </cell>
          <cell r="H197">
            <v>25.239599999999999</v>
          </cell>
          <cell r="J197" t="str">
            <v>MISO004187</v>
          </cell>
          <cell r="K197" t="str">
            <v>RS1</v>
          </cell>
          <cell r="L197" t="str">
            <v>SOCIEDAD</v>
          </cell>
          <cell r="M197" t="str">
            <v>0000010794</v>
          </cell>
          <cell r="N197">
            <v>9</v>
          </cell>
          <cell r="Q197" t="str">
            <v>VDHL</v>
          </cell>
        </row>
        <row r="198">
          <cell r="A198" t="str">
            <v>MISO004136</v>
          </cell>
          <cell r="B198" t="str">
            <v>210VDHL</v>
          </cell>
          <cell r="C198" t="str">
            <v>Dhl</v>
          </cell>
          <cell r="D198" t="str">
            <v>1790546667001</v>
          </cell>
          <cell r="G198">
            <v>687</v>
          </cell>
          <cell r="H198">
            <v>82.44</v>
          </cell>
          <cell r="J198" t="str">
            <v>MISO004136</v>
          </cell>
          <cell r="K198" t="str">
            <v>RS1</v>
          </cell>
          <cell r="L198" t="str">
            <v>SOCIEDAD</v>
          </cell>
          <cell r="M198" t="str">
            <v>0000010794</v>
          </cell>
          <cell r="N198">
            <v>9</v>
          </cell>
          <cell r="Q198" t="str">
            <v>VDHL</v>
          </cell>
        </row>
        <row r="199">
          <cell r="A199" t="str">
            <v>MISO004245</v>
          </cell>
          <cell r="B199" t="str">
            <v>210VEDII</v>
          </cell>
          <cell r="C199" t="str">
            <v>Editores E Impresores</v>
          </cell>
          <cell r="D199" t="str">
            <v>1790502694001</v>
          </cell>
          <cell r="E199" t="str">
            <v>22390</v>
          </cell>
          <cell r="G199">
            <v>74</v>
          </cell>
          <cell r="H199">
            <v>8.879999999999999</v>
          </cell>
          <cell r="J199" t="str">
            <v>MISO004245</v>
          </cell>
          <cell r="K199" t="str">
            <v>RS1</v>
          </cell>
          <cell r="L199" t="str">
            <v>SOCIEDAD</v>
          </cell>
          <cell r="M199" t="str">
            <v>0000010854</v>
          </cell>
          <cell r="N199">
            <v>9</v>
          </cell>
          <cell r="Q199" t="str">
            <v>VEDII</v>
          </cell>
        </row>
        <row r="200">
          <cell r="A200" t="str">
            <v>MISO004117</v>
          </cell>
          <cell r="B200" t="str">
            <v>210VFINA</v>
          </cell>
          <cell r="C200" t="str">
            <v>Finamerica</v>
          </cell>
          <cell r="D200" t="str">
            <v>0990652570002</v>
          </cell>
          <cell r="E200" t="str">
            <v>16447</v>
          </cell>
          <cell r="G200">
            <v>1202.67</v>
          </cell>
          <cell r="H200">
            <v>144.32040000000001</v>
          </cell>
          <cell r="J200" t="str">
            <v>MISO004117</v>
          </cell>
          <cell r="K200" t="str">
            <v>RS1</v>
          </cell>
          <cell r="L200" t="str">
            <v>SOCIEDAD</v>
          </cell>
          <cell r="M200" t="str">
            <v>0000010779</v>
          </cell>
          <cell r="N200">
            <v>9</v>
          </cell>
          <cell r="Q200" t="str">
            <v>VFINA</v>
          </cell>
        </row>
        <row r="201">
          <cell r="A201" t="str">
            <v>MISO004062</v>
          </cell>
          <cell r="B201" t="str">
            <v>210VGLOQ</v>
          </cell>
          <cell r="C201" t="str">
            <v>GLOBAL QUIMICOS</v>
          </cell>
          <cell r="D201" t="str">
            <v>1791827317001</v>
          </cell>
          <cell r="E201" t="str">
            <v>3034</v>
          </cell>
          <cell r="F201" t="str">
            <v>17/05/2004</v>
          </cell>
          <cell r="G201">
            <v>5910</v>
          </cell>
          <cell r="H201">
            <v>709.2</v>
          </cell>
          <cell r="I201">
            <v>496.44</v>
          </cell>
          <cell r="J201" t="str">
            <v>MISO004062</v>
          </cell>
          <cell r="K201" t="str">
            <v>VS7</v>
          </cell>
          <cell r="L201" t="str">
            <v>SOCIEDAD</v>
          </cell>
          <cell r="N201">
            <v>9</v>
          </cell>
        </row>
        <row r="202">
          <cell r="A202" t="str">
            <v>MISO004061</v>
          </cell>
          <cell r="B202" t="str">
            <v>210VGRUN</v>
          </cell>
          <cell r="C202" t="str">
            <v>Gruntec</v>
          </cell>
          <cell r="D202" t="str">
            <v>1791344073001</v>
          </cell>
          <cell r="E202" t="str">
            <v>1471</v>
          </cell>
          <cell r="F202" t="str">
            <v>10/05/2004</v>
          </cell>
          <cell r="G202">
            <v>3433.5714285714284</v>
          </cell>
          <cell r="H202">
            <v>412.02857142857141</v>
          </cell>
          <cell r="I202">
            <v>288.42</v>
          </cell>
          <cell r="J202" t="str">
            <v>MISO004061</v>
          </cell>
          <cell r="K202" t="str">
            <v>VS7</v>
          </cell>
          <cell r="L202" t="str">
            <v>SOCIEDAD</v>
          </cell>
          <cell r="N202">
            <v>9</v>
          </cell>
        </row>
        <row r="203">
          <cell r="A203" t="str">
            <v>MISO004148</v>
          </cell>
          <cell r="B203" t="str">
            <v>210VGRUN</v>
          </cell>
          <cell r="C203" t="str">
            <v>Gruntec</v>
          </cell>
          <cell r="D203" t="str">
            <v>1791344073001</v>
          </cell>
          <cell r="E203" t="str">
            <v>1471</v>
          </cell>
          <cell r="F203" t="str">
            <v>10/05/2004</v>
          </cell>
          <cell r="G203">
            <v>1980.42</v>
          </cell>
          <cell r="H203">
            <v>237.65039999999999</v>
          </cell>
          <cell r="I203">
            <v>166.36</v>
          </cell>
          <cell r="J203" t="str">
            <v>MISO004148</v>
          </cell>
          <cell r="K203" t="str">
            <v>VS7</v>
          </cell>
          <cell r="L203" t="str">
            <v>SOCIEDAD</v>
          </cell>
          <cell r="N203">
            <v>9</v>
          </cell>
        </row>
        <row r="204">
          <cell r="A204" t="str">
            <v>MISO004271</v>
          </cell>
          <cell r="B204" t="str">
            <v>210VHDM</v>
          </cell>
          <cell r="C204" t="str">
            <v>Hdm</v>
          </cell>
          <cell r="D204" t="str">
            <v>1790990842001</v>
          </cell>
          <cell r="E204" t="str">
            <v xml:space="preserve"> </v>
          </cell>
          <cell r="F204" t="str">
            <v>20/05/2004</v>
          </cell>
          <cell r="G204">
            <v>449</v>
          </cell>
          <cell r="H204">
            <v>53.879999999999995</v>
          </cell>
          <cell r="I204">
            <v>37.72</v>
          </cell>
          <cell r="J204" t="str">
            <v>MISO004271</v>
          </cell>
          <cell r="K204" t="str">
            <v>VS7</v>
          </cell>
          <cell r="L204" t="str">
            <v>SOCIEDAD</v>
          </cell>
          <cell r="M204" t="str">
            <v>0000010785</v>
          </cell>
          <cell r="N204">
            <v>9</v>
          </cell>
        </row>
        <row r="205">
          <cell r="A205" t="str">
            <v>MISO004205</v>
          </cell>
          <cell r="B205" t="str">
            <v>210VHODE</v>
          </cell>
          <cell r="C205" t="str">
            <v>Hodesa</v>
          </cell>
          <cell r="D205" t="str">
            <v>1791236319001</v>
          </cell>
          <cell r="E205" t="str">
            <v>57145-6-7-</v>
          </cell>
          <cell r="G205">
            <v>568.66999999999996</v>
          </cell>
          <cell r="H205">
            <v>68.240399999999994</v>
          </cell>
          <cell r="J205" t="str">
            <v>MISO004205</v>
          </cell>
          <cell r="K205" t="str">
            <v>RS1</v>
          </cell>
          <cell r="L205" t="str">
            <v>SOCIEDAD</v>
          </cell>
          <cell r="N205">
            <v>9</v>
          </cell>
          <cell r="Q205" t="str">
            <v>VHODE</v>
          </cell>
        </row>
        <row r="206">
          <cell r="A206" t="str">
            <v>MISO004137</v>
          </cell>
          <cell r="B206" t="str">
            <v>210VHODE</v>
          </cell>
          <cell r="C206" t="str">
            <v>Hodesa</v>
          </cell>
          <cell r="D206" t="str">
            <v>1791236319001</v>
          </cell>
          <cell r="E206" t="str">
            <v>57241-162-</v>
          </cell>
          <cell r="G206">
            <v>157.58000000000001</v>
          </cell>
          <cell r="H206">
            <v>18.909600000000001</v>
          </cell>
          <cell r="J206" t="str">
            <v>MISO004137</v>
          </cell>
          <cell r="K206" t="str">
            <v>RS1</v>
          </cell>
          <cell r="L206" t="str">
            <v>SOCIEDAD</v>
          </cell>
          <cell r="M206" t="str">
            <v>0000010817</v>
          </cell>
          <cell r="N206">
            <v>9</v>
          </cell>
          <cell r="Q206" t="str">
            <v>VHODE</v>
          </cell>
        </row>
        <row r="207">
          <cell r="A207" t="str">
            <v>MISO004246</v>
          </cell>
          <cell r="B207" t="str">
            <v>210VHODE</v>
          </cell>
          <cell r="C207" t="str">
            <v>Hodesa</v>
          </cell>
          <cell r="D207" t="str">
            <v>1791236319001</v>
          </cell>
          <cell r="E207" t="str">
            <v>57453-4-5-</v>
          </cell>
          <cell r="G207">
            <v>326.83</v>
          </cell>
          <cell r="H207">
            <v>39.2196</v>
          </cell>
          <cell r="J207" t="str">
            <v>MISO004246</v>
          </cell>
          <cell r="K207" t="str">
            <v>RS1</v>
          </cell>
          <cell r="L207" t="str">
            <v>SOCIEDAD</v>
          </cell>
          <cell r="M207" t="str">
            <v>0000010817</v>
          </cell>
          <cell r="N207">
            <v>9</v>
          </cell>
          <cell r="Q207" t="str">
            <v>VHODE</v>
          </cell>
        </row>
        <row r="208">
          <cell r="A208" t="str">
            <v>MISO004307</v>
          </cell>
          <cell r="B208" t="str">
            <v>210VHODE</v>
          </cell>
          <cell r="C208" t="str">
            <v>Hodesa</v>
          </cell>
          <cell r="D208" t="str">
            <v>1791236319001</v>
          </cell>
          <cell r="E208" t="str">
            <v>57666-5-4</v>
          </cell>
          <cell r="G208">
            <v>435.42</v>
          </cell>
          <cell r="H208">
            <v>52.250399999999999</v>
          </cell>
          <cell r="J208" t="str">
            <v>MISO004307</v>
          </cell>
          <cell r="K208" t="str">
            <v>RS1</v>
          </cell>
          <cell r="L208" t="str">
            <v>SOCIEDAD</v>
          </cell>
          <cell r="N208">
            <v>9</v>
          </cell>
          <cell r="Q208" t="str">
            <v>VHODE</v>
          </cell>
        </row>
        <row r="209">
          <cell r="A209" t="str">
            <v>MISO004048</v>
          </cell>
          <cell r="B209" t="str">
            <v>210VHOAR</v>
          </cell>
          <cell r="C209" t="str">
            <v>Hotel Araza</v>
          </cell>
          <cell r="D209" t="str">
            <v>1702761840001</v>
          </cell>
          <cell r="E209" t="str">
            <v>13763-3444</v>
          </cell>
          <cell r="F209" t="str">
            <v>01/05/2004</v>
          </cell>
          <cell r="G209">
            <v>319.40476190476193</v>
          </cell>
          <cell r="H209">
            <v>38.328571428571429</v>
          </cell>
          <cell r="I209">
            <v>26.83</v>
          </cell>
          <cell r="J209" t="str">
            <v>MISO004048</v>
          </cell>
          <cell r="K209" t="str">
            <v>VS7</v>
          </cell>
          <cell r="L209" t="str">
            <v>P. NATURAL</v>
          </cell>
          <cell r="M209" t="str">
            <v>0000010816</v>
          </cell>
          <cell r="N209">
            <v>0</v>
          </cell>
        </row>
        <row r="210">
          <cell r="A210" t="str">
            <v>MISC003740</v>
          </cell>
          <cell r="B210" t="str">
            <v>210VHOMI</v>
          </cell>
          <cell r="C210" t="str">
            <v>Hotel La Mision</v>
          </cell>
          <cell r="D210" t="str">
            <v>1708876402001</v>
          </cell>
          <cell r="E210" t="str">
            <v>3295</v>
          </cell>
          <cell r="F210" t="str">
            <v>03/05/2004</v>
          </cell>
          <cell r="G210">
            <v>3193.5</v>
          </cell>
          <cell r="H210">
            <v>383.21999999999997</v>
          </cell>
          <cell r="I210">
            <v>268.25</v>
          </cell>
          <cell r="J210" t="str">
            <v>MISC003740</v>
          </cell>
          <cell r="K210" t="str">
            <v>VS7</v>
          </cell>
          <cell r="L210" t="str">
            <v>P. NATURAL</v>
          </cell>
          <cell r="M210" t="str">
            <v>0000010818</v>
          </cell>
          <cell r="N210">
            <v>0</v>
          </cell>
        </row>
        <row r="211">
          <cell r="A211" t="str">
            <v>MISC003835</v>
          </cell>
          <cell r="B211" t="str">
            <v>210VHOMI</v>
          </cell>
          <cell r="C211" t="str">
            <v>Hotel La Mision</v>
          </cell>
          <cell r="D211" t="str">
            <v>1708876402001</v>
          </cell>
          <cell r="E211" t="str">
            <v>3363</v>
          </cell>
          <cell r="F211" t="str">
            <v>25/05/2004</v>
          </cell>
          <cell r="G211">
            <v>785.71428571428578</v>
          </cell>
          <cell r="H211">
            <v>94.285714285714292</v>
          </cell>
          <cell r="I211">
            <v>66</v>
          </cell>
          <cell r="J211" t="str">
            <v>MISC003835</v>
          </cell>
          <cell r="K211" t="str">
            <v>VS7</v>
          </cell>
          <cell r="L211" t="str">
            <v>P. NATURAL</v>
          </cell>
          <cell r="N211">
            <v>0</v>
          </cell>
        </row>
        <row r="212">
          <cell r="A212" t="str">
            <v>MISO004206</v>
          </cell>
          <cell r="B212" t="str">
            <v>210VHTOV</v>
          </cell>
          <cell r="C212" t="str">
            <v>Hotel Oro Verde</v>
          </cell>
          <cell r="D212" t="str">
            <v>0790013425001</v>
          </cell>
          <cell r="E212" t="str">
            <v>39074</v>
          </cell>
          <cell r="G212">
            <v>121</v>
          </cell>
          <cell r="H212">
            <v>14.52</v>
          </cell>
          <cell r="J212" t="str">
            <v>MISO004206</v>
          </cell>
          <cell r="K212" t="str">
            <v>RS1</v>
          </cell>
          <cell r="L212" t="str">
            <v>SOCIEDAD</v>
          </cell>
          <cell r="M212" t="str">
            <v>0000010780</v>
          </cell>
          <cell r="N212">
            <v>9</v>
          </cell>
          <cell r="Q212" t="str">
            <v>VHTOV</v>
          </cell>
        </row>
        <row r="213">
          <cell r="A213" t="str">
            <v>MISO004331</v>
          </cell>
          <cell r="B213" t="str">
            <v>210VHTOV</v>
          </cell>
          <cell r="C213" t="str">
            <v>Hotel Oro Verde</v>
          </cell>
          <cell r="D213" t="str">
            <v>0790013425001</v>
          </cell>
          <cell r="E213" t="str">
            <v>39524</v>
          </cell>
          <cell r="G213">
            <v>311</v>
          </cell>
          <cell r="H213">
            <v>37.32</v>
          </cell>
          <cell r="J213" t="str">
            <v>MISO004331</v>
          </cell>
          <cell r="K213" t="str">
            <v>RS1</v>
          </cell>
          <cell r="L213" t="str">
            <v>SOCIEDAD</v>
          </cell>
          <cell r="N213">
            <v>9</v>
          </cell>
          <cell r="Q213" t="str">
            <v>VHTOV</v>
          </cell>
        </row>
        <row r="214">
          <cell r="A214" t="str">
            <v>MISO004207</v>
          </cell>
          <cell r="B214" t="str">
            <v>210VHTOV</v>
          </cell>
          <cell r="C214" t="str">
            <v>Hotel San Francisco</v>
          </cell>
          <cell r="D214" t="str">
            <v>0700781347001</v>
          </cell>
          <cell r="E214" t="str">
            <v>25670-669</v>
          </cell>
          <cell r="F214" t="str">
            <v>03/05/2004</v>
          </cell>
          <cell r="G214">
            <v>275.47619047619048</v>
          </cell>
          <cell r="H214">
            <v>33.057142857142857</v>
          </cell>
          <cell r="I214">
            <v>23.14</v>
          </cell>
          <cell r="J214" t="str">
            <v>MISO004207</v>
          </cell>
          <cell r="K214" t="str">
            <v>VS7</v>
          </cell>
          <cell r="L214" t="str">
            <v>SOCIEDAD</v>
          </cell>
          <cell r="N214">
            <v>9</v>
          </cell>
        </row>
        <row r="215">
          <cell r="A215" t="str">
            <v>MISO004047</v>
          </cell>
          <cell r="B215" t="str">
            <v>210VHOSF</v>
          </cell>
          <cell r="C215" t="str">
            <v>Hotel San Francisco</v>
          </cell>
          <cell r="D215" t="str">
            <v>0700781347001</v>
          </cell>
          <cell r="E215" t="str">
            <v>25662</v>
          </cell>
          <cell r="F215" t="str">
            <v>02/05/2004</v>
          </cell>
          <cell r="G215">
            <v>361.42857142857144</v>
          </cell>
          <cell r="H215">
            <v>43.371428571428574</v>
          </cell>
          <cell r="I215">
            <v>30.36</v>
          </cell>
          <cell r="J215" t="str">
            <v>MISO004047</v>
          </cell>
          <cell r="K215" t="str">
            <v>VS7</v>
          </cell>
          <cell r="L215" t="str">
            <v>P. NATURAL</v>
          </cell>
          <cell r="M215" t="str">
            <v>0000010778</v>
          </cell>
          <cell r="N215">
            <v>0</v>
          </cell>
        </row>
        <row r="216">
          <cell r="A216" t="str">
            <v>MISO004212</v>
          </cell>
          <cell r="B216" t="str">
            <v>210VHOSF</v>
          </cell>
          <cell r="C216" t="str">
            <v>Hotel San Francisco</v>
          </cell>
          <cell r="D216" t="str">
            <v>0700781347001</v>
          </cell>
          <cell r="E216" t="str">
            <v>25671</v>
          </cell>
          <cell r="F216" t="str">
            <v>03/05/2004</v>
          </cell>
          <cell r="G216">
            <v>363.45238095238096</v>
          </cell>
          <cell r="H216">
            <v>43.614285714285714</v>
          </cell>
          <cell r="I216">
            <v>30.53</v>
          </cell>
          <cell r="J216" t="str">
            <v>MISO004212</v>
          </cell>
          <cell r="K216" t="str">
            <v>VS7</v>
          </cell>
          <cell r="L216" t="str">
            <v>P. NATURAL</v>
          </cell>
          <cell r="M216" t="str">
            <v>0000010778</v>
          </cell>
          <cell r="N216">
            <v>0</v>
          </cell>
        </row>
        <row r="217">
          <cell r="A217" t="str">
            <v>MISO004255</v>
          </cell>
          <cell r="B217" t="str">
            <v>210VIMPS</v>
          </cell>
          <cell r="C217" t="str">
            <v>Impsat</v>
          </cell>
          <cell r="D217" t="str">
            <v>1791252322001</v>
          </cell>
          <cell r="E217" t="str">
            <v>44244</v>
          </cell>
          <cell r="G217">
            <v>2308</v>
          </cell>
          <cell r="H217">
            <v>276.95999999999998</v>
          </cell>
          <cell r="J217" t="str">
            <v>MISO004255</v>
          </cell>
          <cell r="K217" t="str">
            <v>RS1</v>
          </cell>
          <cell r="L217" t="str">
            <v>SOCIEDAD</v>
          </cell>
          <cell r="N217">
            <v>9</v>
          </cell>
          <cell r="Q217" t="str">
            <v>VIMPS</v>
          </cell>
        </row>
        <row r="218">
          <cell r="A218" t="str">
            <v>MISC003789</v>
          </cell>
          <cell r="B218" t="str">
            <v>210VINDM</v>
          </cell>
          <cell r="C218" t="str">
            <v>Industrial Marco</v>
          </cell>
          <cell r="D218" t="str">
            <v>1712039237001</v>
          </cell>
          <cell r="E218" t="str">
            <v>1730</v>
          </cell>
          <cell r="F218" t="str">
            <v>03/05/2004</v>
          </cell>
          <cell r="G218">
            <v>67.976190476190482</v>
          </cell>
          <cell r="H218">
            <v>8.1571428571428566</v>
          </cell>
          <cell r="I218">
            <v>5.71</v>
          </cell>
          <cell r="J218" t="str">
            <v>MISC003789</v>
          </cell>
          <cell r="K218" t="str">
            <v>VS7</v>
          </cell>
          <cell r="L218" t="str">
            <v>P. NATURAL</v>
          </cell>
          <cell r="M218" t="str">
            <v>0000010819</v>
          </cell>
          <cell r="N218">
            <v>1</v>
          </cell>
        </row>
        <row r="219">
          <cell r="A219" t="str">
            <v>MISC003817</v>
          </cell>
          <cell r="B219" t="str">
            <v>210VINDM</v>
          </cell>
          <cell r="C219" t="str">
            <v>Industrial Marco</v>
          </cell>
          <cell r="D219" t="str">
            <v>1712039237001</v>
          </cell>
          <cell r="E219" t="str">
            <v>1741</v>
          </cell>
          <cell r="F219" t="str">
            <v>10/05/2004</v>
          </cell>
          <cell r="G219">
            <v>29</v>
          </cell>
          <cell r="H219">
            <v>3.48</v>
          </cell>
          <cell r="I219">
            <v>2.44</v>
          </cell>
          <cell r="J219" t="str">
            <v>MISC003817</v>
          </cell>
          <cell r="K219" t="str">
            <v>VS7</v>
          </cell>
          <cell r="L219" t="str">
            <v>P. NATURAL</v>
          </cell>
          <cell r="M219" t="str">
            <v>0000010819</v>
          </cell>
          <cell r="N219">
            <v>1</v>
          </cell>
        </row>
        <row r="220">
          <cell r="A220" t="str">
            <v>MISC003828</v>
          </cell>
          <cell r="B220" t="str">
            <v>210VINDM</v>
          </cell>
          <cell r="C220" t="str">
            <v>Industrial Marco</v>
          </cell>
          <cell r="D220" t="str">
            <v>1712039237001</v>
          </cell>
          <cell r="E220" t="str">
            <v>1745</v>
          </cell>
          <cell r="F220" t="str">
            <v>17/05/2004</v>
          </cell>
          <cell r="G220">
            <v>235</v>
          </cell>
          <cell r="H220">
            <v>28.2</v>
          </cell>
          <cell r="I220">
            <v>19.739999999999998</v>
          </cell>
          <cell r="J220" t="str">
            <v>MISC003828</v>
          </cell>
          <cell r="K220" t="str">
            <v>VS7</v>
          </cell>
          <cell r="L220" t="str">
            <v>P. NATURAL</v>
          </cell>
          <cell r="N220">
            <v>1</v>
          </cell>
        </row>
        <row r="221">
          <cell r="A221" t="str">
            <v>MISC003834</v>
          </cell>
          <cell r="B221" t="str">
            <v>210VINDM</v>
          </cell>
          <cell r="C221" t="str">
            <v>Industrial Marco</v>
          </cell>
          <cell r="D221" t="str">
            <v>1712039237001</v>
          </cell>
          <cell r="E221" t="str">
            <v>1750</v>
          </cell>
          <cell r="F221" t="str">
            <v>25/05/2004</v>
          </cell>
          <cell r="G221">
            <v>140</v>
          </cell>
          <cell r="H221">
            <v>16.8</v>
          </cell>
          <cell r="I221">
            <v>11.76</v>
          </cell>
          <cell r="J221" t="str">
            <v>MISC003834</v>
          </cell>
          <cell r="K221" t="str">
            <v>VS7</v>
          </cell>
          <cell r="L221" t="str">
            <v>P. NATURAL</v>
          </cell>
          <cell r="N221">
            <v>1</v>
          </cell>
        </row>
        <row r="222">
          <cell r="A222" t="str">
            <v>MIIV003026</v>
          </cell>
          <cell r="B222" t="str">
            <v>210VOTRO</v>
          </cell>
          <cell r="C222" t="str">
            <v>Infornet S.A.</v>
          </cell>
          <cell r="D222" t="str">
            <v>0991403760001</v>
          </cell>
          <cell r="E222" t="str">
            <v>181053</v>
          </cell>
          <cell r="F222" t="str">
            <v>03/05/2004</v>
          </cell>
          <cell r="G222">
            <v>35.595238095238095</v>
          </cell>
          <cell r="H222">
            <v>4.2714285714285714</v>
          </cell>
          <cell r="I222">
            <v>2.99</v>
          </cell>
          <cell r="J222" t="str">
            <v>MIIV003026</v>
          </cell>
          <cell r="K222" t="str">
            <v>VS7</v>
          </cell>
          <cell r="L222" t="str">
            <v>SOCIEDAD</v>
          </cell>
          <cell r="M222" t="str">
            <v>0000010714</v>
          </cell>
          <cell r="N222">
            <v>9</v>
          </cell>
        </row>
        <row r="223">
          <cell r="A223" t="str">
            <v>MISO004241</v>
          </cell>
          <cell r="B223" t="str">
            <v>210VLAAS</v>
          </cell>
          <cell r="C223" t="str">
            <v>LAAR CIA LTDA</v>
          </cell>
          <cell r="D223" t="str">
            <v>1790403343001</v>
          </cell>
          <cell r="E223" t="str">
            <v>5359</v>
          </cell>
          <cell r="G223">
            <v>1136.92</v>
          </cell>
          <cell r="H223">
            <v>136.43039999999999</v>
          </cell>
          <cell r="J223" t="str">
            <v>MISO004241</v>
          </cell>
          <cell r="K223" t="str">
            <v>RS1</v>
          </cell>
          <cell r="L223" t="str">
            <v>SOCIEDAD</v>
          </cell>
          <cell r="M223" t="str">
            <v>0000010868</v>
          </cell>
          <cell r="N223">
            <v>9</v>
          </cell>
          <cell r="Q223" t="str">
            <v>VLAAS</v>
          </cell>
        </row>
        <row r="224">
          <cell r="A224" t="str">
            <v>MISO004200</v>
          </cell>
          <cell r="B224" t="str">
            <v>210VLAAR</v>
          </cell>
          <cell r="C224" t="str">
            <v>LAARCOM</v>
          </cell>
          <cell r="D224" t="str">
            <v>1791291182001</v>
          </cell>
          <cell r="E224" t="str">
            <v>118125-809</v>
          </cell>
          <cell r="F224" t="str">
            <v>03/05/2004</v>
          </cell>
          <cell r="G224">
            <v>42.976190476190482</v>
          </cell>
          <cell r="H224">
            <v>5.1571428571428575</v>
          </cell>
          <cell r="I224">
            <v>3.61</v>
          </cell>
          <cell r="J224" t="str">
            <v>MISO004200</v>
          </cell>
          <cell r="K224" t="str">
            <v>VS7</v>
          </cell>
          <cell r="L224" t="str">
            <v>SOCIEDAD</v>
          </cell>
          <cell r="M224" t="str">
            <v>0000010822</v>
          </cell>
          <cell r="N224">
            <v>9</v>
          </cell>
        </row>
        <row r="225">
          <cell r="A225" t="str">
            <v>MISC003738</v>
          </cell>
          <cell r="B225" t="str">
            <v>210VLABU</v>
          </cell>
          <cell r="C225" t="str">
            <v>LABSU</v>
          </cell>
          <cell r="D225" t="str">
            <v>1791809785001</v>
          </cell>
          <cell r="E225" t="str">
            <v>1120</v>
          </cell>
          <cell r="F225" t="str">
            <v>03/05/2004</v>
          </cell>
          <cell r="G225">
            <v>920.59523809523819</v>
          </cell>
          <cell r="H225">
            <v>110.47142857142858</v>
          </cell>
          <cell r="I225">
            <v>77.33</v>
          </cell>
          <cell r="J225" t="str">
            <v>MISC003738</v>
          </cell>
          <cell r="K225" t="str">
            <v>VS7</v>
          </cell>
          <cell r="L225" t="str">
            <v>SOCIEDAD</v>
          </cell>
          <cell r="M225" t="str">
            <v>0000010824</v>
          </cell>
          <cell r="N225">
            <v>9</v>
          </cell>
        </row>
        <row r="226">
          <cell r="A226" t="str">
            <v>MIIV003032</v>
          </cell>
          <cell r="B226" t="str">
            <v>210VLAUR</v>
          </cell>
          <cell r="C226" t="str">
            <v>Laurel</v>
          </cell>
          <cell r="D226" t="str">
            <v>1791774094001</v>
          </cell>
          <cell r="E226" t="str">
            <v>630</v>
          </cell>
          <cell r="F226" t="str">
            <v>29/04/2004</v>
          </cell>
          <cell r="G226">
            <v>90</v>
          </cell>
          <cell r="H226">
            <v>10.8</v>
          </cell>
          <cell r="I226">
            <v>7.56</v>
          </cell>
          <cell r="J226" t="str">
            <v>MIIV003032</v>
          </cell>
          <cell r="K226" t="str">
            <v>VS7</v>
          </cell>
          <cell r="L226" t="str">
            <v>SOCIEDAD</v>
          </cell>
          <cell r="M226" t="str">
            <v>0000010823</v>
          </cell>
          <cell r="N226">
            <v>9</v>
          </cell>
        </row>
        <row r="227">
          <cell r="A227" t="str">
            <v>MISO004070</v>
          </cell>
          <cell r="B227" t="str">
            <v>210VLEBR</v>
          </cell>
          <cell r="C227" t="str">
            <v>Leon Bravo Malo Jacobo</v>
          </cell>
          <cell r="D227" t="str">
            <v>1702555929001</v>
          </cell>
          <cell r="E227" t="str">
            <v>41-42</v>
          </cell>
          <cell r="F227" t="str">
            <v>03/05/2004</v>
          </cell>
          <cell r="G227">
            <v>437.7380952380953</v>
          </cell>
          <cell r="H227">
            <v>52.528571428571432</v>
          </cell>
          <cell r="I227">
            <v>36.770000000000003</v>
          </cell>
          <cell r="J227" t="str">
            <v>MISO004070</v>
          </cell>
          <cell r="K227" t="str">
            <v>VS7</v>
          </cell>
          <cell r="L227" t="str">
            <v>P. NATURAL</v>
          </cell>
          <cell r="M227" t="str">
            <v>0000010685</v>
          </cell>
          <cell r="N227">
            <v>0</v>
          </cell>
        </row>
        <row r="228">
          <cell r="A228" t="str">
            <v>MISO004253</v>
          </cell>
          <cell r="B228" t="str">
            <v>210VLEBR</v>
          </cell>
          <cell r="C228" t="str">
            <v>Leon Bravo Malo Jacobo</v>
          </cell>
          <cell r="D228" t="str">
            <v>1702555929001</v>
          </cell>
          <cell r="E228" t="str">
            <v>47-48</v>
          </cell>
          <cell r="F228" t="str">
            <v>17/05/2004</v>
          </cell>
          <cell r="G228">
            <v>644.83000000000004</v>
          </cell>
          <cell r="H228">
            <v>77.379599999999996</v>
          </cell>
          <cell r="I228">
            <v>54.17</v>
          </cell>
          <cell r="J228" t="str">
            <v>MISO004253</v>
          </cell>
          <cell r="K228" t="str">
            <v>VS7</v>
          </cell>
          <cell r="L228" t="str">
            <v>P. NATURAL</v>
          </cell>
          <cell r="M228" t="str">
            <v>0000010722</v>
          </cell>
          <cell r="N228">
            <v>0</v>
          </cell>
        </row>
        <row r="229">
          <cell r="A229" t="str">
            <v>MISO004250</v>
          </cell>
          <cell r="B229" t="str">
            <v>210VLOCS</v>
          </cell>
          <cell r="C229" t="str">
            <v>LOCSAT</v>
          </cell>
          <cell r="D229" t="str">
            <v>1791396766001</v>
          </cell>
          <cell r="E229" t="str">
            <v>14131</v>
          </cell>
          <cell r="F229" t="str">
            <v>06/05/2004</v>
          </cell>
          <cell r="G229">
            <v>114</v>
          </cell>
          <cell r="H229">
            <v>13.68</v>
          </cell>
          <cell r="I229">
            <v>9.58</v>
          </cell>
          <cell r="J229" t="str">
            <v>MISO004250</v>
          </cell>
          <cell r="K229" t="str">
            <v>VS7</v>
          </cell>
          <cell r="L229" t="str">
            <v>SOCIEDAD</v>
          </cell>
          <cell r="M229" t="str">
            <v>0000010782</v>
          </cell>
          <cell r="N229">
            <v>9</v>
          </cell>
        </row>
        <row r="230">
          <cell r="A230" t="str">
            <v>MISC003810</v>
          </cell>
          <cell r="B230" t="str">
            <v>210VMAXS</v>
          </cell>
          <cell r="C230" t="str">
            <v>Maxseconi</v>
          </cell>
          <cell r="D230" t="str">
            <v>1707990279001</v>
          </cell>
          <cell r="E230" t="str">
            <v>881</v>
          </cell>
          <cell r="F230" t="str">
            <v>10/05/2004</v>
          </cell>
          <cell r="G230">
            <v>76.547619047619051</v>
          </cell>
          <cell r="H230">
            <v>9.1857142857142851</v>
          </cell>
          <cell r="I230">
            <v>6.43</v>
          </cell>
          <cell r="J230" t="str">
            <v>MISC003810</v>
          </cell>
          <cell r="K230" t="str">
            <v>VS7</v>
          </cell>
          <cell r="L230" t="str">
            <v>P. NATURAL</v>
          </cell>
          <cell r="N230">
            <v>0</v>
          </cell>
        </row>
        <row r="231">
          <cell r="A231" t="str">
            <v>MISO004054</v>
          </cell>
          <cell r="B231" t="str">
            <v>210VOILS</v>
          </cell>
          <cell r="C231" t="str">
            <v>OILSERVICE</v>
          </cell>
          <cell r="D231" t="str">
            <v>1791412605001</v>
          </cell>
          <cell r="E231" t="str">
            <v>637</v>
          </cell>
          <cell r="F231" t="str">
            <v>03/05/2004</v>
          </cell>
          <cell r="G231">
            <v>6200</v>
          </cell>
          <cell r="H231">
            <v>744</v>
          </cell>
          <cell r="I231">
            <v>520.79999999999995</v>
          </cell>
          <cell r="J231" t="str">
            <v>MISO004054</v>
          </cell>
          <cell r="K231" t="str">
            <v>VS7</v>
          </cell>
          <cell r="L231" t="str">
            <v>SOCIEDAD</v>
          </cell>
          <cell r="M231" t="str">
            <v>0000010830</v>
          </cell>
          <cell r="N231">
            <v>9</v>
          </cell>
        </row>
        <row r="232">
          <cell r="A232" t="str">
            <v>MISO004289</v>
          </cell>
          <cell r="B232" t="str">
            <v>210VPALI</v>
          </cell>
          <cell r="C232" t="str">
            <v>PANAMERICAN LIFE</v>
          </cell>
          <cell r="D232" t="str">
            <v>0990030545001</v>
          </cell>
          <cell r="E232" t="str">
            <v>37067</v>
          </cell>
          <cell r="G232">
            <v>2698.5</v>
          </cell>
          <cell r="H232">
            <v>323.82</v>
          </cell>
          <cell r="J232" t="str">
            <v>MISO004289</v>
          </cell>
          <cell r="K232" t="str">
            <v>RG1</v>
          </cell>
          <cell r="L232" t="str">
            <v>SOCIEDAD</v>
          </cell>
          <cell r="M232" t="str">
            <v>0000010765</v>
          </cell>
          <cell r="N232">
            <v>9</v>
          </cell>
          <cell r="Q232" t="str">
            <v>VPALI</v>
          </cell>
        </row>
        <row r="233">
          <cell r="A233" t="str">
            <v>MISO003622</v>
          </cell>
          <cell r="B233" t="str">
            <v>210VPRED</v>
          </cell>
          <cell r="C233" t="str">
            <v>Predictiva</v>
          </cell>
          <cell r="D233" t="str">
            <v>1708523657001</v>
          </cell>
          <cell r="E233" t="str">
            <v>1889</v>
          </cell>
          <cell r="F233" t="str">
            <v>10/05/2004</v>
          </cell>
          <cell r="G233">
            <v>520</v>
          </cell>
          <cell r="H233">
            <v>62.4</v>
          </cell>
          <cell r="I233">
            <v>43.68</v>
          </cell>
          <cell r="J233" t="str">
            <v>MISO003622</v>
          </cell>
          <cell r="K233" t="str">
            <v>VS7</v>
          </cell>
          <cell r="L233" t="str">
            <v>P. NATURAL</v>
          </cell>
          <cell r="M233" t="str">
            <v>0000010870</v>
          </cell>
          <cell r="N233">
            <v>0</v>
          </cell>
        </row>
        <row r="234">
          <cell r="A234" t="str">
            <v>MISO003526</v>
          </cell>
          <cell r="B234" t="str">
            <v>210VPRED</v>
          </cell>
          <cell r="C234" t="str">
            <v>Predictiva</v>
          </cell>
          <cell r="D234" t="str">
            <v>1708523657001</v>
          </cell>
          <cell r="E234" t="str">
            <v>1888</v>
          </cell>
          <cell r="F234" t="str">
            <v>10/05/2004</v>
          </cell>
          <cell r="G234">
            <v>520</v>
          </cell>
          <cell r="H234">
            <v>62.4</v>
          </cell>
          <cell r="I234">
            <v>43.68</v>
          </cell>
          <cell r="J234" t="str">
            <v>MISO003526</v>
          </cell>
          <cell r="K234" t="str">
            <v>VS7</v>
          </cell>
          <cell r="L234" t="str">
            <v>P. NATURAL</v>
          </cell>
          <cell r="M234" t="str">
            <v>0000010870</v>
          </cell>
          <cell r="N234">
            <v>0</v>
          </cell>
        </row>
        <row r="235">
          <cell r="A235" t="str">
            <v>MISO004233</v>
          </cell>
          <cell r="B235" t="str">
            <v>210VPRED</v>
          </cell>
          <cell r="C235" t="str">
            <v>Predictiva</v>
          </cell>
          <cell r="D235" t="str">
            <v>1708523657001</v>
          </cell>
          <cell r="E235" t="str">
            <v>1907</v>
          </cell>
          <cell r="F235" t="str">
            <v>25/05/2004</v>
          </cell>
          <cell r="G235">
            <v>260</v>
          </cell>
          <cell r="H235">
            <v>31.2</v>
          </cell>
          <cell r="I235">
            <v>21.84</v>
          </cell>
          <cell r="J235" t="str">
            <v>MISO004233</v>
          </cell>
          <cell r="K235" t="str">
            <v>VS7</v>
          </cell>
          <cell r="L235" t="str">
            <v>P. NATURAL</v>
          </cell>
          <cell r="N235">
            <v>0</v>
          </cell>
        </row>
        <row r="236">
          <cell r="C236" t="str">
            <v>PETROPRODUCCION</v>
          </cell>
        </row>
        <row r="237">
          <cell r="A237" t="str">
            <v>MISO004173</v>
          </cell>
          <cell r="B237" t="str">
            <v>210VPROT</v>
          </cell>
          <cell r="C237" t="str">
            <v>PROTEL</v>
          </cell>
          <cell r="D237" t="str">
            <v>1710550532001</v>
          </cell>
          <cell r="E237" t="str">
            <v>866</v>
          </cell>
          <cell r="F237" t="str">
            <v>24/05/2004</v>
          </cell>
          <cell r="G237">
            <v>56</v>
          </cell>
          <cell r="H237">
            <v>6.72</v>
          </cell>
          <cell r="I237">
            <v>4.7</v>
          </cell>
          <cell r="J237" t="str">
            <v>MISO004173</v>
          </cell>
          <cell r="K237" t="str">
            <v>VS7</v>
          </cell>
          <cell r="L237" t="str">
            <v>P. NATURAL</v>
          </cell>
          <cell r="N237">
            <v>1</v>
          </cell>
        </row>
        <row r="238">
          <cell r="A238" t="str">
            <v>MISO004055</v>
          </cell>
          <cell r="B238" t="str">
            <v>210VRSTO</v>
          </cell>
          <cell r="C238" t="str">
            <v>R.S. ROTH</v>
          </cell>
          <cell r="D238" t="str">
            <v>1791805348001</v>
          </cell>
          <cell r="E238" t="str">
            <v>634</v>
          </cell>
          <cell r="F238" t="str">
            <v>10/05/2004</v>
          </cell>
          <cell r="G238">
            <v>9765</v>
          </cell>
          <cell r="H238">
            <v>1171.8</v>
          </cell>
          <cell r="I238">
            <v>820.26</v>
          </cell>
          <cell r="J238" t="str">
            <v>MISO004055</v>
          </cell>
          <cell r="K238" t="str">
            <v>VS7</v>
          </cell>
          <cell r="L238" t="str">
            <v>SOCIEDAD</v>
          </cell>
          <cell r="N238">
            <v>9</v>
          </cell>
        </row>
        <row r="239">
          <cell r="A239" t="str">
            <v>MIPC001213</v>
          </cell>
          <cell r="B239" t="str">
            <v>210VREET</v>
          </cell>
          <cell r="C239" t="str">
            <v>Restaurant El Turista</v>
          </cell>
          <cell r="D239" t="str">
            <v>0201108941001</v>
          </cell>
          <cell r="E239" t="str">
            <v>200</v>
          </cell>
          <cell r="F239" t="str">
            <v>10/05/2004</v>
          </cell>
          <cell r="G239">
            <v>1977.3809523809525</v>
          </cell>
          <cell r="H239">
            <v>237.28571428571428</v>
          </cell>
          <cell r="I239">
            <v>166.1</v>
          </cell>
          <cell r="J239" t="str">
            <v>MIPC001213</v>
          </cell>
          <cell r="K239" t="str">
            <v>VS7</v>
          </cell>
          <cell r="L239" t="str">
            <v>P. NATURAL</v>
          </cell>
          <cell r="M239" t="str">
            <v>0000010769</v>
          </cell>
          <cell r="N239">
            <v>0</v>
          </cell>
        </row>
        <row r="240">
          <cell r="A240" t="str">
            <v>MISC003794</v>
          </cell>
          <cell r="B240" t="str">
            <v>210VREET</v>
          </cell>
          <cell r="C240" t="str">
            <v>Restaurant El Turista</v>
          </cell>
          <cell r="D240" t="str">
            <v>0201108941001</v>
          </cell>
          <cell r="E240" t="str">
            <v>192</v>
          </cell>
          <cell r="F240" t="str">
            <v>03/05/2004</v>
          </cell>
          <cell r="G240">
            <v>200</v>
          </cell>
          <cell r="H240">
            <v>24</v>
          </cell>
          <cell r="I240">
            <v>16.8</v>
          </cell>
          <cell r="J240" t="str">
            <v>MISC003794</v>
          </cell>
          <cell r="K240" t="str">
            <v>VS7</v>
          </cell>
          <cell r="L240" t="str">
            <v>P. NATURAL</v>
          </cell>
          <cell r="M240" t="str">
            <v>0000010838</v>
          </cell>
          <cell r="N240">
            <v>0</v>
          </cell>
        </row>
        <row r="241">
          <cell r="A241" t="str">
            <v>MISC003841</v>
          </cell>
          <cell r="B241" t="str">
            <v>210VLORA</v>
          </cell>
          <cell r="C241" t="str">
            <v>RICARDO LORA</v>
          </cell>
          <cell r="D241" t="str">
            <v xml:space="preserve"> </v>
          </cell>
          <cell r="E241" t="str">
            <v>67</v>
          </cell>
          <cell r="F241" t="str">
            <v>25/05/2004</v>
          </cell>
          <cell r="G241">
            <v>900</v>
          </cell>
          <cell r="H241">
            <v>108</v>
          </cell>
          <cell r="I241">
            <v>75.599999999999994</v>
          </cell>
          <cell r="J241" t="str">
            <v>MISC003841</v>
          </cell>
          <cell r="K241" t="str">
            <v>VS7</v>
          </cell>
          <cell r="L241" t="str">
            <v>P. NATURAL</v>
          </cell>
        </row>
        <row r="242">
          <cell r="A242" t="str">
            <v>MISO004147</v>
          </cell>
          <cell r="B242" t="str">
            <v>210VRAMI</v>
          </cell>
          <cell r="C242" t="str">
            <v>Ricardo Ramirez</v>
          </cell>
          <cell r="D242" t="str">
            <v>1705636890001</v>
          </cell>
          <cell r="E242" t="str">
            <v>7665-142</v>
          </cell>
          <cell r="F242" t="str">
            <v>03/05/2004</v>
          </cell>
          <cell r="G242">
            <v>600</v>
          </cell>
          <cell r="H242">
            <v>72</v>
          </cell>
          <cell r="I242">
            <v>50.4</v>
          </cell>
          <cell r="J242" t="str">
            <v>MISO004147</v>
          </cell>
          <cell r="K242" t="str">
            <v>VS7</v>
          </cell>
          <cell r="L242" t="str">
            <v>P. NATURAL</v>
          </cell>
          <cell r="N242">
            <v>0</v>
          </cell>
        </row>
        <row r="243">
          <cell r="A243" t="str">
            <v>MISO004058</v>
          </cell>
          <cell r="B243" t="str">
            <v>210VRAMI</v>
          </cell>
          <cell r="C243" t="str">
            <v>Ricardo Ramirez</v>
          </cell>
          <cell r="D243" t="str">
            <v>1705636890001</v>
          </cell>
          <cell r="E243" t="str">
            <v>7665-142</v>
          </cell>
          <cell r="F243" t="str">
            <v>03/05/2004</v>
          </cell>
          <cell r="G243">
            <v>3720</v>
          </cell>
          <cell r="H243">
            <v>446.4</v>
          </cell>
          <cell r="I243">
            <v>312.48</v>
          </cell>
          <cell r="J243" t="str">
            <v>MISO004058</v>
          </cell>
          <cell r="K243" t="str">
            <v>VS7</v>
          </cell>
          <cell r="L243" t="str">
            <v>P. NATURAL</v>
          </cell>
          <cell r="N243">
            <v>0</v>
          </cell>
        </row>
        <row r="244">
          <cell r="A244" t="str">
            <v>MISO004059</v>
          </cell>
          <cell r="B244" t="str">
            <v>210VRAMI</v>
          </cell>
          <cell r="C244" t="str">
            <v>Ricardo Ramirez</v>
          </cell>
          <cell r="D244" t="str">
            <v>1705636890001</v>
          </cell>
          <cell r="E244" t="str">
            <v>7665-142</v>
          </cell>
          <cell r="F244" t="str">
            <v>03/05/2004</v>
          </cell>
          <cell r="G244">
            <v>10540</v>
          </cell>
          <cell r="H244">
            <v>1264.8</v>
          </cell>
          <cell r="I244">
            <v>885.36</v>
          </cell>
          <cell r="J244" t="str">
            <v>MISO004059</v>
          </cell>
          <cell r="K244" t="str">
            <v>VS7</v>
          </cell>
          <cell r="L244" t="str">
            <v>P. NATURAL</v>
          </cell>
          <cell r="N244">
            <v>0</v>
          </cell>
        </row>
        <row r="245">
          <cell r="A245" t="str">
            <v>MISO004056</v>
          </cell>
          <cell r="B245" t="str">
            <v>210VRAMI</v>
          </cell>
          <cell r="C245" t="str">
            <v>Ricardo Ramirez</v>
          </cell>
          <cell r="D245" t="str">
            <v>1705636890001</v>
          </cell>
          <cell r="E245" t="str">
            <v>7665-142</v>
          </cell>
          <cell r="F245" t="str">
            <v>03/05/2004</v>
          </cell>
          <cell r="G245">
            <v>1860</v>
          </cell>
          <cell r="H245">
            <v>223.2</v>
          </cell>
          <cell r="I245">
            <v>156.24</v>
          </cell>
          <cell r="J245" t="str">
            <v>MISO004056</v>
          </cell>
          <cell r="K245" t="str">
            <v>VS7</v>
          </cell>
          <cell r="L245" t="str">
            <v>P. NATURAL</v>
          </cell>
          <cell r="N245">
            <v>0</v>
          </cell>
        </row>
        <row r="246">
          <cell r="A246" t="str">
            <v>MISO004145</v>
          </cell>
          <cell r="B246" t="str">
            <v>210VRAMI</v>
          </cell>
          <cell r="C246" t="str">
            <v>Ricardo Ramirez</v>
          </cell>
          <cell r="D246" t="str">
            <v>1705636890001</v>
          </cell>
          <cell r="E246" t="str">
            <v>7665-142</v>
          </cell>
          <cell r="F246" t="str">
            <v>03/05/2004</v>
          </cell>
          <cell r="G246">
            <v>1100</v>
          </cell>
          <cell r="H246">
            <v>132</v>
          </cell>
          <cell r="I246">
            <v>92.4</v>
          </cell>
          <cell r="J246" t="str">
            <v>MISO004145</v>
          </cell>
          <cell r="K246" t="str">
            <v>VS7</v>
          </cell>
          <cell r="L246" t="str">
            <v>P. NATURAL</v>
          </cell>
          <cell r="N246">
            <v>0</v>
          </cell>
        </row>
        <row r="247">
          <cell r="A247" t="str">
            <v>MISO004052</v>
          </cell>
          <cell r="B247" t="str">
            <v>210VRAMI</v>
          </cell>
          <cell r="C247" t="str">
            <v>Ricardo Ramirez</v>
          </cell>
          <cell r="D247" t="str">
            <v>1705636890001</v>
          </cell>
          <cell r="E247" t="str">
            <v>7665-142</v>
          </cell>
          <cell r="F247" t="str">
            <v>03/05/2004</v>
          </cell>
          <cell r="G247">
            <v>2000</v>
          </cell>
          <cell r="H247">
            <v>240</v>
          </cell>
          <cell r="I247">
            <v>168</v>
          </cell>
          <cell r="J247" t="str">
            <v>MISO004052</v>
          </cell>
          <cell r="K247" t="str">
            <v>VS7</v>
          </cell>
          <cell r="L247" t="str">
            <v>P. NATURAL</v>
          </cell>
          <cell r="N247">
            <v>0</v>
          </cell>
        </row>
        <row r="248">
          <cell r="A248" t="str">
            <v>MIIV003043</v>
          </cell>
          <cell r="B248" t="str">
            <v>210VSCHL</v>
          </cell>
          <cell r="C248" t="str">
            <v>Schlumberger Surenco S.A</v>
          </cell>
          <cell r="D248" t="str">
            <v>0990101094001</v>
          </cell>
          <cell r="E248" t="str">
            <v>13380</v>
          </cell>
          <cell r="G248">
            <v>275</v>
          </cell>
          <cell r="H248">
            <v>33</v>
          </cell>
          <cell r="J248" t="str">
            <v>MIIV003043</v>
          </cell>
          <cell r="K248" t="str">
            <v>RS1</v>
          </cell>
          <cell r="L248" t="str">
            <v>SOCIEDAD</v>
          </cell>
          <cell r="M248" t="str">
            <v>0000010841</v>
          </cell>
          <cell r="N248">
            <v>9</v>
          </cell>
          <cell r="Q248" t="str">
            <v>VSCHL</v>
          </cell>
        </row>
        <row r="249">
          <cell r="A249" t="str">
            <v>MIIV003044</v>
          </cell>
          <cell r="B249" t="str">
            <v>210VSCHL</v>
          </cell>
          <cell r="C249" t="str">
            <v>Schlumberger Surenco S.A</v>
          </cell>
          <cell r="D249" t="str">
            <v>0990101094001</v>
          </cell>
          <cell r="E249" t="str">
            <v>13381</v>
          </cell>
          <cell r="G249">
            <v>274.08</v>
          </cell>
          <cell r="H249">
            <v>32.889599999999994</v>
          </cell>
          <cell r="J249" t="str">
            <v>MIIV003044</v>
          </cell>
          <cell r="K249" t="str">
            <v>RS1</v>
          </cell>
          <cell r="L249" t="str">
            <v>SOCIEDAD</v>
          </cell>
          <cell r="M249" t="str">
            <v>0000010841</v>
          </cell>
          <cell r="N249">
            <v>9</v>
          </cell>
          <cell r="Q249" t="str">
            <v>VSCHL</v>
          </cell>
        </row>
        <row r="250">
          <cell r="A250" t="str">
            <v>MISO003954</v>
          </cell>
          <cell r="B250" t="str">
            <v>210VSEGE</v>
          </cell>
          <cell r="C250" t="str">
            <v>Seguros Equinoccial</v>
          </cell>
          <cell r="D250" t="str">
            <v>1790007502001</v>
          </cell>
          <cell r="E250" t="str">
            <v>78013</v>
          </cell>
          <cell r="G250">
            <v>1181.67</v>
          </cell>
          <cell r="H250">
            <v>141.8004</v>
          </cell>
          <cell r="J250" t="str">
            <v>MISO003954</v>
          </cell>
          <cell r="K250" t="str">
            <v>RG1</v>
          </cell>
          <cell r="L250" t="str">
            <v>SOCIEDAD</v>
          </cell>
          <cell r="M250" t="str">
            <v>0000010776</v>
          </cell>
          <cell r="N250">
            <v>9</v>
          </cell>
          <cell r="Q250" t="str">
            <v>VSEGE</v>
          </cell>
        </row>
        <row r="251">
          <cell r="A251" t="str">
            <v>MISO004168</v>
          </cell>
          <cell r="B251" t="str">
            <v>210VSEGE</v>
          </cell>
          <cell r="C251" t="str">
            <v>Seguros Equinoccial</v>
          </cell>
          <cell r="D251" t="str">
            <v>1790007502001</v>
          </cell>
          <cell r="E251" t="str">
            <v>78021</v>
          </cell>
          <cell r="G251">
            <v>1195.83</v>
          </cell>
          <cell r="H251">
            <v>143.49959999999999</v>
          </cell>
          <cell r="J251" t="str">
            <v>MISO004168</v>
          </cell>
          <cell r="K251" t="str">
            <v>RG1</v>
          </cell>
          <cell r="L251" t="str">
            <v>SOCIEDAD</v>
          </cell>
          <cell r="M251" t="str">
            <v>0000010776</v>
          </cell>
          <cell r="N251">
            <v>9</v>
          </cell>
          <cell r="Q251" t="str">
            <v>VSEGE</v>
          </cell>
        </row>
        <row r="252">
          <cell r="A252" t="str">
            <v>MIIV003019</v>
          </cell>
          <cell r="B252" t="str">
            <v>210VSEMA</v>
          </cell>
          <cell r="C252" t="str">
            <v>Semad</v>
          </cell>
          <cell r="D252" t="str">
            <v>1791203844001</v>
          </cell>
          <cell r="E252" t="str">
            <v>13416-17</v>
          </cell>
          <cell r="F252" t="str">
            <v>29/04/2004</v>
          </cell>
          <cell r="G252">
            <v>21</v>
          </cell>
          <cell r="H252">
            <v>2.52</v>
          </cell>
          <cell r="I252">
            <v>1.76</v>
          </cell>
          <cell r="J252" t="str">
            <v>MIIV003019</v>
          </cell>
          <cell r="K252" t="str">
            <v>VS7</v>
          </cell>
          <cell r="L252" t="str">
            <v>SOCIEDAD</v>
          </cell>
          <cell r="M252" t="str">
            <v>0000010707</v>
          </cell>
          <cell r="N252">
            <v>9</v>
          </cell>
        </row>
        <row r="253">
          <cell r="A253" t="str">
            <v>MISC003736</v>
          </cell>
          <cell r="B253" t="str">
            <v>210VSEMA</v>
          </cell>
          <cell r="C253" t="str">
            <v>Semad</v>
          </cell>
          <cell r="D253" t="str">
            <v>1791203844001</v>
          </cell>
          <cell r="E253" t="str">
            <v>13571-72</v>
          </cell>
          <cell r="F253" t="str">
            <v>12/05/2004</v>
          </cell>
          <cell r="G253">
            <v>261.33</v>
          </cell>
          <cell r="H253">
            <v>31.359599999999997</v>
          </cell>
          <cell r="I253">
            <v>21.95</v>
          </cell>
          <cell r="J253" t="str">
            <v>MISC003736</v>
          </cell>
          <cell r="K253" t="str">
            <v>VS7</v>
          </cell>
          <cell r="L253" t="str">
            <v>SOCIEDAD</v>
          </cell>
          <cell r="M253" t="str">
            <v>0000010723</v>
          </cell>
          <cell r="N253">
            <v>9</v>
          </cell>
        </row>
        <row r="254">
          <cell r="A254" t="str">
            <v>MISO004124</v>
          </cell>
          <cell r="B254" t="str">
            <v>210VSEMA</v>
          </cell>
          <cell r="C254" t="str">
            <v>Semad</v>
          </cell>
          <cell r="D254" t="str">
            <v>1791203844001</v>
          </cell>
          <cell r="E254" t="str">
            <v>13573-74</v>
          </cell>
          <cell r="F254" t="str">
            <v>12/05/2004</v>
          </cell>
          <cell r="G254">
            <v>48.25</v>
          </cell>
          <cell r="H254">
            <v>5.79</v>
          </cell>
          <cell r="I254">
            <v>4.05</v>
          </cell>
          <cell r="J254" t="str">
            <v>MISO004124</v>
          </cell>
          <cell r="K254" t="str">
            <v>VS7</v>
          </cell>
          <cell r="L254" t="str">
            <v>SOCIEDAD</v>
          </cell>
          <cell r="M254" t="str">
            <v>0000010723</v>
          </cell>
          <cell r="N254">
            <v>9</v>
          </cell>
        </row>
        <row r="255">
          <cell r="A255" t="str">
            <v>MISO004165</v>
          </cell>
          <cell r="B255" t="str">
            <v>210VSEMA</v>
          </cell>
          <cell r="C255" t="str">
            <v>Semad</v>
          </cell>
          <cell r="D255" t="str">
            <v>1791203844001</v>
          </cell>
          <cell r="E255" t="str">
            <v>13568</v>
          </cell>
          <cell r="F255" t="str">
            <v>12/05/2004</v>
          </cell>
          <cell r="G255">
            <v>2686.4285714285716</v>
          </cell>
          <cell r="H255">
            <v>322.37142857142857</v>
          </cell>
          <cell r="I255">
            <v>225.66</v>
          </cell>
          <cell r="J255" t="str">
            <v>MISO004165</v>
          </cell>
          <cell r="K255" t="str">
            <v>VS7</v>
          </cell>
          <cell r="L255" t="str">
            <v>SOCIEDAD</v>
          </cell>
          <cell r="M255" t="str">
            <v>0000010723</v>
          </cell>
          <cell r="N255">
            <v>9</v>
          </cell>
        </row>
        <row r="256">
          <cell r="A256" t="str">
            <v>MISO004239</v>
          </cell>
          <cell r="B256" t="str">
            <v>210VSEMA</v>
          </cell>
          <cell r="C256" t="str">
            <v>Semad</v>
          </cell>
          <cell r="D256" t="str">
            <v>1791203844001</v>
          </cell>
          <cell r="E256" t="str">
            <v>13528-529</v>
          </cell>
          <cell r="F256" t="str">
            <v>10/05/2004</v>
          </cell>
          <cell r="G256">
            <v>10.5</v>
          </cell>
          <cell r="H256">
            <v>1.26</v>
          </cell>
          <cell r="I256">
            <v>0.88</v>
          </cell>
          <cell r="J256" t="str">
            <v>MISO004239</v>
          </cell>
          <cell r="K256" t="str">
            <v>VS7</v>
          </cell>
          <cell r="L256" t="str">
            <v>SOCIEDAD</v>
          </cell>
          <cell r="M256" t="str">
            <v>0000010775</v>
          </cell>
          <cell r="N256">
            <v>9</v>
          </cell>
        </row>
        <row r="257">
          <cell r="A257" t="str">
            <v>MISO004238</v>
          </cell>
          <cell r="B257" t="str">
            <v>210VSEMA</v>
          </cell>
          <cell r="C257" t="str">
            <v>Semad</v>
          </cell>
          <cell r="D257" t="str">
            <v>1791203844001</v>
          </cell>
          <cell r="E257" t="str">
            <v>13530-31</v>
          </cell>
          <cell r="F257" t="str">
            <v>10/05/2004</v>
          </cell>
          <cell r="G257">
            <v>3</v>
          </cell>
          <cell r="H257">
            <v>0.36</v>
          </cell>
          <cell r="I257">
            <v>0.25</v>
          </cell>
          <cell r="J257" t="str">
            <v>MISO004238</v>
          </cell>
          <cell r="K257" t="str">
            <v>VS7</v>
          </cell>
          <cell r="L257" t="str">
            <v>SOCIEDAD</v>
          </cell>
          <cell r="M257" t="str">
            <v>0000010775</v>
          </cell>
          <cell r="N257">
            <v>9</v>
          </cell>
        </row>
        <row r="258">
          <cell r="A258" t="str">
            <v>MISO004288</v>
          </cell>
          <cell r="B258" t="str">
            <v>210VSEMA</v>
          </cell>
          <cell r="C258" t="str">
            <v>Semad</v>
          </cell>
          <cell r="D258" t="str">
            <v>1791203844001</v>
          </cell>
          <cell r="E258" t="str">
            <v>13575-6-46</v>
          </cell>
          <cell r="F258" t="str">
            <v>12/05/2004</v>
          </cell>
          <cell r="G258">
            <v>100</v>
          </cell>
          <cell r="H258">
            <v>12</v>
          </cell>
          <cell r="I258">
            <v>8.4</v>
          </cell>
          <cell r="J258" t="str">
            <v>MISO004288</v>
          </cell>
          <cell r="K258" t="str">
            <v>VS7</v>
          </cell>
          <cell r="L258" t="str">
            <v>SOCIEDAD</v>
          </cell>
          <cell r="N258">
            <v>9</v>
          </cell>
        </row>
        <row r="259">
          <cell r="A259" t="str">
            <v>MISO004300</v>
          </cell>
          <cell r="B259" t="str">
            <v>210VSTOE</v>
          </cell>
          <cell r="C259" t="str">
            <v>Stoes S.A.</v>
          </cell>
          <cell r="D259" t="str">
            <v>0991391940001</v>
          </cell>
          <cell r="E259" t="str">
            <v>5233</v>
          </cell>
          <cell r="F259" t="str">
            <v>17/05/2004</v>
          </cell>
          <cell r="G259">
            <v>53.58</v>
          </cell>
          <cell r="H259">
            <v>6.4295999999999998</v>
          </cell>
          <cell r="I259">
            <v>4.5</v>
          </cell>
          <cell r="J259" t="str">
            <v>MISO004300</v>
          </cell>
          <cell r="K259" t="str">
            <v>VS7</v>
          </cell>
          <cell r="L259" t="str">
            <v>SOCIEDAD</v>
          </cell>
          <cell r="N259">
            <v>9</v>
          </cell>
        </row>
        <row r="260">
          <cell r="A260" t="str">
            <v>MISO004057</v>
          </cell>
          <cell r="B260" t="str">
            <v>210VTERR</v>
          </cell>
          <cell r="C260" t="str">
            <v>Terrigeno Gold Mine S.A.</v>
          </cell>
          <cell r="D260" t="str">
            <v>1791320972001</v>
          </cell>
          <cell r="E260" t="str">
            <v>397</v>
          </cell>
          <cell r="F260" t="str">
            <v>03/05/2004</v>
          </cell>
          <cell r="G260">
            <v>9000</v>
          </cell>
          <cell r="H260">
            <v>1080</v>
          </cell>
          <cell r="I260">
            <v>756</v>
          </cell>
          <cell r="J260" t="str">
            <v>MISO004057</v>
          </cell>
          <cell r="K260" t="str">
            <v>VS7</v>
          </cell>
          <cell r="L260" t="str">
            <v>SOCIEDAD</v>
          </cell>
          <cell r="M260" t="str">
            <v>0000010848</v>
          </cell>
          <cell r="N260">
            <v>9</v>
          </cell>
        </row>
        <row r="261">
          <cell r="A261" t="str">
            <v>MISO002398</v>
          </cell>
          <cell r="B261" t="str">
            <v>210VTOBR</v>
          </cell>
          <cell r="C261" t="str">
            <v>Tobar &amp; Bustamante</v>
          </cell>
          <cell r="D261" t="str">
            <v>1791290119001</v>
          </cell>
          <cell r="E261" t="str">
            <v>3724</v>
          </cell>
          <cell r="F261" t="str">
            <v>12/05/2004</v>
          </cell>
          <cell r="G261">
            <v>163.83000000000001</v>
          </cell>
          <cell r="H261">
            <v>19.659600000000001</v>
          </cell>
          <cell r="I261">
            <v>13.76</v>
          </cell>
          <cell r="J261" t="str">
            <v>MISO002398</v>
          </cell>
          <cell r="K261" t="str">
            <v>VS7</v>
          </cell>
          <cell r="L261" t="str">
            <v>SOCIEDAD</v>
          </cell>
          <cell r="N261">
            <v>9</v>
          </cell>
        </row>
        <row r="262">
          <cell r="A262" t="str">
            <v>MISO004078</v>
          </cell>
          <cell r="B262" t="str">
            <v>210VTOBR</v>
          </cell>
          <cell r="C262" t="str">
            <v>Tobar &amp; Bustamante</v>
          </cell>
          <cell r="D262" t="str">
            <v>1791290119001</v>
          </cell>
          <cell r="E262" t="str">
            <v>3723</v>
          </cell>
          <cell r="F262" t="str">
            <v>12/05/2004</v>
          </cell>
          <cell r="G262">
            <v>690</v>
          </cell>
          <cell r="H262">
            <v>82.8</v>
          </cell>
          <cell r="I262">
            <v>57.96</v>
          </cell>
          <cell r="J262" t="str">
            <v>MISO004078</v>
          </cell>
          <cell r="K262" t="str">
            <v>VS7</v>
          </cell>
          <cell r="L262" t="str">
            <v>SOCIEDAD</v>
          </cell>
          <cell r="N262">
            <v>9</v>
          </cell>
        </row>
        <row r="263">
          <cell r="A263" t="str">
            <v>MISO003605</v>
          </cell>
          <cell r="B263" t="str">
            <v>210VTOBR</v>
          </cell>
          <cell r="C263" t="str">
            <v>Tobar &amp; Bustamante</v>
          </cell>
          <cell r="D263" t="str">
            <v>1791290119001</v>
          </cell>
          <cell r="E263" t="str">
            <v>3603-3604</v>
          </cell>
          <cell r="F263" t="str">
            <v>25/03/2004</v>
          </cell>
          <cell r="G263">
            <v>2122.08</v>
          </cell>
          <cell r="H263">
            <v>254.64959999999999</v>
          </cell>
          <cell r="I263">
            <v>178.26</v>
          </cell>
          <cell r="J263" t="str">
            <v>MISO003605</v>
          </cell>
          <cell r="K263" t="str">
            <v>VS7</v>
          </cell>
          <cell r="L263" t="str">
            <v>SOCIEDAD</v>
          </cell>
          <cell r="M263" t="str">
            <v>0000010873</v>
          </cell>
          <cell r="N263">
            <v>9</v>
          </cell>
        </row>
        <row r="264">
          <cell r="A264" t="str">
            <v>MISO003796</v>
          </cell>
          <cell r="B264" t="str">
            <v>210VTOBR</v>
          </cell>
          <cell r="C264" t="str">
            <v>Tobar &amp; Bustamante</v>
          </cell>
          <cell r="D264" t="str">
            <v>1791290119001</v>
          </cell>
          <cell r="E264" t="str">
            <v>3672</v>
          </cell>
          <cell r="F264" t="str">
            <v>19/04/2004</v>
          </cell>
          <cell r="G264">
            <v>1946.1904761904761</v>
          </cell>
          <cell r="H264">
            <v>233.54285714285712</v>
          </cell>
          <cell r="I264">
            <v>163.47999999999999</v>
          </cell>
          <cell r="J264" t="str">
            <v>MISO003796</v>
          </cell>
          <cell r="K264" t="str">
            <v>VS7</v>
          </cell>
          <cell r="L264" t="str">
            <v>SOCIEDAD</v>
          </cell>
          <cell r="M264" t="str">
            <v>0000010873</v>
          </cell>
          <cell r="N264">
            <v>9</v>
          </cell>
        </row>
        <row r="265">
          <cell r="A265" t="str">
            <v>MISO004013</v>
          </cell>
          <cell r="B265" t="str">
            <v>210VTRIA</v>
          </cell>
          <cell r="C265" t="str">
            <v>Triada Service</v>
          </cell>
          <cell r="D265" t="str">
            <v>1791404173001</v>
          </cell>
          <cell r="E265" t="str">
            <v>316</v>
          </cell>
          <cell r="F265" t="str">
            <v>10/05/2004</v>
          </cell>
          <cell r="G265">
            <v>1908</v>
          </cell>
          <cell r="H265">
            <v>228.95999999999998</v>
          </cell>
          <cell r="I265">
            <v>160.27000000000001</v>
          </cell>
          <cell r="J265" t="str">
            <v>MISO004013</v>
          </cell>
          <cell r="K265" t="str">
            <v>VS7</v>
          </cell>
          <cell r="L265" t="str">
            <v>SOCIEDAD</v>
          </cell>
          <cell r="M265" t="str">
            <v>0000010871</v>
          </cell>
          <cell r="N265">
            <v>9</v>
          </cell>
        </row>
        <row r="266">
          <cell r="G266">
            <v>130041.86095238094</v>
          </cell>
          <cell r="H266">
            <v>15605.023314285712</v>
          </cell>
          <cell r="I266">
            <v>9519.5</v>
          </cell>
        </row>
        <row r="268">
          <cell r="G268">
            <v>521896.10695238091</v>
          </cell>
          <cell r="H268">
            <v>57303.834994285717</v>
          </cell>
          <cell r="I268">
            <v>33435.78</v>
          </cell>
        </row>
        <row r="269">
          <cell r="E269" t="str">
            <v>MAYOR 250000020</v>
          </cell>
          <cell r="I269">
            <v>33687.78</v>
          </cell>
        </row>
        <row r="270">
          <cell r="E270" t="str">
            <v>DIFERENCIA</v>
          </cell>
          <cell r="I270">
            <v>-252</v>
          </cell>
        </row>
        <row r="271">
          <cell r="E271" t="str">
            <v>EXPLICACION:  RETENCIONES POR CONTABILIZAR SEGÚN DETALLE ADJUNTO</v>
          </cell>
        </row>
        <row r="274">
          <cell r="I274">
            <v>57604.060000000034</v>
          </cell>
        </row>
        <row r="275">
          <cell r="I275">
            <v>4353.08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stado de Resultados"/>
      <sheetName val="Liquidez"/>
      <sheetName val="Rentabilidad"/>
      <sheetName val="Endeudamiento"/>
      <sheetName val="Tickmarks"/>
      <sheetName val="Ayuda"/>
      <sheetName val="Vtas-Compras Unid."/>
      <sheetName val="Vtas-Costo US$"/>
      <sheetName val="2001-2000"/>
      <sheetName val="Marcas"/>
      <sheetName val="Escisión"/>
      <sheetName val="Otros Procedimientos Analíticos"/>
      <sheetName val="Preliminar"/>
      <sheetName val="PyG Mensual"/>
      <sheetName val="Vtas-Costo Veh."/>
      <sheetName val="Vtas-Costo US$ Rep."/>
      <sheetName val="Gastos"/>
    </sheetNames>
    <sheetDataSet>
      <sheetData sheetId="0" refreshError="1">
        <row r="3">
          <cell r="E3">
            <v>0</v>
          </cell>
          <cell r="F3">
            <v>0</v>
          </cell>
        </row>
        <row r="6">
          <cell r="C6">
            <v>722</v>
          </cell>
          <cell r="D6">
            <v>-0.60803324099722988</v>
          </cell>
          <cell r="G6" t="str">
            <v>{a}</v>
          </cell>
        </row>
        <row r="7">
          <cell r="C7">
            <v>241</v>
          </cell>
          <cell r="D7">
            <v>0</v>
          </cell>
        </row>
        <row r="8">
          <cell r="C8">
            <v>2323</v>
          </cell>
          <cell r="D8">
            <v>0.18424451140766251</v>
          </cell>
          <cell r="G8" t="str">
            <v>{b}</v>
          </cell>
        </row>
        <row r="10">
          <cell r="C10">
            <v>3286</v>
          </cell>
          <cell r="D10">
            <v>-7.6688983566646385E-2</v>
          </cell>
          <cell r="G10">
            <v>0</v>
          </cell>
        </row>
        <row r="12">
          <cell r="C12">
            <v>1096</v>
          </cell>
          <cell r="D12">
            <v>0.41332116788321166</v>
          </cell>
          <cell r="G12" t="str">
            <v>{c}</v>
          </cell>
        </row>
        <row r="13">
          <cell r="C13">
            <v>258299</v>
          </cell>
          <cell r="D13">
            <v>113000</v>
          </cell>
          <cell r="G13" t="str">
            <v>{c}</v>
          </cell>
        </row>
        <row r="15">
          <cell r="C15">
            <v>4476</v>
          </cell>
          <cell r="D15">
            <v>4.6246648793565687E-2</v>
          </cell>
          <cell r="G15">
            <v>0</v>
          </cell>
        </row>
        <row r="17">
          <cell r="C17">
            <v>2393435</v>
          </cell>
          <cell r="D17">
            <v>2780000</v>
          </cell>
          <cell r="G17" t="str">
            <v>{d}</v>
          </cell>
        </row>
        <row r="18">
          <cell r="C18">
            <v>2956797</v>
          </cell>
          <cell r="D18">
            <v>0</v>
          </cell>
          <cell r="G18" t="str">
            <v>{c}</v>
          </cell>
        </row>
        <row r="19">
          <cell r="C19">
            <v>38958</v>
          </cell>
          <cell r="D19">
            <v>49000</v>
          </cell>
          <cell r="G19" t="str">
            <v>{d}</v>
          </cell>
        </row>
        <row r="22">
          <cell r="C22">
            <v>6812</v>
          </cell>
          <cell r="D22">
            <v>0.12463300058719906</v>
          </cell>
          <cell r="G22">
            <v>0</v>
          </cell>
        </row>
        <row r="24">
          <cell r="C24">
            <v>1146</v>
          </cell>
          <cell r="D24">
            <v>0.20418848167539266</v>
          </cell>
          <cell r="G24" t="str">
            <v>{g}</v>
          </cell>
        </row>
        <row r="25">
          <cell r="C25">
            <v>223</v>
          </cell>
          <cell r="D25">
            <v>0.34080717488789236</v>
          </cell>
          <cell r="G25" t="str">
            <v>{g}</v>
          </cell>
        </row>
        <row r="26">
          <cell r="C26">
            <v>25815</v>
          </cell>
          <cell r="D26">
            <v>27000</v>
          </cell>
          <cell r="G26" t="str">
            <v>{g}</v>
          </cell>
        </row>
        <row r="29">
          <cell r="C29">
            <v>2530</v>
          </cell>
          <cell r="D29">
            <v>0.13952569169960474</v>
          </cell>
          <cell r="G29">
            <v>0</v>
          </cell>
        </row>
        <row r="31">
          <cell r="C31">
            <v>386800</v>
          </cell>
          <cell r="D31">
            <v>722000</v>
          </cell>
          <cell r="G31" t="str">
            <v>{i}</v>
          </cell>
        </row>
        <row r="32">
          <cell r="C32">
            <v>122</v>
          </cell>
          <cell r="D32">
            <v>-0.95901639344262291</v>
          </cell>
        </row>
        <row r="33">
          <cell r="C33">
            <v>1138704</v>
          </cell>
          <cell r="D33">
            <v>389000</v>
          </cell>
        </row>
        <row r="35">
          <cell r="C35">
            <v>4282</v>
          </cell>
          <cell r="D35">
            <v>0.11583372255955161</v>
          </cell>
          <cell r="G35">
            <v>0</v>
          </cell>
        </row>
        <row r="37">
          <cell r="C37">
            <v>6812</v>
          </cell>
          <cell r="D37">
            <v>0.12463300058719906</v>
          </cell>
          <cell r="G37">
            <v>0</v>
          </cell>
        </row>
      </sheetData>
      <sheetData sheetId="1" refreshError="1">
        <row r="3">
          <cell r="E3">
            <v>0</v>
          </cell>
          <cell r="G3">
            <v>0</v>
          </cell>
          <cell r="H3">
            <v>0</v>
          </cell>
        </row>
        <row r="6">
          <cell r="B6">
            <v>14089</v>
          </cell>
          <cell r="C6">
            <v>13245</v>
          </cell>
          <cell r="I6">
            <v>12656</v>
          </cell>
        </row>
        <row r="7">
          <cell r="B7">
            <v>3110</v>
          </cell>
          <cell r="C7">
            <v>2188</v>
          </cell>
          <cell r="I7">
            <v>1685</v>
          </cell>
        </row>
        <row r="9">
          <cell r="B9">
            <v>-2666</v>
          </cell>
          <cell r="C9">
            <v>-1847</v>
          </cell>
          <cell r="I9">
            <v>-1287</v>
          </cell>
        </row>
        <row r="11">
          <cell r="B11">
            <v>1520</v>
          </cell>
          <cell r="C11">
            <v>1526</v>
          </cell>
          <cell r="I11">
            <v>1919</v>
          </cell>
        </row>
        <row r="12">
          <cell r="B12">
            <v>302674</v>
          </cell>
          <cell r="C12">
            <v>160192</v>
          </cell>
          <cell r="I12">
            <v>-0.87146947806846287</v>
          </cell>
        </row>
        <row r="14">
          <cell r="B14">
            <v>-468</v>
          </cell>
          <cell r="C14">
            <v>-543</v>
          </cell>
          <cell r="I14">
            <v>-401</v>
          </cell>
        </row>
        <row r="15">
          <cell r="B15">
            <v>-491</v>
          </cell>
          <cell r="C15">
            <v>-367</v>
          </cell>
          <cell r="I15">
            <v>0</v>
          </cell>
        </row>
        <row r="17">
          <cell r="B17">
            <v>1069875</v>
          </cell>
          <cell r="C17">
            <v>1077947</v>
          </cell>
          <cell r="I17">
            <v>-738</v>
          </cell>
        </row>
        <row r="19">
          <cell r="C19">
            <v>38958</v>
          </cell>
          <cell r="I19">
            <v>-401</v>
          </cell>
        </row>
        <row r="22">
          <cell r="B22">
            <v>-513664</v>
          </cell>
          <cell r="C22">
            <v>-824758</v>
          </cell>
          <cell r="I22">
            <v>780</v>
          </cell>
        </row>
        <row r="24">
          <cell r="C24">
            <v>1146</v>
          </cell>
        </row>
        <row r="26">
          <cell r="C26">
            <v>1076</v>
          </cell>
        </row>
        <row r="31">
          <cell r="B31">
            <v>542806</v>
          </cell>
          <cell r="C31">
            <v>-146000</v>
          </cell>
        </row>
        <row r="32">
          <cell r="B32">
            <v>-2949384</v>
          </cell>
          <cell r="C32">
            <v>-2656000</v>
          </cell>
          <cell r="I32">
            <v>0</v>
          </cell>
        </row>
        <row r="33">
          <cell r="B33">
            <v>3303</v>
          </cell>
          <cell r="C33">
            <v>3330</v>
          </cell>
          <cell r="I33">
            <v>2517</v>
          </cell>
        </row>
      </sheetData>
      <sheetData sheetId="2">
        <row r="3">
          <cell r="F3">
            <v>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G3">
            <v>0</v>
          </cell>
        </row>
      </sheetData>
      <sheetData sheetId="9">
        <row r="3">
          <cell r="G3">
            <v>0</v>
          </cell>
        </row>
      </sheetData>
      <sheetData sheetId="10"/>
      <sheetData sheetId="11">
        <row r="3">
          <cell r="F3">
            <v>0</v>
          </cell>
        </row>
      </sheetData>
      <sheetData sheetId="12">
        <row r="3">
          <cell r="G3">
            <v>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4">
          <cell r="E4">
            <v>0.15</v>
          </cell>
        </row>
        <row r="8">
          <cell r="K8">
            <v>1411199</v>
          </cell>
        </row>
        <row r="12">
          <cell r="K12">
            <v>5263976</v>
          </cell>
        </row>
        <row r="18">
          <cell r="K18">
            <v>6334576</v>
          </cell>
        </row>
        <row r="25">
          <cell r="K25">
            <v>6958319</v>
          </cell>
          <cell r="L25">
            <v>4897445</v>
          </cell>
        </row>
        <row r="27">
          <cell r="C27">
            <v>-715626</v>
          </cell>
          <cell r="D27">
            <v>-268242</v>
          </cell>
          <cell r="J27">
            <v>-180617</v>
          </cell>
          <cell r="K27">
            <v>-841311</v>
          </cell>
        </row>
        <row r="28">
          <cell r="K28">
            <v>-1219015</v>
          </cell>
        </row>
        <row r="29">
          <cell r="C29">
            <v>0</v>
          </cell>
          <cell r="D29">
            <v>0</v>
          </cell>
          <cell r="J29">
            <v>0</v>
          </cell>
          <cell r="K29">
            <v>0</v>
          </cell>
        </row>
        <row r="32">
          <cell r="K32">
            <v>-2243297</v>
          </cell>
          <cell r="L32">
            <v>-1031119</v>
          </cell>
        </row>
        <row r="35">
          <cell r="K35">
            <v>-3866323</v>
          </cell>
          <cell r="L35">
            <v>-3069780</v>
          </cell>
        </row>
        <row r="38">
          <cell r="K38">
            <v>-4715022</v>
          </cell>
          <cell r="L38">
            <v>-3866326</v>
          </cell>
        </row>
        <row r="40">
          <cell r="K40">
            <v>-6958319</v>
          </cell>
          <cell r="L40">
            <v>-4897445</v>
          </cell>
        </row>
      </sheetData>
      <sheetData sheetId="3">
        <row r="3">
          <cell r="C3">
            <v>40329</v>
          </cell>
          <cell r="E3">
            <v>39964</v>
          </cell>
          <cell r="L3">
            <v>39599</v>
          </cell>
          <cell r="N3">
            <v>39233</v>
          </cell>
        </row>
        <row r="8">
          <cell r="N8">
            <v>-4632585</v>
          </cell>
        </row>
        <row r="9">
          <cell r="N9">
            <v>3796743</v>
          </cell>
        </row>
        <row r="11">
          <cell r="N11">
            <v>-835842</v>
          </cell>
        </row>
        <row r="13">
          <cell r="N13">
            <v>308750</v>
          </cell>
        </row>
        <row r="14">
          <cell r="N14">
            <v>0</v>
          </cell>
        </row>
        <row r="15">
          <cell r="N15">
            <v>-14203</v>
          </cell>
        </row>
        <row r="16">
          <cell r="N16">
            <v>0</v>
          </cell>
        </row>
        <row r="18">
          <cell r="N18">
            <v>-541295</v>
          </cell>
        </row>
        <row r="20">
          <cell r="N20">
            <v>0</v>
          </cell>
        </row>
        <row r="22">
          <cell r="N22">
            <v>-541295</v>
          </cell>
        </row>
        <row r="24">
          <cell r="N24">
            <v>0</v>
          </cell>
        </row>
        <row r="26">
          <cell r="C26">
            <v>-232081</v>
          </cell>
          <cell r="E26">
            <v>-318314</v>
          </cell>
          <cell r="L26">
            <v>-470214</v>
          </cell>
          <cell r="N26">
            <v>-541295</v>
          </cell>
        </row>
        <row r="28">
          <cell r="C28">
            <v>0</v>
          </cell>
          <cell r="E28">
            <v>0</v>
          </cell>
          <cell r="L28">
            <v>0</v>
          </cell>
          <cell r="N28">
            <v>0</v>
          </cell>
        </row>
        <row r="30">
          <cell r="C30">
            <v>-232081</v>
          </cell>
          <cell r="E30">
            <v>-318314</v>
          </cell>
          <cell r="L30">
            <v>-470214</v>
          </cell>
          <cell r="N30">
            <v>-541295</v>
          </cell>
        </row>
        <row r="32">
          <cell r="C32">
            <v>0</v>
          </cell>
          <cell r="E32">
            <v>0</v>
          </cell>
          <cell r="L32">
            <v>0</v>
          </cell>
          <cell r="N32">
            <v>0</v>
          </cell>
        </row>
        <row r="34">
          <cell r="C34">
            <v>-232081</v>
          </cell>
          <cell r="E34">
            <v>-318314</v>
          </cell>
          <cell r="L34">
            <v>-470214</v>
          </cell>
          <cell r="N34">
            <v>-541295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>
        <row r="2">
          <cell r="H2" t="str">
            <v>AJE</v>
          </cell>
          <cell r="J2" t="str">
            <v>RJE</v>
          </cell>
          <cell r="K2" t="str">
            <v>Final</v>
          </cell>
        </row>
        <row r="4">
          <cell r="H4">
            <v>0</v>
          </cell>
          <cell r="J4">
            <v>0</v>
          </cell>
          <cell r="K4">
            <v>267482</v>
          </cell>
        </row>
        <row r="5">
          <cell r="H5">
            <v>0</v>
          </cell>
          <cell r="J5">
            <v>0</v>
          </cell>
          <cell r="K5">
            <v>155510</v>
          </cell>
        </row>
        <row r="6">
          <cell r="H6">
            <v>0</v>
          </cell>
          <cell r="J6">
            <v>0</v>
          </cell>
          <cell r="K6">
            <v>0</v>
          </cell>
        </row>
        <row r="7">
          <cell r="H7">
            <v>0</v>
          </cell>
          <cell r="J7">
            <v>0</v>
          </cell>
          <cell r="K7">
            <v>0</v>
          </cell>
        </row>
        <row r="8">
          <cell r="H8">
            <v>0</v>
          </cell>
          <cell r="J8">
            <v>0</v>
          </cell>
          <cell r="K8">
            <v>0</v>
          </cell>
        </row>
        <row r="9">
          <cell r="H9">
            <v>0</v>
          </cell>
          <cell r="J9">
            <v>0</v>
          </cell>
          <cell r="K9">
            <v>0</v>
          </cell>
        </row>
        <row r="10">
          <cell r="H10">
            <v>0</v>
          </cell>
          <cell r="J10">
            <v>0</v>
          </cell>
          <cell r="K10">
            <v>422992</v>
          </cell>
        </row>
        <row r="11">
          <cell r="H11">
            <v>0</v>
          </cell>
          <cell r="J11">
            <v>120966</v>
          </cell>
          <cell r="K11">
            <v>0</v>
          </cell>
        </row>
        <row r="12">
          <cell r="H12">
            <v>0</v>
          </cell>
          <cell r="J12">
            <v>0</v>
          </cell>
          <cell r="K12">
            <v>162219</v>
          </cell>
        </row>
        <row r="13">
          <cell r="H13">
            <v>0</v>
          </cell>
          <cell r="J13">
            <v>0</v>
          </cell>
          <cell r="K13">
            <v>162219</v>
          </cell>
        </row>
        <row r="14">
          <cell r="H14">
            <v>0</v>
          </cell>
          <cell r="J14">
            <v>86479</v>
          </cell>
          <cell r="K14">
            <v>0</v>
          </cell>
        </row>
        <row r="15">
          <cell r="H15">
            <v>0</v>
          </cell>
          <cell r="J15">
            <v>0</v>
          </cell>
          <cell r="K15">
            <v>0</v>
          </cell>
        </row>
        <row r="16">
          <cell r="H16">
            <v>0</v>
          </cell>
          <cell r="J16">
            <v>0</v>
          </cell>
          <cell r="K16">
            <v>18000</v>
          </cell>
        </row>
        <row r="17">
          <cell r="H17">
            <v>0</v>
          </cell>
          <cell r="J17">
            <v>0</v>
          </cell>
          <cell r="K17">
            <v>0</v>
          </cell>
        </row>
        <row r="18">
          <cell r="H18">
            <v>0</v>
          </cell>
          <cell r="J18">
            <v>0</v>
          </cell>
          <cell r="K18">
            <v>0</v>
          </cell>
        </row>
        <row r="19">
          <cell r="H19">
            <v>0</v>
          </cell>
          <cell r="J19">
            <v>0</v>
          </cell>
          <cell r="K19">
            <v>493</v>
          </cell>
        </row>
        <row r="20">
          <cell r="H20">
            <v>0</v>
          </cell>
          <cell r="J20">
            <v>0</v>
          </cell>
          <cell r="K20">
            <v>7536</v>
          </cell>
        </row>
        <row r="21">
          <cell r="H21">
            <v>0</v>
          </cell>
          <cell r="J21">
            <v>0</v>
          </cell>
          <cell r="K21">
            <v>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1459</v>
          </cell>
        </row>
        <row r="25">
          <cell r="H25">
            <v>0</v>
          </cell>
          <cell r="J25">
            <v>0</v>
          </cell>
          <cell r="K25">
            <v>6511</v>
          </cell>
        </row>
        <row r="26">
          <cell r="H26">
            <v>0</v>
          </cell>
          <cell r="J26">
            <v>0</v>
          </cell>
          <cell r="K26">
            <v>367</v>
          </cell>
        </row>
        <row r="27">
          <cell r="H27">
            <v>0</v>
          </cell>
          <cell r="J27">
            <v>0</v>
          </cell>
          <cell r="K27">
            <v>327</v>
          </cell>
        </row>
        <row r="28">
          <cell r="H28">
            <v>0</v>
          </cell>
          <cell r="J28">
            <v>0</v>
          </cell>
          <cell r="K28">
            <v>43</v>
          </cell>
        </row>
        <row r="29">
          <cell r="H29">
            <v>0</v>
          </cell>
          <cell r="J29">
            <v>0</v>
          </cell>
          <cell r="K29">
            <v>34736</v>
          </cell>
        </row>
        <row r="31">
          <cell r="H31">
            <v>0</v>
          </cell>
          <cell r="J31">
            <v>0</v>
          </cell>
          <cell r="K31">
            <v>16628</v>
          </cell>
        </row>
        <row r="32">
          <cell r="H32">
            <v>0</v>
          </cell>
          <cell r="J32">
            <v>0</v>
          </cell>
          <cell r="K32">
            <v>137767</v>
          </cell>
        </row>
        <row r="33">
          <cell r="H33">
            <v>0</v>
          </cell>
          <cell r="J33">
            <v>0</v>
          </cell>
          <cell r="K33">
            <v>19462</v>
          </cell>
        </row>
        <row r="34">
          <cell r="H34">
            <v>0</v>
          </cell>
          <cell r="J34">
            <v>0</v>
          </cell>
          <cell r="K34">
            <v>3204</v>
          </cell>
        </row>
        <row r="35">
          <cell r="H35">
            <v>0</v>
          </cell>
          <cell r="J35">
            <v>0</v>
          </cell>
          <cell r="K35">
            <v>4035</v>
          </cell>
        </row>
        <row r="36">
          <cell r="H36">
            <v>0</v>
          </cell>
          <cell r="J36">
            <v>0</v>
          </cell>
          <cell r="K36">
            <v>2393</v>
          </cell>
        </row>
        <row r="37">
          <cell r="H37">
            <v>0</v>
          </cell>
          <cell r="J37">
            <v>0</v>
          </cell>
          <cell r="K37">
            <v>3184</v>
          </cell>
        </row>
        <row r="38">
          <cell r="H38">
            <v>0</v>
          </cell>
          <cell r="J38">
            <v>0</v>
          </cell>
          <cell r="K38">
            <v>54120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0</v>
          </cell>
          <cell r="K44">
            <v>0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240793</v>
          </cell>
        </row>
        <row r="48">
          <cell r="H48">
            <v>0</v>
          </cell>
          <cell r="J48">
            <v>0</v>
          </cell>
          <cell r="K48">
            <v>0</v>
          </cell>
        </row>
        <row r="49">
          <cell r="H49">
            <v>0</v>
          </cell>
          <cell r="J49">
            <v>0</v>
          </cell>
          <cell r="K49">
            <v>0</v>
          </cell>
        </row>
        <row r="50">
          <cell r="H50">
            <v>0</v>
          </cell>
          <cell r="J50">
            <v>0</v>
          </cell>
          <cell r="K50">
            <v>0</v>
          </cell>
        </row>
        <row r="51">
          <cell r="H51">
            <v>0</v>
          </cell>
          <cell r="J51">
            <v>0</v>
          </cell>
          <cell r="K51">
            <v>51058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2513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25269</v>
          </cell>
        </row>
        <row r="63">
          <cell r="H63">
            <v>0</v>
          </cell>
          <cell r="J63">
            <v>0</v>
          </cell>
          <cell r="K63">
            <v>9861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21475</v>
          </cell>
        </row>
        <row r="66">
          <cell r="H66">
            <v>0</v>
          </cell>
          <cell r="J66">
            <v>0</v>
          </cell>
          <cell r="K66">
            <v>39138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120649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196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2000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878</v>
          </cell>
        </row>
        <row r="79">
          <cell r="H79">
            <v>0</v>
          </cell>
          <cell r="J79">
            <v>0</v>
          </cell>
          <cell r="K79">
            <v>0</v>
          </cell>
        </row>
        <row r="80">
          <cell r="H80">
            <v>0</v>
          </cell>
          <cell r="J80">
            <v>0</v>
          </cell>
          <cell r="K80">
            <v>90</v>
          </cell>
        </row>
        <row r="81">
          <cell r="H81">
            <v>0</v>
          </cell>
          <cell r="J81">
            <v>0</v>
          </cell>
          <cell r="K81">
            <v>0</v>
          </cell>
        </row>
        <row r="82">
          <cell r="H82">
            <v>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357</v>
          </cell>
        </row>
        <row r="87">
          <cell r="H87">
            <v>0</v>
          </cell>
          <cell r="J87">
            <v>0</v>
          </cell>
          <cell r="K87">
            <v>156574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4">
          <cell r="H94">
            <v>0</v>
          </cell>
          <cell r="J94">
            <v>0</v>
          </cell>
          <cell r="K94">
            <v>0</v>
          </cell>
        </row>
        <row r="95">
          <cell r="H95">
            <v>0</v>
          </cell>
          <cell r="J95">
            <v>0</v>
          </cell>
          <cell r="K95">
            <v>0</v>
          </cell>
        </row>
      </sheetData>
      <sheetData sheetId="1">
        <row r="1">
          <cell r="K1" t="str">
            <v>31-Dic-05</v>
          </cell>
        </row>
      </sheetData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Tickmarks"/>
      <sheetName val="CMA_SampleDesign"/>
      <sheetName val="DialogInsert"/>
      <sheetName val="Sheet1"/>
    </sheetNames>
    <sheetDataSet>
      <sheetData sheetId="0" refreshError="1"/>
      <sheetData sheetId="1" refreshError="1"/>
      <sheetData sheetId="2">
        <row r="10">
          <cell r="F10">
            <v>0</v>
          </cell>
          <cell r="H10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 4"/>
      <sheetName val="Nota EEFF"/>
      <sheetName val="Mvto. Costo y Depreciación PPC"/>
      <sheetName val="Valuación Muebles"/>
      <sheetName val="Prueba  Recálc Deprec. Final"/>
      <sheetName val="Càlc Depre 30-Sept-02"/>
      <sheetName val="Detalle de Compras"/>
      <sheetName val="Compras AF Octub-Diciemb"/>
      <sheetName val="MMA Adic"/>
      <sheetName val="XREF"/>
      <sheetName val="Tickmarks"/>
      <sheetName val="Dep plazo Anex 20"/>
      <sheetName val="Mov. Costo "/>
      <sheetName val="Mov.  Depreciación"/>
      <sheetName val="Cálculo Global Dep."/>
      <sheetName val="Detalle Adic."/>
      <sheetName val="MMA Adiciones"/>
      <sheetName val="An. Adic. Prel.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>
        <row r="3">
          <cell r="A3">
            <v>-2926651.33</v>
          </cell>
          <cell r="B3">
            <v>-2926651.33</v>
          </cell>
          <cell r="D3" t="str">
            <v>Hoja Resumen de Activos fijos</v>
          </cell>
          <cell r="E3" t="str">
            <v>!</v>
          </cell>
        </row>
      </sheetData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{ppc1}"/>
      <sheetName val="Vacaciones"/>
      <sheetName val="M.Benef. Soc."/>
      <sheetName val="M. F.R.{ppc2}"/>
      <sheetName val="Sueldos"/>
      <sheetName val="Otros sueldos"/>
      <sheetName val="Cálculo del límite"/>
      <sheetName val="Tabla del Limite"/>
      <sheetName val="Tickmarks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-76052</v>
          </cell>
          <cell r="B2">
            <v>-76052</v>
          </cell>
          <cell r="D2" t="str">
            <v>Resumen de otras cuentas por pagar</v>
          </cell>
          <cell r="E2" t="str">
            <v>!</v>
          </cell>
        </row>
        <row r="3">
          <cell r="A3">
            <v>4022855</v>
          </cell>
          <cell r="B3">
            <v>4022855</v>
          </cell>
          <cell r="D3" t="str">
            <v>Resumen de Gastos de Administración</v>
          </cell>
          <cell r="E3" t="str">
            <v>!</v>
          </cell>
        </row>
        <row r="4">
          <cell r="A4">
            <v>1202441</v>
          </cell>
          <cell r="B4">
            <v>1202441</v>
          </cell>
          <cell r="D4" t="str">
            <v>Resumen de Gastos de Administración</v>
          </cell>
          <cell r="E4" t="str">
            <v>!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conc. bancarias"/>
      <sheetName val="Análisis partidas conciliatoria"/>
      <sheetName val="Inversiones temporales"/>
      <sheetName val="Análisis partidas que restan"/>
      <sheetName val="Prueba de corte ok"/>
      <sheetName val="Arqueo de cheques "/>
      <sheetName val="XREF"/>
      <sheetName val="Tickmarks"/>
      <sheetName val="Resumen de Conciliaciones"/>
      <sheetName val="Análisis de Part. Concili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Detalle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tos Anticipados"/>
      <sheetName val="XREF"/>
      <sheetName val="Tickmarks"/>
      <sheetName val="Seg.Act.Fijos (Final)"/>
      <sheetName val="Seg.Act.Fijos (Prel.)"/>
      <sheetName val="Retención Fuente"/>
      <sheetName val="Cálculo de dif. en cambio"/>
      <sheetName val="Cobertura de Seguros Prel."/>
      <sheetName val="Detalle "/>
      <sheetName val="Detalle"/>
      <sheetName val="Cuentas por Liquidar"/>
      <sheetName val="Anticipo Imp. a la Renta"/>
      <sheetName val="Seguros "/>
      <sheetName val="Límites"/>
      <sheetName val="Relacionadas Final"/>
      <sheetName val="Relacionadas"/>
      <sheetName val="Detalle Servicios Anticipados"/>
      <sheetName val="Seguros"/>
      <sheetName val="Nota EEFF"/>
      <sheetName val="Retenciones"/>
      <sheetName val="Ant. Prov"/>
      <sheetName val="Garantías"/>
      <sheetName val="Ant. Inst. Of"/>
      <sheetName val="Resumen"/>
      <sheetName val="Procedimientos"/>
      <sheetName val="Proyecto PAPA"/>
      <sheetName val="Selección PAPA"/>
      <sheetName val="Proyecto PAP"/>
      <sheetName val="Selección PAP"/>
      <sheetName val="Reembolsos Funvida"/>
      <sheetName val="Intercompany"/>
      <sheetName val="Préstamos empleados"/>
      <sheetName val="Nacional proveedores "/>
      <sheetName val="Anticipo empleados"/>
      <sheetName val="Otras cxc"/>
      <sheetName val="Consumo prov bod"/>
      <sheetName val="Prestamos_empleados (Prel)"/>
      <sheetName val="Anticipo_empleados (Prel)"/>
      <sheetName val="otras_CxC_empleados (Prel)"/>
      <sheetName val="Funvida(Prel)"/>
      <sheetName val="#REF"/>
      <sheetName val="Prestamos_empleados"/>
      <sheetName val="Anticipo_empleados"/>
      <sheetName val="Funvida"/>
      <sheetName val="otras_CxC_empleados"/>
      <sheetName val="Sheet1"/>
      <sheetName val="Anticipos compras especiales"/>
      <sheetName val="Ariendos"/>
      <sheetName val="CXC Fundación"/>
      <sheetName val="Prv.Bienes y Serivicios"/>
      <sheetName val="Base Prov.Bien &amp; Ser"/>
      <sheetName val="Anticipos &gt;300 dias"/>
      <sheetName val="Det.Prést.Empleados"/>
      <sheetName val="Anticipos"/>
      <sheetName val="Detalle de IVA"/>
      <sheetName val="Seguros (Dic05)"/>
      <sheetName val="Seguros (Ago05)"/>
      <sheetName val="Gar.Aduan.Dic'05"/>
      <sheetName val="Com. Garant. Aduan. (Ago05)"/>
      <sheetName val="Licencias"/>
      <sheetName val="APT Licencias"/>
      <sheetName val="Anticipos a proveedores"/>
      <sheetName val="Limites"/>
      <sheetName val="Notas EEFF"/>
      <sheetName val="Ant.Proveed."/>
      <sheetName val="Análisis Anticipos"/>
      <sheetName val="Analisis - APT"/>
      <sheetName val="Garantías Final"/>
      <sheetName val="Reclamaciones"/>
      <sheetName val="Distribuidores"/>
      <sheetName val="Ref. FV - Colombia"/>
      <sheetName val="Ref. FV - Perú"/>
      <sheetName val="Anticipo IR"/>
      <sheetName val="Otros G diferidos Final"/>
      <sheetName val="Otros G diferidos"/>
      <sheetName val="Relacionadas Preli"/>
      <sheetName val="Impuesto anticipado"/>
      <sheetName val="Selec. APT"/>
      <sheetName val="Ana.APT"/>
      <sheetName val="Ant. Func. y Empl."/>
      <sheetName val="Funcionarios y empleados"/>
      <sheetName val="Anticipo Proveedores"/>
      <sheetName val="Notas"/>
      <sheetName val="Destino Tierra"/>
      <sheetName val="Impuestos"/>
      <sheetName val="Varios deudores"/>
      <sheetName val="CxC Unibanco "/>
      <sheetName val="CXC Seguros"/>
      <sheetName val="Otras Cuentas"/>
      <sheetName val="Gtos. Anticip."/>
      <sheetName val="Arriendo Anticp."/>
      <sheetName val="Amortizacion Gastos"/>
      <sheetName val="CXC Juzgado"/>
      <sheetName val="Otas CXC"/>
      <sheetName val="Emplead. x C."/>
      <sheetName val="Amort. Gtos."/>
      <sheetName val="x Unibanco "/>
      <sheetName val="CXC Relacionadas"/>
      <sheetName val="DARMAIN"/>
      <sheetName val="Fullmuebles"/>
      <sheetName val="CXC Guatemala"/>
      <sheetName val="NETBANK"/>
      <sheetName val="CXC Movistar"/>
      <sheetName val="Crédito Tributario"/>
      <sheetName val="Deudores Marcas"/>
      <sheetName val="Empleados"/>
      <sheetName val="Otras Cuentas por Cobrar"/>
    </sheetNames>
    <sheetDataSet>
      <sheetData sheetId="0">
        <row r="2">
          <cell r="A2">
            <v>93954.880000000005</v>
          </cell>
        </row>
      </sheetData>
      <sheetData sheetId="1">
        <row r="2">
          <cell r="A2">
            <v>93954.880000000005</v>
          </cell>
        </row>
      </sheetData>
      <sheetData sheetId="2"/>
      <sheetData sheetId="3" refreshError="1"/>
      <sheetData sheetId="4"/>
      <sheetData sheetId="5"/>
      <sheetData sheetId="6" refreshError="1"/>
      <sheetData sheetId="7">
        <row r="1">
          <cell r="A1" t="str">
            <v xml:space="preserve">Análisis de Cobertura de Seguros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1">
          <cell r="A1" t="str">
            <v xml:space="preserve">Análisis de Cobertura de Seguros </v>
          </cell>
        </row>
      </sheetData>
      <sheetData sheetId="18" refreshError="1"/>
      <sheetData sheetId="19" refreshError="1"/>
      <sheetData sheetId="20">
        <row r="2">
          <cell r="A2">
            <v>222292</v>
          </cell>
        </row>
      </sheetData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Iniciales"/>
      <sheetName val="ER"/>
      <sheetName val="Resultados"/>
      <sheetName val="Arriendos"/>
      <sheetName val="Seguros"/>
    </sheetNames>
    <sheetDataSet>
      <sheetData sheetId="0" refreshError="1">
        <row r="12">
          <cell r="C12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>
        <row r="60">
          <cell r="J60">
            <v>435461.71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s"/>
      <sheetName val="Inversiones Vigentes"/>
      <sheetName val="Inversiones Vencidas"/>
      <sheetName val="Anexo1"/>
      <sheetName val="Anexo 1.1"/>
      <sheetName val="Anexo 1.2"/>
      <sheetName val="Anexo 2"/>
      <sheetName val="Anexo 3"/>
      <sheetName val="Anexo 4"/>
      <sheetName val="Anexo 5"/>
      <sheetName val="Anexo 6"/>
      <sheetName val="Anexo 6.1"/>
      <sheetName val="Anexo 7"/>
      <sheetName val="Anexo 9"/>
      <sheetName val="Anexo 10"/>
      <sheetName val="Anexo 8"/>
      <sheetName val="Anexo 11"/>
      <sheetName val="Anexo 12"/>
      <sheetName val="Anexo 13 "/>
      <sheetName val="Anexo 14"/>
      <sheetName val="Anexo 15"/>
      <sheetName val="Anexo 16"/>
      <sheetName val="Patrimonio"/>
      <sheetName val="Anexo 17"/>
      <sheetName val="Anexo 17.1"/>
      <sheetName val="Anexo 17.1_2"/>
      <sheetName val="Anexo 17.2"/>
      <sheetName val="Anexo 18"/>
      <sheetName val="Anexo 19 "/>
      <sheetName val="Anexo 20.2"/>
      <sheetName val="Anexo 20"/>
      <sheetName val="Anexo 20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I2" t="str">
            <v>Adjusted</v>
          </cell>
        </row>
        <row r="4">
          <cell r="I4">
            <v>358843</v>
          </cell>
        </row>
        <row r="5">
          <cell r="I5">
            <v>46909</v>
          </cell>
        </row>
        <row r="6">
          <cell r="I6">
            <v>91640</v>
          </cell>
        </row>
        <row r="7">
          <cell r="I7">
            <v>3989</v>
          </cell>
        </row>
        <row r="8">
          <cell r="I8">
            <v>32173</v>
          </cell>
        </row>
        <row r="9">
          <cell r="I9">
            <v>1200</v>
          </cell>
        </row>
        <row r="10">
          <cell r="I10">
            <v>300</v>
          </cell>
        </row>
        <row r="11">
          <cell r="I11">
            <v>6844</v>
          </cell>
        </row>
        <row r="12">
          <cell r="I12">
            <v>27057</v>
          </cell>
        </row>
        <row r="13">
          <cell r="I13">
            <v>32173</v>
          </cell>
        </row>
        <row r="14">
          <cell r="I14">
            <v>23452</v>
          </cell>
        </row>
        <row r="15">
          <cell r="I15">
            <v>172</v>
          </cell>
        </row>
        <row r="16">
          <cell r="I16">
            <v>129420</v>
          </cell>
        </row>
        <row r="17">
          <cell r="I17">
            <v>2088</v>
          </cell>
        </row>
        <row r="18">
          <cell r="I18">
            <v>504</v>
          </cell>
        </row>
        <row r="19">
          <cell r="I19">
            <v>2265</v>
          </cell>
        </row>
        <row r="20">
          <cell r="I20">
            <v>81000</v>
          </cell>
        </row>
        <row r="21">
          <cell r="I21">
            <v>54000</v>
          </cell>
        </row>
        <row r="22">
          <cell r="I22">
            <v>12793</v>
          </cell>
        </row>
        <row r="23">
          <cell r="I23">
            <v>705</v>
          </cell>
        </row>
        <row r="24">
          <cell r="I24">
            <v>33014</v>
          </cell>
        </row>
        <row r="25">
          <cell r="I25">
            <v>238100</v>
          </cell>
        </row>
        <row r="26">
          <cell r="I26">
            <v>188600</v>
          </cell>
        </row>
        <row r="27">
          <cell r="I27">
            <v>77693</v>
          </cell>
        </row>
        <row r="28">
          <cell r="I28">
            <v>611989</v>
          </cell>
        </row>
        <row r="29">
          <cell r="I29">
            <v>77708</v>
          </cell>
        </row>
        <row r="30">
          <cell r="I30">
            <v>72547</v>
          </cell>
        </row>
        <row r="31">
          <cell r="I31">
            <v>26696</v>
          </cell>
        </row>
        <row r="32">
          <cell r="I32">
            <v>53201</v>
          </cell>
        </row>
        <row r="33">
          <cell r="I33">
            <v>8231</v>
          </cell>
        </row>
        <row r="34">
          <cell r="I34">
            <v>1083</v>
          </cell>
        </row>
        <row r="35">
          <cell r="I35">
            <v>25008</v>
          </cell>
        </row>
        <row r="36">
          <cell r="I36">
            <v>32696</v>
          </cell>
        </row>
        <row r="37">
          <cell r="I37">
            <v>52210</v>
          </cell>
        </row>
        <row r="38">
          <cell r="I38">
            <v>35369</v>
          </cell>
        </row>
        <row r="39">
          <cell r="I39">
            <v>196</v>
          </cell>
        </row>
        <row r="40">
          <cell r="I40">
            <v>199164</v>
          </cell>
        </row>
        <row r="41">
          <cell r="I41">
            <v>7105</v>
          </cell>
        </row>
        <row r="42">
          <cell r="I42">
            <v>1995</v>
          </cell>
        </row>
        <row r="43">
          <cell r="I43">
            <v>9130</v>
          </cell>
        </row>
        <row r="44">
          <cell r="I44">
            <v>25200</v>
          </cell>
        </row>
        <row r="45">
          <cell r="I45">
            <v>9609</v>
          </cell>
        </row>
        <row r="46">
          <cell r="I46">
            <v>52919</v>
          </cell>
        </row>
        <row r="47">
          <cell r="I47">
            <v>96</v>
          </cell>
        </row>
        <row r="48">
          <cell r="I48">
            <v>2813</v>
          </cell>
        </row>
        <row r="49">
          <cell r="I49">
            <v>205596</v>
          </cell>
        </row>
        <row r="50">
          <cell r="I50">
            <v>41000</v>
          </cell>
        </row>
        <row r="51">
          <cell r="I51">
            <v>67460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139537</v>
          </cell>
        </row>
        <row r="75">
          <cell r="I75">
            <v>244313</v>
          </cell>
        </row>
        <row r="76">
          <cell r="I76">
            <v>131024</v>
          </cell>
        </row>
        <row r="77">
          <cell r="I77">
            <v>26791</v>
          </cell>
        </row>
        <row r="78">
          <cell r="I78">
            <v>85545</v>
          </cell>
        </row>
        <row r="79">
          <cell r="I79">
            <v>135682</v>
          </cell>
        </row>
        <row r="80">
          <cell r="I80">
            <v>71167</v>
          </cell>
        </row>
        <row r="81">
          <cell r="I81">
            <v>83375</v>
          </cell>
        </row>
        <row r="82">
          <cell r="I82">
            <v>1744</v>
          </cell>
        </row>
        <row r="83">
          <cell r="I83">
            <v>83483</v>
          </cell>
        </row>
        <row r="84">
          <cell r="I84">
            <v>67902</v>
          </cell>
        </row>
        <row r="85">
          <cell r="I85">
            <v>134966</v>
          </cell>
        </row>
        <row r="86">
          <cell r="I86">
            <v>5076</v>
          </cell>
        </row>
        <row r="87">
          <cell r="I87">
            <v>5557</v>
          </cell>
        </row>
        <row r="88">
          <cell r="I88">
            <v>15979</v>
          </cell>
        </row>
        <row r="89">
          <cell r="I89">
            <v>117517</v>
          </cell>
        </row>
        <row r="90">
          <cell r="I90">
            <v>4309</v>
          </cell>
        </row>
        <row r="91">
          <cell r="I91">
            <v>0</v>
          </cell>
        </row>
        <row r="92">
          <cell r="I92">
            <v>212916</v>
          </cell>
        </row>
        <row r="93">
          <cell r="I93">
            <v>102400</v>
          </cell>
        </row>
        <row r="94">
          <cell r="I94">
            <v>76238</v>
          </cell>
        </row>
        <row r="95">
          <cell r="I95">
            <v>20563</v>
          </cell>
        </row>
        <row r="96">
          <cell r="I96">
            <v>66620</v>
          </cell>
        </row>
        <row r="97">
          <cell r="I97">
            <v>28283</v>
          </cell>
        </row>
        <row r="98">
          <cell r="I98">
            <v>27320</v>
          </cell>
        </row>
        <row r="99">
          <cell r="I99">
            <v>6550</v>
          </cell>
        </row>
        <row r="100">
          <cell r="I100">
            <v>2355</v>
          </cell>
        </row>
        <row r="101">
          <cell r="I101">
            <v>1453</v>
          </cell>
        </row>
        <row r="102">
          <cell r="I102">
            <v>0</v>
          </cell>
        </row>
        <row r="103">
          <cell r="I103">
            <v>17375</v>
          </cell>
        </row>
        <row r="104">
          <cell r="I104">
            <v>110914</v>
          </cell>
        </row>
        <row r="105">
          <cell r="I105">
            <v>20580</v>
          </cell>
        </row>
        <row r="106">
          <cell r="I106">
            <v>21697</v>
          </cell>
        </row>
        <row r="107">
          <cell r="I107">
            <v>5133186</v>
          </cell>
        </row>
        <row r="109">
          <cell r="I109">
            <v>342266</v>
          </cell>
        </row>
        <row r="110">
          <cell r="I110">
            <v>46109</v>
          </cell>
        </row>
        <row r="111">
          <cell r="I111">
            <v>91922</v>
          </cell>
        </row>
        <row r="112">
          <cell r="I112">
            <v>6009</v>
          </cell>
        </row>
        <row r="113">
          <cell r="I113">
            <v>33063</v>
          </cell>
        </row>
        <row r="114">
          <cell r="I114">
            <v>1636</v>
          </cell>
        </row>
        <row r="115">
          <cell r="I115">
            <v>409</v>
          </cell>
        </row>
        <row r="116">
          <cell r="I116">
            <v>9585</v>
          </cell>
        </row>
        <row r="117">
          <cell r="I117">
            <v>19644</v>
          </cell>
        </row>
        <row r="118">
          <cell r="I118">
            <v>30476</v>
          </cell>
        </row>
        <row r="119">
          <cell r="I119">
            <v>23929</v>
          </cell>
        </row>
        <row r="120">
          <cell r="I120">
            <v>48</v>
          </cell>
        </row>
        <row r="121">
          <cell r="I121">
            <v>188090</v>
          </cell>
        </row>
        <row r="122">
          <cell r="I122">
            <v>2929</v>
          </cell>
        </row>
        <row r="123">
          <cell r="I123">
            <v>707</v>
          </cell>
        </row>
        <row r="124">
          <cell r="I124">
            <v>2955</v>
          </cell>
        </row>
        <row r="125">
          <cell r="I125">
            <v>20700</v>
          </cell>
        </row>
        <row r="126">
          <cell r="I126">
            <v>0</v>
          </cell>
        </row>
        <row r="127">
          <cell r="I127">
            <v>27829</v>
          </cell>
        </row>
        <row r="128">
          <cell r="I128">
            <v>1246</v>
          </cell>
        </row>
        <row r="129">
          <cell r="I129">
            <v>17569</v>
          </cell>
        </row>
        <row r="130">
          <cell r="I130">
            <v>215003</v>
          </cell>
        </row>
        <row r="131">
          <cell r="I131">
            <v>63500</v>
          </cell>
        </row>
        <row r="132">
          <cell r="I132">
            <v>49471</v>
          </cell>
        </row>
        <row r="133">
          <cell r="I133">
            <v>18820</v>
          </cell>
        </row>
        <row r="134">
          <cell r="I134">
            <v>37294</v>
          </cell>
        </row>
        <row r="135">
          <cell r="I135">
            <v>359802</v>
          </cell>
        </row>
        <row r="136">
          <cell r="I136">
            <v>67403</v>
          </cell>
        </row>
        <row r="137">
          <cell r="I137">
            <v>39855</v>
          </cell>
        </row>
        <row r="138">
          <cell r="I138">
            <v>182289</v>
          </cell>
        </row>
        <row r="139">
          <cell r="I139">
            <v>92115</v>
          </cell>
        </row>
        <row r="140">
          <cell r="I140">
            <v>3575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19175</v>
          </cell>
        </row>
        <row r="152">
          <cell r="I152">
            <v>54895</v>
          </cell>
        </row>
        <row r="153">
          <cell r="I153">
            <v>8047</v>
          </cell>
        </row>
        <row r="154">
          <cell r="I154">
            <v>234934</v>
          </cell>
        </row>
        <row r="155">
          <cell r="I155">
            <v>20729</v>
          </cell>
        </row>
        <row r="156">
          <cell r="I156">
            <v>221</v>
          </cell>
        </row>
        <row r="157">
          <cell r="I157">
            <v>22835</v>
          </cell>
        </row>
        <row r="158">
          <cell r="I158">
            <v>10789</v>
          </cell>
        </row>
        <row r="159">
          <cell r="I159">
            <v>2087</v>
          </cell>
        </row>
        <row r="160">
          <cell r="I160">
            <v>155246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32195</v>
          </cell>
        </row>
        <row r="165">
          <cell r="I165">
            <v>57345</v>
          </cell>
        </row>
        <row r="166">
          <cell r="I166">
            <v>55045</v>
          </cell>
        </row>
        <row r="167">
          <cell r="I167">
            <v>32045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53751</v>
          </cell>
        </row>
        <row r="174">
          <cell r="I174">
            <v>0</v>
          </cell>
        </row>
        <row r="175">
          <cell r="I175">
            <v>504084</v>
          </cell>
        </row>
        <row r="176">
          <cell r="I176">
            <v>18961</v>
          </cell>
        </row>
        <row r="177">
          <cell r="I177">
            <v>0</v>
          </cell>
        </row>
        <row r="178">
          <cell r="I178">
            <v>67609</v>
          </cell>
        </row>
        <row r="179">
          <cell r="I179">
            <v>2880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5941</v>
          </cell>
        </row>
        <row r="185">
          <cell r="I185">
            <v>1235</v>
          </cell>
        </row>
        <row r="186">
          <cell r="I186">
            <v>163701</v>
          </cell>
        </row>
        <row r="187">
          <cell r="I187">
            <v>28296</v>
          </cell>
        </row>
        <row r="188">
          <cell r="I188">
            <v>0</v>
          </cell>
        </row>
        <row r="189">
          <cell r="I189">
            <v>280</v>
          </cell>
        </row>
        <row r="190">
          <cell r="I190">
            <v>200</v>
          </cell>
        </row>
        <row r="191">
          <cell r="I191">
            <v>153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2550</v>
          </cell>
        </row>
        <row r="200">
          <cell r="I200">
            <v>1200</v>
          </cell>
        </row>
        <row r="201">
          <cell r="I201">
            <v>8260</v>
          </cell>
        </row>
        <row r="202">
          <cell r="I202">
            <v>7000</v>
          </cell>
        </row>
        <row r="203">
          <cell r="I203">
            <v>3300</v>
          </cell>
        </row>
        <row r="204">
          <cell r="I204">
            <v>310</v>
          </cell>
        </row>
        <row r="205">
          <cell r="I205">
            <v>4500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-667431</v>
          </cell>
        </row>
        <row r="211">
          <cell r="I211">
            <v>332744</v>
          </cell>
        </row>
        <row r="212">
          <cell r="I212">
            <v>1144830</v>
          </cell>
        </row>
        <row r="213">
          <cell r="I213">
            <v>656995</v>
          </cell>
        </row>
        <row r="214">
          <cell r="I214">
            <v>220913</v>
          </cell>
        </row>
        <row r="215">
          <cell r="I215">
            <v>0</v>
          </cell>
        </row>
        <row r="216">
          <cell r="I216">
            <v>163692</v>
          </cell>
        </row>
        <row r="217">
          <cell r="I217">
            <v>2150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3231</v>
          </cell>
        </row>
        <row r="223">
          <cell r="I223">
            <v>675</v>
          </cell>
        </row>
        <row r="224">
          <cell r="I224">
            <v>675</v>
          </cell>
        </row>
        <row r="225">
          <cell r="I225">
            <v>675</v>
          </cell>
        </row>
        <row r="226">
          <cell r="I226">
            <v>675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21657</v>
          </cell>
        </row>
        <row r="233">
          <cell r="I233">
            <v>46838</v>
          </cell>
        </row>
        <row r="234">
          <cell r="I234">
            <v>46228</v>
          </cell>
        </row>
        <row r="235">
          <cell r="I235">
            <v>0</v>
          </cell>
        </row>
        <row r="236">
          <cell r="I236">
            <v>1966</v>
          </cell>
        </row>
        <row r="237">
          <cell r="I237">
            <v>1966</v>
          </cell>
        </row>
        <row r="238">
          <cell r="I238">
            <v>91032</v>
          </cell>
        </row>
        <row r="239">
          <cell r="I239">
            <v>43716</v>
          </cell>
        </row>
        <row r="240">
          <cell r="I240">
            <v>62147</v>
          </cell>
        </row>
        <row r="241">
          <cell r="I241">
            <v>36552</v>
          </cell>
        </row>
        <row r="242">
          <cell r="I242">
            <v>13825</v>
          </cell>
        </row>
        <row r="243">
          <cell r="I243">
            <v>13825</v>
          </cell>
        </row>
        <row r="244">
          <cell r="I244">
            <v>13825</v>
          </cell>
        </row>
        <row r="245">
          <cell r="I245">
            <v>0</v>
          </cell>
        </row>
        <row r="246">
          <cell r="I246">
            <v>13825</v>
          </cell>
        </row>
        <row r="247">
          <cell r="I247">
            <v>13825</v>
          </cell>
        </row>
        <row r="248">
          <cell r="I248">
            <v>13825</v>
          </cell>
        </row>
        <row r="249">
          <cell r="I249">
            <v>2625</v>
          </cell>
        </row>
        <row r="250">
          <cell r="I250">
            <v>13973</v>
          </cell>
        </row>
        <row r="251">
          <cell r="I251">
            <v>27519</v>
          </cell>
        </row>
        <row r="252">
          <cell r="I252">
            <v>2122</v>
          </cell>
        </row>
        <row r="253">
          <cell r="I253">
            <v>4342</v>
          </cell>
        </row>
        <row r="254">
          <cell r="I254">
            <v>0</v>
          </cell>
        </row>
        <row r="255">
          <cell r="I255">
            <v>5769</v>
          </cell>
        </row>
        <row r="256">
          <cell r="I256">
            <v>13215</v>
          </cell>
        </row>
        <row r="257">
          <cell r="I257">
            <v>0</v>
          </cell>
        </row>
        <row r="258">
          <cell r="I258">
            <v>28987</v>
          </cell>
        </row>
        <row r="259">
          <cell r="I259">
            <v>62909</v>
          </cell>
        </row>
        <row r="260">
          <cell r="I260">
            <v>4239</v>
          </cell>
        </row>
        <row r="261">
          <cell r="I261">
            <v>5028</v>
          </cell>
        </row>
        <row r="262">
          <cell r="I262">
            <v>1793</v>
          </cell>
        </row>
        <row r="263">
          <cell r="I263">
            <v>16013</v>
          </cell>
        </row>
        <row r="264">
          <cell r="I264">
            <v>9409</v>
          </cell>
        </row>
        <row r="265">
          <cell r="I265">
            <v>23586</v>
          </cell>
        </row>
        <row r="266">
          <cell r="I266">
            <v>2222</v>
          </cell>
        </row>
        <row r="267">
          <cell r="I267">
            <v>6327</v>
          </cell>
        </row>
        <row r="268">
          <cell r="I268">
            <v>2534</v>
          </cell>
        </row>
        <row r="269">
          <cell r="I269">
            <v>8638</v>
          </cell>
        </row>
        <row r="270">
          <cell r="I270">
            <v>2140</v>
          </cell>
        </row>
        <row r="271">
          <cell r="I271">
            <v>135111</v>
          </cell>
        </row>
        <row r="272">
          <cell r="I272">
            <v>8395</v>
          </cell>
        </row>
        <row r="273">
          <cell r="I273">
            <v>7953</v>
          </cell>
        </row>
        <row r="274">
          <cell r="I274">
            <v>96086</v>
          </cell>
        </row>
        <row r="275">
          <cell r="I275">
            <v>49850</v>
          </cell>
        </row>
        <row r="276">
          <cell r="I276">
            <v>4301591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12495</v>
          </cell>
        </row>
        <row r="280">
          <cell r="I280">
            <v>26749</v>
          </cell>
        </row>
        <row r="281">
          <cell r="I281">
            <v>19503</v>
          </cell>
        </row>
        <row r="282">
          <cell r="I282">
            <v>38451</v>
          </cell>
        </row>
        <row r="283">
          <cell r="I283">
            <v>55700</v>
          </cell>
        </row>
        <row r="284">
          <cell r="I284">
            <v>717553</v>
          </cell>
        </row>
        <row r="285">
          <cell r="I285">
            <v>92516</v>
          </cell>
        </row>
        <row r="286">
          <cell r="I286">
            <v>14737</v>
          </cell>
        </row>
        <row r="287">
          <cell r="I287">
            <v>12342</v>
          </cell>
        </row>
        <row r="288">
          <cell r="I288">
            <v>4141</v>
          </cell>
        </row>
        <row r="289">
          <cell r="I289">
            <v>3600</v>
          </cell>
        </row>
        <row r="290">
          <cell r="I290">
            <v>1850</v>
          </cell>
        </row>
        <row r="291">
          <cell r="I291">
            <v>11741</v>
          </cell>
        </row>
        <row r="292">
          <cell r="I292">
            <v>4800</v>
          </cell>
        </row>
        <row r="293">
          <cell r="I293">
            <v>1700</v>
          </cell>
        </row>
        <row r="294">
          <cell r="I294">
            <v>3166</v>
          </cell>
        </row>
        <row r="295">
          <cell r="I295">
            <v>5000</v>
          </cell>
        </row>
        <row r="296">
          <cell r="I296">
            <v>541</v>
          </cell>
        </row>
        <row r="297">
          <cell r="I297">
            <v>0</v>
          </cell>
        </row>
        <row r="298">
          <cell r="I298">
            <v>93123</v>
          </cell>
        </row>
        <row r="299">
          <cell r="I299">
            <v>21829</v>
          </cell>
        </row>
        <row r="300">
          <cell r="I300">
            <v>15357</v>
          </cell>
        </row>
        <row r="301">
          <cell r="I301">
            <v>16159</v>
          </cell>
        </row>
        <row r="302">
          <cell r="I302">
            <v>4220</v>
          </cell>
        </row>
        <row r="303">
          <cell r="I303">
            <v>3532</v>
          </cell>
        </row>
        <row r="304">
          <cell r="I304">
            <v>382</v>
          </cell>
        </row>
        <row r="305">
          <cell r="I305">
            <v>5636</v>
          </cell>
        </row>
        <row r="306">
          <cell r="I306">
            <v>5045</v>
          </cell>
        </row>
        <row r="307">
          <cell r="I307">
            <v>6719</v>
          </cell>
        </row>
        <row r="308">
          <cell r="I308">
            <v>7198</v>
          </cell>
        </row>
        <row r="309">
          <cell r="I309">
            <v>2114</v>
          </cell>
        </row>
        <row r="310">
          <cell r="I310">
            <v>1153</v>
          </cell>
        </row>
        <row r="311">
          <cell r="I311">
            <v>87</v>
          </cell>
        </row>
        <row r="312">
          <cell r="I312">
            <v>2389165</v>
          </cell>
        </row>
        <row r="313">
          <cell r="I313">
            <v>620878</v>
          </cell>
        </row>
        <row r="314">
          <cell r="I314">
            <v>584778</v>
          </cell>
        </row>
        <row r="315">
          <cell r="I315">
            <v>559587</v>
          </cell>
        </row>
        <row r="316">
          <cell r="I316">
            <v>1372980</v>
          </cell>
        </row>
        <row r="317">
          <cell r="I317">
            <v>312008</v>
          </cell>
        </row>
        <row r="318">
          <cell r="I318">
            <v>279094</v>
          </cell>
        </row>
        <row r="319">
          <cell r="I319">
            <v>27014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39534</v>
          </cell>
        </row>
        <row r="329">
          <cell r="I329">
            <v>36939</v>
          </cell>
        </row>
        <row r="330">
          <cell r="I330">
            <v>18760</v>
          </cell>
        </row>
        <row r="331">
          <cell r="I331">
            <v>68085</v>
          </cell>
        </row>
        <row r="332">
          <cell r="I332">
            <v>82481</v>
          </cell>
        </row>
        <row r="333">
          <cell r="I333">
            <v>15006</v>
          </cell>
        </row>
        <row r="334">
          <cell r="I334">
            <v>14941</v>
          </cell>
        </row>
        <row r="335">
          <cell r="I335">
            <v>-35</v>
          </cell>
        </row>
        <row r="336">
          <cell r="I336">
            <v>-7</v>
          </cell>
        </row>
        <row r="337">
          <cell r="I337">
            <v>-6</v>
          </cell>
        </row>
        <row r="338">
          <cell r="I338">
            <v>-101</v>
          </cell>
        </row>
        <row r="339">
          <cell r="I339">
            <v>-156</v>
          </cell>
        </row>
        <row r="340">
          <cell r="I340">
            <v>5</v>
          </cell>
        </row>
        <row r="341">
          <cell r="I341">
            <v>-33</v>
          </cell>
        </row>
        <row r="342">
          <cell r="I342">
            <v>0</v>
          </cell>
        </row>
        <row r="343">
          <cell r="I343">
            <v>6179</v>
          </cell>
        </row>
        <row r="344">
          <cell r="I344">
            <v>-346</v>
          </cell>
        </row>
        <row r="345">
          <cell r="I345">
            <v>-251</v>
          </cell>
        </row>
        <row r="346">
          <cell r="I346">
            <v>-39</v>
          </cell>
        </row>
        <row r="347">
          <cell r="I347">
            <v>1682479</v>
          </cell>
        </row>
        <row r="348">
          <cell r="I348">
            <v>801959</v>
          </cell>
        </row>
        <row r="349">
          <cell r="I349">
            <v>146684</v>
          </cell>
        </row>
        <row r="350">
          <cell r="I350">
            <v>138447</v>
          </cell>
        </row>
        <row r="351">
          <cell r="I351">
            <v>27319</v>
          </cell>
        </row>
        <row r="352">
          <cell r="I352">
            <v>57183</v>
          </cell>
        </row>
        <row r="353">
          <cell r="I353">
            <v>6426</v>
          </cell>
        </row>
        <row r="354">
          <cell r="I354">
            <v>78930</v>
          </cell>
        </row>
        <row r="355">
          <cell r="I355">
            <v>34996</v>
          </cell>
        </row>
        <row r="356">
          <cell r="I356">
            <v>21798</v>
          </cell>
        </row>
        <row r="357">
          <cell r="I357">
            <v>20536</v>
          </cell>
        </row>
        <row r="358">
          <cell r="I358">
            <v>34250</v>
          </cell>
        </row>
        <row r="359">
          <cell r="I359">
            <v>12994</v>
          </cell>
        </row>
        <row r="360">
          <cell r="I360">
            <v>141885</v>
          </cell>
        </row>
        <row r="361">
          <cell r="I361">
            <v>40149</v>
          </cell>
        </row>
        <row r="362">
          <cell r="I362">
            <v>5114</v>
          </cell>
        </row>
        <row r="363">
          <cell r="I363">
            <v>24000</v>
          </cell>
        </row>
        <row r="364">
          <cell r="I364">
            <v>17698</v>
          </cell>
        </row>
        <row r="365">
          <cell r="I365">
            <v>74685</v>
          </cell>
        </row>
        <row r="366">
          <cell r="I366">
            <v>21716430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26849616</v>
          </cell>
        </row>
      </sheetData>
      <sheetData sheetId="1">
        <row r="1">
          <cell r="F1" t="str">
            <v>Preliminary</v>
          </cell>
        </row>
        <row r="3">
          <cell r="F3">
            <v>358843</v>
          </cell>
        </row>
        <row r="4">
          <cell r="F4">
            <v>46909</v>
          </cell>
        </row>
        <row r="5">
          <cell r="F5">
            <v>91640</v>
          </cell>
        </row>
        <row r="6">
          <cell r="F6">
            <v>3989</v>
          </cell>
        </row>
        <row r="7">
          <cell r="F7">
            <v>32173</v>
          </cell>
        </row>
        <row r="8">
          <cell r="F8">
            <v>1200</v>
          </cell>
        </row>
        <row r="9">
          <cell r="F9">
            <v>300</v>
          </cell>
        </row>
        <row r="10">
          <cell r="F10">
            <v>6844</v>
          </cell>
        </row>
        <row r="11">
          <cell r="F11">
            <v>27057</v>
          </cell>
        </row>
        <row r="12">
          <cell r="F12">
            <v>32173</v>
          </cell>
        </row>
        <row r="13">
          <cell r="F13">
            <v>23452</v>
          </cell>
        </row>
        <row r="14">
          <cell r="F14">
            <v>172</v>
          </cell>
        </row>
        <row r="15">
          <cell r="F15">
            <v>129420</v>
          </cell>
        </row>
        <row r="16">
          <cell r="F16">
            <v>2088</v>
          </cell>
        </row>
        <row r="17">
          <cell r="F17">
            <v>504</v>
          </cell>
        </row>
        <row r="18">
          <cell r="F18">
            <v>2265</v>
          </cell>
        </row>
        <row r="19">
          <cell r="F19">
            <v>81000</v>
          </cell>
        </row>
        <row r="20">
          <cell r="F20">
            <v>54000</v>
          </cell>
        </row>
        <row r="21">
          <cell r="F21">
            <v>12793</v>
          </cell>
        </row>
        <row r="22">
          <cell r="F22">
            <v>705</v>
          </cell>
        </row>
        <row r="23">
          <cell r="F23">
            <v>33014</v>
          </cell>
        </row>
        <row r="24">
          <cell r="F24">
            <v>238100</v>
          </cell>
        </row>
        <row r="25">
          <cell r="F25">
            <v>188600</v>
          </cell>
        </row>
        <row r="26">
          <cell r="F26">
            <v>77693</v>
          </cell>
        </row>
        <row r="27">
          <cell r="F27">
            <v>611989</v>
          </cell>
        </row>
        <row r="28">
          <cell r="F28">
            <v>77708</v>
          </cell>
        </row>
        <row r="29">
          <cell r="F29">
            <v>72547</v>
          </cell>
        </row>
        <row r="30">
          <cell r="F30">
            <v>26696</v>
          </cell>
        </row>
        <row r="31">
          <cell r="F31">
            <v>53201</v>
          </cell>
        </row>
        <row r="32">
          <cell r="F32">
            <v>8231</v>
          </cell>
        </row>
        <row r="33">
          <cell r="F33">
            <v>1083</v>
          </cell>
        </row>
        <row r="34">
          <cell r="F34">
            <v>25008</v>
          </cell>
        </row>
        <row r="35">
          <cell r="F35">
            <v>32696</v>
          </cell>
        </row>
        <row r="36">
          <cell r="F36">
            <v>52210</v>
          </cell>
        </row>
        <row r="37">
          <cell r="F37">
            <v>35369</v>
          </cell>
        </row>
        <row r="38">
          <cell r="F38">
            <v>196</v>
          </cell>
        </row>
        <row r="39">
          <cell r="F39">
            <v>199164</v>
          </cell>
        </row>
        <row r="40">
          <cell r="F40">
            <v>7105</v>
          </cell>
        </row>
        <row r="41">
          <cell r="F41">
            <v>1995</v>
          </cell>
        </row>
        <row r="42">
          <cell r="F42">
            <v>9130</v>
          </cell>
        </row>
        <row r="43">
          <cell r="F43">
            <v>25200</v>
          </cell>
        </row>
        <row r="44">
          <cell r="F44">
            <v>9609</v>
          </cell>
        </row>
        <row r="45">
          <cell r="F45">
            <v>52919</v>
          </cell>
        </row>
        <row r="46">
          <cell r="F46">
            <v>96</v>
          </cell>
        </row>
        <row r="47">
          <cell r="F47">
            <v>2813</v>
          </cell>
        </row>
        <row r="48">
          <cell r="F48">
            <v>205596</v>
          </cell>
        </row>
        <row r="49">
          <cell r="F49">
            <v>41000</v>
          </cell>
        </row>
        <row r="50">
          <cell r="F50">
            <v>67460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139537</v>
          </cell>
        </row>
        <row r="74">
          <cell r="F74">
            <v>244313</v>
          </cell>
        </row>
        <row r="75">
          <cell r="F75">
            <v>131024</v>
          </cell>
        </row>
        <row r="76">
          <cell r="F76">
            <v>26791</v>
          </cell>
        </row>
        <row r="77">
          <cell r="F77">
            <v>85545</v>
          </cell>
        </row>
        <row r="78">
          <cell r="F78">
            <v>135682</v>
          </cell>
        </row>
        <row r="79">
          <cell r="F79">
            <v>71167</v>
          </cell>
        </row>
        <row r="80">
          <cell r="F80">
            <v>83375</v>
          </cell>
        </row>
        <row r="81">
          <cell r="F81">
            <v>1744</v>
          </cell>
        </row>
        <row r="82">
          <cell r="F82">
            <v>83483</v>
          </cell>
        </row>
        <row r="83">
          <cell r="F83">
            <v>67902</v>
          </cell>
        </row>
        <row r="84">
          <cell r="F84">
            <v>134966</v>
          </cell>
        </row>
        <row r="85">
          <cell r="F85">
            <v>5076</v>
          </cell>
        </row>
        <row r="86">
          <cell r="F86">
            <v>5557</v>
          </cell>
        </row>
        <row r="87">
          <cell r="F87">
            <v>15979</v>
          </cell>
        </row>
        <row r="88">
          <cell r="F88">
            <v>117517</v>
          </cell>
        </row>
        <row r="89">
          <cell r="F89">
            <v>4309</v>
          </cell>
        </row>
        <row r="90">
          <cell r="F90">
            <v>0</v>
          </cell>
        </row>
        <row r="91">
          <cell r="F91">
            <v>212916</v>
          </cell>
        </row>
        <row r="92">
          <cell r="F92">
            <v>102400</v>
          </cell>
        </row>
        <row r="93">
          <cell r="F93">
            <v>76238</v>
          </cell>
        </row>
        <row r="94">
          <cell r="F94">
            <v>20563</v>
          </cell>
        </row>
        <row r="95">
          <cell r="F95">
            <v>66620</v>
          </cell>
        </row>
        <row r="96">
          <cell r="F96">
            <v>28283</v>
          </cell>
        </row>
        <row r="97">
          <cell r="F97">
            <v>27320</v>
          </cell>
        </row>
        <row r="98">
          <cell r="F98">
            <v>6550</v>
          </cell>
        </row>
        <row r="99">
          <cell r="F99">
            <v>2355</v>
          </cell>
        </row>
        <row r="100">
          <cell r="F100">
            <v>1453</v>
          </cell>
        </row>
        <row r="101">
          <cell r="F101">
            <v>0</v>
          </cell>
        </row>
        <row r="102">
          <cell r="F102">
            <v>17375</v>
          </cell>
        </row>
        <row r="103">
          <cell r="F103">
            <v>110914</v>
          </cell>
        </row>
        <row r="104">
          <cell r="F104">
            <v>20580</v>
          </cell>
        </row>
        <row r="105">
          <cell r="F105">
            <v>21697</v>
          </cell>
        </row>
        <row r="106">
          <cell r="F106">
            <v>5133186</v>
          </cell>
        </row>
        <row r="108">
          <cell r="F108">
            <v>342266</v>
          </cell>
        </row>
        <row r="109">
          <cell r="F109">
            <v>46109</v>
          </cell>
        </row>
        <row r="110">
          <cell r="F110">
            <v>91922</v>
          </cell>
        </row>
        <row r="111">
          <cell r="F111">
            <v>6009</v>
          </cell>
        </row>
        <row r="112">
          <cell r="F112">
            <v>33063</v>
          </cell>
        </row>
        <row r="113">
          <cell r="F113">
            <v>1636</v>
          </cell>
        </row>
        <row r="114">
          <cell r="F114">
            <v>409</v>
          </cell>
        </row>
        <row r="115">
          <cell r="F115">
            <v>9585</v>
          </cell>
        </row>
        <row r="116">
          <cell r="F116">
            <v>19644</v>
          </cell>
        </row>
        <row r="117">
          <cell r="F117">
            <v>30476</v>
          </cell>
        </row>
        <row r="118">
          <cell r="F118">
            <v>23929</v>
          </cell>
        </row>
        <row r="119">
          <cell r="F119">
            <v>48</v>
          </cell>
        </row>
        <row r="120">
          <cell r="F120">
            <v>188090</v>
          </cell>
        </row>
        <row r="121">
          <cell r="F121">
            <v>2929</v>
          </cell>
        </row>
        <row r="122">
          <cell r="F122">
            <v>707</v>
          </cell>
        </row>
        <row r="123">
          <cell r="F123">
            <v>2955</v>
          </cell>
        </row>
        <row r="124">
          <cell r="F124">
            <v>20700</v>
          </cell>
        </row>
        <row r="125">
          <cell r="F125">
            <v>0</v>
          </cell>
        </row>
        <row r="126">
          <cell r="F126">
            <v>27829</v>
          </cell>
        </row>
        <row r="127">
          <cell r="F127">
            <v>1246</v>
          </cell>
        </row>
        <row r="128">
          <cell r="F128">
            <v>17569</v>
          </cell>
        </row>
        <row r="129">
          <cell r="F129">
            <v>215003</v>
          </cell>
        </row>
        <row r="130">
          <cell r="F130">
            <v>63500</v>
          </cell>
        </row>
        <row r="131">
          <cell r="F131">
            <v>49471</v>
          </cell>
        </row>
        <row r="132">
          <cell r="F132">
            <v>18820</v>
          </cell>
        </row>
        <row r="133">
          <cell r="F133">
            <v>37294</v>
          </cell>
        </row>
        <row r="134">
          <cell r="F134">
            <v>359802</v>
          </cell>
        </row>
        <row r="135">
          <cell r="F135">
            <v>67403</v>
          </cell>
        </row>
        <row r="136">
          <cell r="F136">
            <v>39855</v>
          </cell>
        </row>
        <row r="137">
          <cell r="F137">
            <v>182289</v>
          </cell>
        </row>
        <row r="138">
          <cell r="F138">
            <v>92115</v>
          </cell>
        </row>
        <row r="139">
          <cell r="F139">
            <v>3575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19175</v>
          </cell>
        </row>
        <row r="151">
          <cell r="F151">
            <v>54895</v>
          </cell>
        </row>
        <row r="152">
          <cell r="F152">
            <v>8047</v>
          </cell>
        </row>
        <row r="153">
          <cell r="F153">
            <v>234934</v>
          </cell>
        </row>
        <row r="154">
          <cell r="F154">
            <v>20729</v>
          </cell>
        </row>
        <row r="155">
          <cell r="F155">
            <v>221</v>
          </cell>
        </row>
        <row r="156">
          <cell r="F156">
            <v>22835</v>
          </cell>
        </row>
        <row r="157">
          <cell r="F157">
            <v>10789</v>
          </cell>
        </row>
        <row r="158">
          <cell r="F158">
            <v>2087</v>
          </cell>
        </row>
        <row r="159">
          <cell r="F159">
            <v>155246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32195</v>
          </cell>
        </row>
        <row r="164">
          <cell r="F164">
            <v>57345</v>
          </cell>
        </row>
        <row r="165">
          <cell r="F165">
            <v>55045</v>
          </cell>
        </row>
        <row r="166">
          <cell r="F166">
            <v>32045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53751</v>
          </cell>
        </row>
        <row r="173">
          <cell r="F173">
            <v>0</v>
          </cell>
        </row>
        <row r="174">
          <cell r="F174">
            <v>504084</v>
          </cell>
        </row>
        <row r="175">
          <cell r="F175">
            <v>18961</v>
          </cell>
        </row>
        <row r="176">
          <cell r="F176">
            <v>0</v>
          </cell>
        </row>
        <row r="177">
          <cell r="F177">
            <v>67609</v>
          </cell>
        </row>
        <row r="178">
          <cell r="F178">
            <v>2880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5941</v>
          </cell>
        </row>
        <row r="184">
          <cell r="F184">
            <v>1235</v>
          </cell>
        </row>
        <row r="185">
          <cell r="F185">
            <v>163701</v>
          </cell>
        </row>
        <row r="186">
          <cell r="F186">
            <v>28296</v>
          </cell>
        </row>
        <row r="187">
          <cell r="F187">
            <v>0</v>
          </cell>
        </row>
        <row r="188">
          <cell r="F188">
            <v>280</v>
          </cell>
        </row>
        <row r="189">
          <cell r="F189">
            <v>200</v>
          </cell>
        </row>
        <row r="190">
          <cell r="F190">
            <v>153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2550</v>
          </cell>
        </row>
        <row r="199">
          <cell r="F199">
            <v>1200</v>
          </cell>
        </row>
        <row r="200">
          <cell r="F200">
            <v>8260</v>
          </cell>
        </row>
        <row r="201">
          <cell r="F201">
            <v>7000</v>
          </cell>
        </row>
        <row r="202">
          <cell r="F202">
            <v>3300</v>
          </cell>
        </row>
        <row r="203">
          <cell r="F203">
            <v>310</v>
          </cell>
        </row>
        <row r="204">
          <cell r="F204">
            <v>4500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-667431</v>
          </cell>
        </row>
        <row r="210">
          <cell r="F210">
            <v>332744</v>
          </cell>
        </row>
        <row r="211">
          <cell r="F211">
            <v>1144830</v>
          </cell>
        </row>
        <row r="212">
          <cell r="F212">
            <v>656995</v>
          </cell>
        </row>
        <row r="213">
          <cell r="F213">
            <v>220913</v>
          </cell>
        </row>
        <row r="214">
          <cell r="F214">
            <v>0</v>
          </cell>
        </row>
        <row r="215">
          <cell r="F215">
            <v>163692</v>
          </cell>
        </row>
        <row r="216">
          <cell r="F216">
            <v>2150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3231</v>
          </cell>
        </row>
        <row r="222">
          <cell r="F222">
            <v>675</v>
          </cell>
        </row>
        <row r="223">
          <cell r="F223">
            <v>675</v>
          </cell>
        </row>
        <row r="224">
          <cell r="F224">
            <v>675</v>
          </cell>
        </row>
        <row r="225">
          <cell r="F225">
            <v>675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21657</v>
          </cell>
        </row>
        <row r="232">
          <cell r="F232">
            <v>46838</v>
          </cell>
        </row>
        <row r="233">
          <cell r="F233">
            <v>46228</v>
          </cell>
        </row>
        <row r="234">
          <cell r="F234">
            <v>0</v>
          </cell>
        </row>
        <row r="235">
          <cell r="F235">
            <v>1966</v>
          </cell>
        </row>
        <row r="236">
          <cell r="F236">
            <v>1966</v>
          </cell>
        </row>
        <row r="237">
          <cell r="F237">
            <v>91032</v>
          </cell>
        </row>
        <row r="238">
          <cell r="F238">
            <v>43716</v>
          </cell>
        </row>
        <row r="239">
          <cell r="F239">
            <v>62147</v>
          </cell>
        </row>
        <row r="240">
          <cell r="F240">
            <v>36552</v>
          </cell>
        </row>
        <row r="241">
          <cell r="F241">
            <v>13825</v>
          </cell>
        </row>
        <row r="242">
          <cell r="F242">
            <v>13825</v>
          </cell>
        </row>
        <row r="243">
          <cell r="F243">
            <v>13825</v>
          </cell>
        </row>
        <row r="244">
          <cell r="F244">
            <v>0</v>
          </cell>
        </row>
        <row r="245">
          <cell r="F245">
            <v>13825</v>
          </cell>
        </row>
        <row r="246">
          <cell r="F246">
            <v>13825</v>
          </cell>
        </row>
        <row r="247">
          <cell r="F247">
            <v>13825</v>
          </cell>
        </row>
        <row r="248">
          <cell r="F248">
            <v>2625</v>
          </cell>
        </row>
        <row r="249">
          <cell r="F249">
            <v>13973</v>
          </cell>
        </row>
        <row r="250">
          <cell r="F250">
            <v>27519</v>
          </cell>
        </row>
        <row r="251">
          <cell r="F251">
            <v>2122</v>
          </cell>
        </row>
        <row r="252">
          <cell r="F252">
            <v>4342</v>
          </cell>
        </row>
        <row r="253">
          <cell r="F253">
            <v>0</v>
          </cell>
        </row>
        <row r="254">
          <cell r="F254">
            <v>5769</v>
          </cell>
        </row>
        <row r="255">
          <cell r="F255">
            <v>13215</v>
          </cell>
        </row>
        <row r="256">
          <cell r="F256">
            <v>0</v>
          </cell>
        </row>
        <row r="257">
          <cell r="F257">
            <v>28987</v>
          </cell>
        </row>
        <row r="258">
          <cell r="F258">
            <v>62909</v>
          </cell>
        </row>
        <row r="259">
          <cell r="F259">
            <v>4239</v>
          </cell>
        </row>
        <row r="260">
          <cell r="F260">
            <v>5028</v>
          </cell>
        </row>
        <row r="261">
          <cell r="F261">
            <v>1793</v>
          </cell>
        </row>
        <row r="262">
          <cell r="F262">
            <v>16013</v>
          </cell>
        </row>
        <row r="263">
          <cell r="F263">
            <v>9409</v>
          </cell>
        </row>
        <row r="264">
          <cell r="F264">
            <v>23586</v>
          </cell>
        </row>
        <row r="265">
          <cell r="F265">
            <v>2222</v>
          </cell>
        </row>
        <row r="266">
          <cell r="F266">
            <v>6327</v>
          </cell>
        </row>
        <row r="267">
          <cell r="F267">
            <v>2534</v>
          </cell>
        </row>
        <row r="268">
          <cell r="F268">
            <v>8638</v>
          </cell>
        </row>
        <row r="269">
          <cell r="F269">
            <v>2140</v>
          </cell>
        </row>
        <row r="270">
          <cell r="F270">
            <v>135111</v>
          </cell>
        </row>
        <row r="271">
          <cell r="F271">
            <v>8395</v>
          </cell>
        </row>
        <row r="272">
          <cell r="F272">
            <v>7953</v>
          </cell>
        </row>
        <row r="273">
          <cell r="F273">
            <v>96086</v>
          </cell>
        </row>
        <row r="274">
          <cell r="F274">
            <v>49850</v>
          </cell>
        </row>
        <row r="275">
          <cell r="F275">
            <v>4301591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12495</v>
          </cell>
        </row>
        <row r="279">
          <cell r="F279">
            <v>26749</v>
          </cell>
        </row>
        <row r="280">
          <cell r="F280">
            <v>19503</v>
          </cell>
        </row>
        <row r="281">
          <cell r="F281">
            <v>38451</v>
          </cell>
        </row>
        <row r="282">
          <cell r="F282">
            <v>55700</v>
          </cell>
        </row>
        <row r="283">
          <cell r="F283">
            <v>717553</v>
          </cell>
        </row>
        <row r="284">
          <cell r="F284">
            <v>92516</v>
          </cell>
        </row>
        <row r="285">
          <cell r="F285">
            <v>14737</v>
          </cell>
        </row>
        <row r="286">
          <cell r="F286">
            <v>12342</v>
          </cell>
        </row>
        <row r="287">
          <cell r="F287">
            <v>4141</v>
          </cell>
        </row>
        <row r="288">
          <cell r="F288">
            <v>3600</v>
          </cell>
        </row>
        <row r="289">
          <cell r="F289">
            <v>1850</v>
          </cell>
        </row>
        <row r="290">
          <cell r="F290">
            <v>11741</v>
          </cell>
        </row>
        <row r="291">
          <cell r="F291">
            <v>4800</v>
          </cell>
        </row>
        <row r="292">
          <cell r="F292">
            <v>1700</v>
          </cell>
        </row>
        <row r="293">
          <cell r="F293">
            <v>3166</v>
          </cell>
        </row>
        <row r="294">
          <cell r="F294">
            <v>5000</v>
          </cell>
        </row>
        <row r="295">
          <cell r="F295">
            <v>541</v>
          </cell>
        </row>
        <row r="296">
          <cell r="F296">
            <v>0</v>
          </cell>
        </row>
        <row r="297">
          <cell r="F297">
            <v>93123</v>
          </cell>
        </row>
        <row r="298">
          <cell r="F298">
            <v>21829</v>
          </cell>
        </row>
        <row r="299">
          <cell r="F299">
            <v>15357</v>
          </cell>
        </row>
        <row r="300">
          <cell r="F300">
            <v>16159</v>
          </cell>
        </row>
        <row r="301">
          <cell r="F301">
            <v>4220</v>
          </cell>
        </row>
        <row r="302">
          <cell r="F302">
            <v>3532</v>
          </cell>
        </row>
        <row r="303">
          <cell r="F303">
            <v>382</v>
          </cell>
        </row>
        <row r="304">
          <cell r="F304">
            <v>5636</v>
          </cell>
        </row>
        <row r="305">
          <cell r="F305">
            <v>5045</v>
          </cell>
        </row>
        <row r="306">
          <cell r="F306">
            <v>6719</v>
          </cell>
        </row>
        <row r="307">
          <cell r="F307">
            <v>7198</v>
          </cell>
        </row>
        <row r="308">
          <cell r="F308">
            <v>2114</v>
          </cell>
        </row>
        <row r="309">
          <cell r="F309">
            <v>1153</v>
          </cell>
        </row>
        <row r="310">
          <cell r="F310">
            <v>87</v>
          </cell>
        </row>
        <row r="311">
          <cell r="F311">
            <v>2389165</v>
          </cell>
        </row>
        <row r="312">
          <cell r="F312">
            <v>620878</v>
          </cell>
        </row>
        <row r="313">
          <cell r="F313">
            <v>584778</v>
          </cell>
        </row>
        <row r="314">
          <cell r="F314">
            <v>559587</v>
          </cell>
        </row>
        <row r="315">
          <cell r="F315">
            <v>1372980</v>
          </cell>
        </row>
        <row r="316">
          <cell r="F316">
            <v>312008</v>
          </cell>
        </row>
        <row r="317">
          <cell r="F317">
            <v>279094</v>
          </cell>
        </row>
        <row r="318">
          <cell r="F318">
            <v>27014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39534</v>
          </cell>
        </row>
        <row r="328">
          <cell r="F328">
            <v>36939</v>
          </cell>
        </row>
        <row r="329">
          <cell r="F329">
            <v>18760</v>
          </cell>
        </row>
        <row r="330">
          <cell r="F330">
            <v>68085</v>
          </cell>
        </row>
        <row r="331">
          <cell r="F331">
            <v>82481</v>
          </cell>
        </row>
        <row r="332">
          <cell r="F332">
            <v>15006</v>
          </cell>
        </row>
        <row r="333">
          <cell r="F333">
            <v>14941</v>
          </cell>
        </row>
        <row r="334">
          <cell r="F334">
            <v>-35</v>
          </cell>
        </row>
        <row r="335">
          <cell r="F335">
            <v>-7</v>
          </cell>
        </row>
        <row r="336">
          <cell r="F336">
            <v>-6</v>
          </cell>
        </row>
        <row r="337">
          <cell r="F337">
            <v>-101</v>
          </cell>
        </row>
        <row r="338">
          <cell r="F338">
            <v>-156</v>
          </cell>
        </row>
        <row r="339">
          <cell r="F339">
            <v>5</v>
          </cell>
        </row>
        <row r="340">
          <cell r="F340">
            <v>-33</v>
          </cell>
        </row>
        <row r="341">
          <cell r="F341">
            <v>0</v>
          </cell>
        </row>
        <row r="342">
          <cell r="F342">
            <v>6179</v>
          </cell>
        </row>
        <row r="343">
          <cell r="F343">
            <v>-346</v>
          </cell>
        </row>
        <row r="344">
          <cell r="F344">
            <v>-251</v>
          </cell>
        </row>
        <row r="345">
          <cell r="F345">
            <v>-39</v>
          </cell>
        </row>
        <row r="346">
          <cell r="F346">
            <v>1682479</v>
          </cell>
        </row>
        <row r="347">
          <cell r="F347">
            <v>801959</v>
          </cell>
        </row>
        <row r="348">
          <cell r="F348">
            <v>146684</v>
          </cell>
        </row>
        <row r="349">
          <cell r="F349">
            <v>138447</v>
          </cell>
        </row>
        <row r="350">
          <cell r="F350">
            <v>27319</v>
          </cell>
        </row>
        <row r="351">
          <cell r="F351">
            <v>57183</v>
          </cell>
        </row>
        <row r="352">
          <cell r="F352">
            <v>6426</v>
          </cell>
        </row>
        <row r="353">
          <cell r="F353">
            <v>78930</v>
          </cell>
        </row>
        <row r="354">
          <cell r="F354">
            <v>34996</v>
          </cell>
        </row>
        <row r="355">
          <cell r="F355">
            <v>21798</v>
          </cell>
        </row>
        <row r="356">
          <cell r="F356">
            <v>20536</v>
          </cell>
        </row>
        <row r="357">
          <cell r="F357">
            <v>34250</v>
          </cell>
        </row>
        <row r="358">
          <cell r="F358">
            <v>12994</v>
          </cell>
        </row>
        <row r="359">
          <cell r="F359">
            <v>141885</v>
          </cell>
        </row>
        <row r="360">
          <cell r="F360">
            <v>40149</v>
          </cell>
        </row>
        <row r="361">
          <cell r="F361">
            <v>5114</v>
          </cell>
        </row>
        <row r="362">
          <cell r="F362">
            <v>24000</v>
          </cell>
        </row>
        <row r="363">
          <cell r="F363">
            <v>17698</v>
          </cell>
        </row>
        <row r="364">
          <cell r="F364">
            <v>74685</v>
          </cell>
        </row>
        <row r="365">
          <cell r="F365">
            <v>21716430</v>
          </cell>
        </row>
        <row r="366">
          <cell r="F366">
            <v>326497</v>
          </cell>
        </row>
        <row r="367">
          <cell r="F367">
            <v>0</v>
          </cell>
        </row>
        <row r="368">
          <cell r="F368">
            <v>6095</v>
          </cell>
        </row>
        <row r="369">
          <cell r="F369">
            <v>0</v>
          </cell>
        </row>
        <row r="370">
          <cell r="F370">
            <v>26849616</v>
          </cell>
        </row>
        <row r="371">
          <cell r="F371">
            <v>114072</v>
          </cell>
        </row>
        <row r="372">
          <cell r="F372">
            <v>30685650</v>
          </cell>
        </row>
        <row r="374">
          <cell r="F374">
            <v>0</v>
          </cell>
        </row>
        <row r="376">
          <cell r="F376">
            <v>0</v>
          </cell>
        </row>
        <row r="377">
          <cell r="F377">
            <v>38076910</v>
          </cell>
        </row>
      </sheetData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. Gastos"/>
      <sheetName val="Muestreo "/>
      <sheetName val="APT Gastos"/>
      <sheetName val="Cálculo MO"/>
      <sheetName val="AnálisisImpuestos"/>
      <sheetName val="MayoGtosAdm (No Borrar)."/>
      <sheetName val="Tickmarks"/>
      <sheetName val="XREF"/>
    </sheetNames>
    <sheetDataSet>
      <sheetData sheetId="0"/>
      <sheetData sheetId="1">
        <row r="70">
          <cell r="E70">
            <v>2367396</v>
          </cell>
          <cell r="J70" t="str">
            <v>!</v>
          </cell>
        </row>
        <row r="74">
          <cell r="J74">
            <v>0</v>
          </cell>
        </row>
        <row r="82">
          <cell r="I82">
            <v>14222</v>
          </cell>
        </row>
        <row r="84">
          <cell r="J8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tas por Pagar Quiport"/>
      <sheetName val="CxP Proveedores"/>
      <sheetName val="Proveedores (Preli)"/>
      <sheetName val="Proveedores (Final)"/>
      <sheetName val="Provisiones"/>
      <sheetName val="Otras Ctas por Pagar "/>
      <sheetName val="Prueba Desembolsos"/>
      <sheetName val="XREF"/>
      <sheetName val="Tickmarks"/>
      <sheetName val="Analisis Integrados"/>
      <sheetName val="Analisis Integrados 2"/>
      <sheetName val="Conciliación"/>
      <sheetName val="Antigüedad Final"/>
      <sheetName val="Analisis Desembolsos Posteriore"/>
      <sheetName val="Cruces Confirmaciones"/>
      <sheetName val="Antiguedad Preliminar"/>
      <sheetName val="Compras"/>
      <sheetName val="Relacionadas"/>
      <sheetName val="Pasivos No Registrados"/>
      <sheetName val="Sheet1"/>
      <sheetName val="Notas "/>
      <sheetName val="Base de Prov.Final"/>
      <sheetName val="Detalle Integ.Final"/>
      <sheetName val="Cheques Emitidos final"/>
      <sheetName val="Fact.x Recibir Final"/>
      <sheetName val="Fact.por Recib.Prov.Preli"/>
      <sheetName val="Confirmaciones"/>
      <sheetName val="Prueba Desembolsos Posteriores"/>
      <sheetName val="Análisis Pagos Post."/>
      <sheetName val="Detalle Integ.Prel."/>
      <sheetName val="Base de Proveedores Preliminar"/>
      <sheetName val="Antiguedad"/>
      <sheetName val="#REF"/>
      <sheetName val="Detalle Integ."/>
      <sheetName val="Facturas por Recibir Proveedor"/>
      <sheetName val="Seleccion Desembolsos "/>
      <sheetName val="BaseConf"/>
      <sheetName val="Cías. Relac. Final"/>
      <sheetName val="Ing. Diferidos"/>
      <sheetName val="Pagos Post. Relacionadas"/>
      <sheetName val="Mov. Provisiones"/>
      <sheetName val="Variación Relac. "/>
      <sheetName val="Variaciones Prov. Ext"/>
      <sheetName val="Pagos post. Prov. Ext."/>
      <sheetName val="Variación Proveed. Loc."/>
      <sheetName val="Pagos Post. Prov. Locales"/>
      <sheetName val="Prov. del Exterior Preliminar"/>
      <sheetName val="Cías. Relacionadas Preliminar"/>
      <sheetName val="Prueba de desembolsos"/>
      <sheetName val="Pas No Reg"/>
      <sheetName val="Busq Pas No Reg"/>
      <sheetName val="CxP Cronix"/>
      <sheetName val="MMA APT Desemsolsos"/>
      <sheetName val="Pruebas de desembolsos"/>
      <sheetName val="Logiciel"/>
      <sheetName val="Pagos posteriores"/>
      <sheetName val="Variaciones Prov. Ext dic 07"/>
      <sheetName val="Variación Proveed. Locales"/>
      <sheetName val="Prov. del Exterior"/>
      <sheetName val="Cías. Relacionadas"/>
      <sheetName val="Prov. Locales"/>
      <sheetName val="Pivot Reemb"/>
      <sheetName val="Reembolsos"/>
      <sheetName val="Otros gastos"/>
      <sheetName val="Reembolsos Preliminar"/>
      <sheetName val="Conclina Preliminar"/>
      <sheetName val="Cías. Relacionadas Final"/>
      <sheetName val="Nota EEFF"/>
      <sheetName val="Prov. Exterior"/>
      <sheetName val="QIA"/>
      <sheetName val="Pagos Posteriores FInal"/>
      <sheetName val="Pago posteriores Prel"/>
      <sheetName val="Provisión"/>
      <sheetName val="Prov Locales Final"/>
      <sheetName val="Prov Ext. Final"/>
      <sheetName val="MMA Bancos"/>
      <sheetName val="Límite"/>
      <sheetName val="Imp. Liq."/>
      <sheetName val="Rev. Fact. No Pag"/>
      <sheetName val="Mov. Prov."/>
      <sheetName val="Mallinckkort"/>
      <sheetName val="Prov Locales"/>
      <sheetName val="Mov. Prov"/>
      <sheetName val="Asientos"/>
      <sheetName val="Listado"/>
      <sheetName val="Prov Exterior Final"/>
      <sheetName val="Bus. Pas No Reg"/>
      <sheetName val="Oblig. Terceros"/>
      <sheetName val="Obligaciones Terceros Final"/>
      <sheetName val="Pasivos no reg. (import)"/>
      <sheetName val="Detalle Imp. Liq enero"/>
      <sheetName val="Imp. transito Liq."/>
      <sheetName val="Rev. Fact."/>
      <sheetName val="MMA pagos post"/>
      <sheetName val="APT pagos"/>
      <sheetName val="APT mov prov"/>
      <sheetName val="Proveed. locales"/>
      <sheetName val="Proveedores exterior"/>
      <sheetName val="Detalle Facturas ADC&amp;HAS"/>
      <sheetName val="Proveedores Locales"/>
      <sheetName val="Proveedores del Exterior"/>
      <sheetName val="Nota a los EEFF"/>
      <sheetName val="Detalle Prov."/>
      <sheetName val="Prov.No.Conf."/>
      <sheetName val="Prueba de Corte"/>
      <sheetName val="Conciliación Módulos Final"/>
      <sheetName val="Bases Proveedores"/>
      <sheetName val="Prov. Seleccionados "/>
      <sheetName val="Base de Pagos Octubre"/>
      <sheetName val="Desembolsos Seleccionados"/>
      <sheetName val="APT Desembolsos Post."/>
      <sheetName val="Detalle Integrados"/>
      <sheetName val="Det.Cheq. Emitidos"/>
      <sheetName val="Conc.Mód. Prel"/>
      <sheetName val="Bases Prov."/>
      <sheetName val="Confirmación"/>
      <sheetName val="Desemb. Post."/>
      <sheetName val="Desemb. Selec"/>
      <sheetName val="Prueba Desemb Post."/>
      <sheetName val="Proveedores"/>
      <sheetName val="Detalle de Proveedores"/>
      <sheetName val="Facturas no pagadas"/>
      <sheetName val="Base Ord. Com - Serv"/>
      <sheetName val="Análisis OCYS"/>
      <sheetName val="EMAAP"/>
      <sheetName val="CORPAQ"/>
      <sheetName val="Prov.Exterior"/>
      <sheetName val="PARSONS OVERSEAS"/>
      <sheetName val="ADC&amp;HAS Manag Ltd."/>
      <sheetName val="ADC Management"/>
      <sheetName val="Pas. No Reg."/>
      <sheetName val="AECON"/>
      <sheetName val="Pago posteriores"/>
      <sheetName val="Fact. Proved. exterior"/>
      <sheetName val="ADC BVI"/>
      <sheetName val="Anticipos QIA Consortium"/>
      <sheetName val="Detalle transferencias"/>
      <sheetName val="Cesión (PPC)"/>
      <sheetName val="Acreedores"/>
      <sheetName val="Relacionados"/>
      <sheetName val="ADC&amp;HAS Management Ltd."/>
      <sheetName val="EMAP"/>
      <sheetName val="CXP No aliadas co."/>
      <sheetName val="CXP No aliados prov.extrj."/>
      <sheetName val="CXP Sin Fact. Mt. D"/>
      <sheetName val="CXP Sin Fact. Mt. Indir."/>
      <sheetName val="CXP Sin Fact. PPUP"/>
      <sheetName val="Provis. CXP Aliadas"/>
      <sheetName val="CXP Afiliadas"/>
      <sheetName val="Prov. Otros"/>
      <sheetName val="Resumen"/>
      <sheetName val="CxP Aliadas Comercial"/>
      <sheetName val="Prov. CxP Aliadas"/>
      <sheetName val="CxP No Aliadas Comer."/>
      <sheetName val="CxP No Aliados Ext."/>
      <sheetName val="Mat.Indi."/>
      <sheetName val="Mat.Dir.Lotal"/>
      <sheetName val="Prov.CxP Aliadas (jul)"/>
      <sheetName val="Otras provisiones"/>
      <sheetName val="CxP Aliadas Comercial (jul)"/>
      <sheetName val="SF Recep. PUP"/>
      <sheetName val="Itochu"/>
      <sheetName val="Resumen Confir."/>
      <sheetName val="No aliadas comercial"/>
      <sheetName val="Ent. Financ"/>
      <sheetName val="No aliados prove ext"/>
      <sheetName val="Sin Fact. Mat. Direct local"/>
      <sheetName val="Recep Sin fact Mant Indirec"/>
      <sheetName val="Recp sin Fact Direct Ext"/>
      <sheetName val="Recepcion sin Fact PPUP"/>
      <sheetName val="Prov Repues GM Brasil"/>
      <sheetName val="Prov Repues GM Isuzu"/>
      <sheetName val="Prov. Rep. GM Volvo"/>
      <sheetName val="Prov. Repuest otros"/>
      <sheetName val="Prov. Repuestos Otras Moneda"/>
      <sheetName val="Aliadas ComercialDic"/>
      <sheetName val="Aliadas - Comercial prem"/>
      <sheetName val="Honorarios prem"/>
      <sheetName val="Servicios públicos prem"/>
      <sheetName val="Otros Final"/>
      <sheetName val="Comentario"/>
      <sheetName val="Préstamos xPagar CP aliadas"/>
      <sheetName val="Otros prem"/>
      <sheetName val="Aliadas - Comercial"/>
      <sheetName val="Honorarios"/>
      <sheetName val="Servicios públicos"/>
      <sheetName val="Otros"/>
      <sheetName val="CXP Empleados"/>
      <sheetName val="Descuentos y retenciones"/>
      <sheetName val="Detalle proveedores"/>
      <sheetName val="Varios por pagar"/>
      <sheetName val="Detalle ctas x pagar Holding"/>
      <sheetName val="Intereses"/>
      <sheetName val="Varias Ctas x Pagar"/>
      <sheetName val="Honorarios x Pagar"/>
      <sheetName val="Detalle CxP"/>
      <sheetName val="ParsonsEcuador"/>
      <sheetName val="Otros Prov. Locales"/>
      <sheetName val="ADC &amp; HAS Management"/>
      <sheetName val="AECON Con."/>
      <sheetName val="CCC"/>
      <sheetName val="Bienes y Servicios"/>
      <sheetName val="Proveedores Varios"/>
      <sheetName val="CMA Calculations"/>
      <sheetName val="CMA Selections"/>
      <sheetName val="Cuentas por pagar"/>
      <sheetName val="Pasivos No Registrados Final"/>
      <sheetName val="CMA Calculations Compras"/>
      <sheetName val="CMA Selections Corte compras"/>
      <sheetName val="Corte tardío de compras"/>
      <sheetName val="Conciliación Prov. Ext."/>
      <sheetName val="MMA Preliminar"/>
      <sheetName val="Pgs Post"/>
      <sheetName val="Detalle Proveedores Final "/>
      <sheetName val="Detalle Proveedores Preliminar"/>
      <sheetName val="Préstamos exte"/>
      <sheetName val="Pagos Poster"/>
      <sheetName val="Pasivos no reg."/>
      <sheetName val="Análisis de Ptmos. "/>
      <sheetName val="Análisis de Ptmos. (final)"/>
      <sheetName val="Análisis de Ptmos. (prel)"/>
      <sheetName val="Int. Prés. Imp. (prel)"/>
      <sheetName val="Calc. Límites"/>
      <sheetName val="Análisis de Ptmos."/>
      <sheetName val="Int. Prés. Imp."/>
      <sheetName val="Detalle de Confirmaciones"/>
      <sheetName val="MMA Mayor Proveedors "/>
      <sheetName val="Confirmaciones enviadas"/>
      <sheetName val="Pasivos no Registrados."/>
      <sheetName val="Prueba Corte CxP"/>
      <sheetName val="Selección Prueba de Corte"/>
      <sheetName val="Base Facturas por Pagar"/>
      <sheetName val="Base "/>
      <sheetName val="Detalle de Pagos"/>
      <sheetName val="Pag.Poster."/>
      <sheetName val="Desembolsos"/>
      <sheetName val="Deta.otro.acreed."/>
      <sheetName val="Proveedores Local"/>
      <sheetName val="Prueba dese.final"/>
      <sheetName val="Prueba desem"/>
      <sheetName val="Pendiente pago"/>
      <sheetName val="Detalles por cuenta"/>
      <sheetName val="Movimiento"/>
      <sheetName val="promesas"/>
      <sheetName val="Anticipos Cliente"/>
      <sheetName val="MMA"/>
      <sheetName val="Intereses por Pagar"/>
      <sheetName val="Abonos"/>
      <sheetName val="MMA PNR"/>
      <sheetName val="CuenPagar.Alicu"/>
      <sheetName val="Regist.Prom.Compra"/>
      <sheetName val="Base de Datos proveedores"/>
      <sheetName val="Analisis de Fac.no registradas"/>
      <sheetName val="Base Proveedores"/>
      <sheetName val="Proveedores confirmados"/>
      <sheetName val="Muestra desembolsos ACL"/>
      <sheetName val="notas"/>
      <sheetName val="Detalle de Clientes"/>
      <sheetName val="CMA_Calculations"/>
      <sheetName val="CMA_Selections"/>
      <sheetName val="Detalle Acreedores Varios"/>
      <sheetName val="Préstamos"/>
      <sheetName val="Análisis Préstamo"/>
      <sheetName val="Requerimiento de Información"/>
      <sheetName val="Base de Proveedores "/>
      <sheetName val="Nota 10"/>
      <sheetName val="Lista de Ingresos a Bodega"/>
      <sheetName val="Búsqueda de Pasivos No Regist."/>
      <sheetName val="Anticipo de Prov. Final"/>
      <sheetName val="Análisis Proveedores Diciembre"/>
      <sheetName val="Varias Ctas. por Pagar Ajustado"/>
      <sheetName val="Ctas. por Pagar Holding Final"/>
      <sheetName val="Precobrados"/>
      <sheetName val="Anticipos por Verificar"/>
      <sheetName val="Préstamos Final"/>
      <sheetName val="Anticipos Proveedores Anterior"/>
      <sheetName val="Varias Ctas por Pagar sin Ajust"/>
      <sheetName val="Cuentas por Pagar Empleados"/>
      <sheetName val="Análisis Proveedores"/>
      <sheetName val="Cuentas por Pagar Holding"/>
      <sheetName val="Varias Cuentas por Pagar"/>
      <sheetName val="Honorarios por Pagar"/>
      <sheetName val="Análisis"/>
      <sheetName val="Hoja 1"/>
      <sheetName val="Resultado de proyectos"/>
      <sheetName val="Módulo"/>
      <sheetName val="Otras CxP"/>
      <sheetName val="Desembolsos 2"/>
      <sheetName val="Seleccion desembolsos 2"/>
      <sheetName val="Proveedores por Pagar Mar"/>
      <sheetName val="CxP Provisionadas Mar"/>
      <sheetName val="Proveedores por Pagar Feb"/>
      <sheetName val="CxP Provisionadas"/>
      <sheetName val="Otras CxP - Final"/>
      <sheetName val="Modulo - Final"/>
      <sheetName val="Servicios"/>
      <sheetName val="Módulo - Preliminar"/>
      <sheetName val="Confirmación Indima"/>
      <sheetName val="Proveed exterior"/>
      <sheetName val="Proveedores final"/>
      <sheetName val="Proveed locales"/>
      <sheetName val="TR"/>
      <sheetName val="BS"/>
      <sheetName val="RP"/>
      <sheetName val="VB"/>
      <sheetName val="DF"/>
      <sheetName val="DP"/>
      <sheetName val="PruebaDesembolsos"/>
      <sheetName val="AnlDetalProveedores"/>
      <sheetName val="AnlAnticipos"/>
      <sheetName val="Cuentas por Pagar Final"/>
      <sheetName val="Cridesa"/>
      <sheetName val="Saldos por Proveedor"/>
      <sheetName val="Proveedores Serv"/>
      <sheetName val="Acreed Servi"/>
      <sheetName val="Acreed Varios"/>
      <sheetName val="Varios"/>
      <sheetName val="Análisis Pasivos no registrados"/>
      <sheetName val="Prov Bienes y Servicios"/>
      <sheetName val="Proveedores Serv Final"/>
      <sheetName val="Acreed Servi Final"/>
      <sheetName val="Madereros"/>
      <sheetName val="NOTA"/>
      <sheetName val="Prov Serv Final"/>
      <sheetName val="Acreed Var Final"/>
      <sheetName val="Varios Final"/>
      <sheetName val="Pagos Post"/>
      <sheetName val="Detalle Prov. Final"/>
      <sheetName val="Detalle Prov. Prel"/>
      <sheetName val="Det. total por Prov."/>
      <sheetName val="Prueba Desemb."/>
      <sheetName val="Fact. No Pag."/>
      <sheetName val="Listado CxP"/>
      <sheetName val="Detalle Proveedores Locales Pre"/>
      <sheetName val="Detalle Proveedores Exterior Pr"/>
      <sheetName val="Notas a los EEFF"/>
      <sheetName val="APT Pasivos no Registrados"/>
      <sheetName val="Detalle de Cuentas por Pagar"/>
      <sheetName val="Acreed. Varios"/>
      <sheetName val="Listado cuentas por pagar"/>
      <sheetName val="Detalle total por Proveedor"/>
      <sheetName val="Base de Cartera 31-Dic"/>
      <sheetName val="Base de Cartera 31-Oct."/>
      <sheetName val="Proveedores Prel."/>
      <sheetName val="Selección PNR"/>
      <sheetName val="Razón Financiera"/>
      <sheetName val="Regalías"/>
      <sheetName val="Contratos regalías"/>
      <sheetName val="Otras  C x P"/>
      <sheetName val="Prov. Locales por factura"/>
      <sheetName val="Prov. Exterior Final"/>
      <sheetName val="Prov. Locales "/>
      <sheetName val="Desembolsos Efectivo"/>
      <sheetName val="Tabla de Amortización"/>
      <sheetName val="Reg. Ctas"/>
      <sheetName val="Desembolsos Posteriores"/>
      <sheetName val="Base de Filiales"/>
      <sheetName val="CxP-VpD"/>
      <sheetName val="Base Proveedores Final"/>
      <sheetName val="Conciliación Prov"/>
      <sheetName val="Desembolsos Posteriores Final"/>
      <sheetName val="Base Proveedores Prel"/>
      <sheetName val="Relacionadas Prelim"/>
      <sheetName val="Relacionadas Final"/>
      <sheetName val="Ch. Prescritos Prelim"/>
      <sheetName val="Ch. Presc Final"/>
      <sheetName val="Mat. prima varios acre."/>
      <sheetName val="Transferencias P&amp;G"/>
      <sheetName val="Sheet2"/>
      <sheetName val="Sheet3"/>
      <sheetName val="Sheet4"/>
      <sheetName val="Ch. Presscritos"/>
      <sheetName val="Selección DP"/>
      <sheetName val="Análsis Depósitos Previos"/>
      <sheetName val="Selección DF"/>
      <sheetName val="Análsis Depósitos Flotantes"/>
      <sheetName val="Intercompany Comercial"/>
      <sheetName val="Dep Flot"/>
      <sheetName val="Dep Prev"/>
      <sheetName val="Dep Apl Fin"/>
      <sheetName val="Dep x Aplicar Prel"/>
      <sheetName val="Lindblad"/>
      <sheetName val="Turismo Receptivo"/>
      <sheetName val="Víveres y Bebidas"/>
      <sheetName val="Repuestos"/>
      <sheetName val="Depósitos previos - ppc"/>
      <sheetName val="Depósitos flotantes - ppc"/>
      <sheetName val="MMA depósitos previos"/>
      <sheetName val="Análisis de depósitos previos"/>
      <sheetName val="MMA depósitos flotantes"/>
      <sheetName val="Análisis de Depósitos Flotantes"/>
      <sheetName val="Pagos de Facturas pendientes"/>
      <sheetName val="MMA 1"/>
      <sheetName val="MMA 2"/>
      <sheetName val="MMA 3"/>
      <sheetName val="Prov. Nacionales"/>
      <sheetName val="Prov. Extranjeros"/>
      <sheetName val="Fact. x Recibir"/>
      <sheetName val="Prueba de desembolsos posterior"/>
      <sheetName val="Detalle 2010"/>
      <sheetName val="Anticipos por liquidar"/>
      <sheetName val="Devueltos Retencion"/>
      <sheetName val="Pasivos No Registrados DP"/>
      <sheetName val="Pasivos No Registrados DF"/>
      <sheetName val="Pruebas Sustantivas"/>
      <sheetName val="Listado Proveedores Preli"/>
      <sheetName val="Confirmación Prel"/>
      <sheetName val="Proveedores por Pagar Fin"/>
      <sheetName val="Proveedores por Pagar Prel"/>
      <sheetName val="Detalles"/>
      <sheetName val="Anticipo Conclina"/>
      <sheetName val="Otras Cuentas por Pagar "/>
      <sheetName val="Base de Datos proveedores final"/>
      <sheetName val="Base de Datos proveedores prel"/>
      <sheetName val="Rollfwd"/>
      <sheetName val="Cías Relacionadas"/>
      <sheetName val="Detalle de Garantías"/>
      <sheetName val="Ctas x Pagar"/>
      <sheetName val="Intercompany"/>
      <sheetName val="Pagos Ene"/>
      <sheetName val="Cuentas x pagar"/>
      <sheetName val="Cuentas xpagar04"/>
      <sheetName val="Dep.Fdos.Terce"/>
      <sheetName val="Dep.Fdos.04"/>
      <sheetName val="Convenios"/>
      <sheetName val="Jub.Patron."/>
      <sheetName val="Anál.Pas.No.Reg."/>
      <sheetName val="MMA Mayores 06"/>
      <sheetName val="Barbados"/>
      <sheetName val="APT"/>
      <sheetName val="Detalle (Final)"/>
      <sheetName val="Pagos"/>
      <sheetName val="Acreedores Fin"/>
      <sheetName val="Acreedores Prel"/>
      <sheetName val="Préstamos Toyota"/>
      <sheetName val="MMA Pas No Reg"/>
      <sheetName val="A. Pagos Post."/>
      <sheetName val="Copagos"/>
      <sheetName val="CxP Conclina"/>
      <sheetName val="Crédito Conclina"/>
      <sheetName val="Facturas por Devengar"/>
      <sheetName val="Pasivos no Reg"/>
      <sheetName val="Cuentas por pagar Intercompany"/>
      <sheetName val="Selección Desembolsos"/>
      <sheetName val="Muestra Desembolsos"/>
      <sheetName val="Selección Final"/>
      <sheetName val="Muestra Final"/>
      <sheetName val="Desembolsos Final"/>
      <sheetName val="Facturas pagadas"/>
      <sheetName val="Debitos Miscelaneos"/>
      <sheetName val="Intercompanies 2006"/>
      <sheetName val="Prueba de Desembolsos Prel"/>
      <sheetName val="Cta 764"/>
      <sheetName val="Cta 765"/>
      <sheetName val="Cta 787"/>
      <sheetName val="Importation Costs"/>
      <sheetName val="Cash Transfers"/>
      <sheetName val="Antiguedad CxP"/>
      <sheetName val="PNR"/>
      <sheetName val="Antiguedad CxP Final"/>
      <sheetName val="Otros Proveedores x Pagar"/>
      <sheetName val="Oblig. por pagar"/>
      <sheetName val="Prov. Suministros"/>
      <sheetName val="Detalle prov. varios "/>
      <sheetName val="Detalle acreed. Varios "/>
      <sheetName val="Detalle prov. varios final"/>
      <sheetName val="Detalle prov. varios"/>
      <sheetName val="Detalle acreed. varios final"/>
      <sheetName val="Detalle acreed. varios"/>
      <sheetName val="Detalle Suministros final"/>
      <sheetName val="Detalle Suministros"/>
      <sheetName val="Detalle nacionales final"/>
      <sheetName val="Detalle nacionales"/>
      <sheetName val="Transportistas"/>
      <sheetName val="Suministros"/>
      <sheetName val="Nacionales"/>
      <sheetName val="Exterior"/>
      <sheetName val="Supermaxi"/>
      <sheetName val="Ctas. X Pagar proveedores"/>
      <sheetName val="Selección"/>
      <sheetName val="Selección pasivo no registrado"/>
      <sheetName val="DetalleCuentasxPagar"/>
      <sheetName val="Confirmacion Supermaxi"/>
      <sheetName val="MMA Pas. No Reg. "/>
      <sheetName val="Prueba de Desemb"/>
      <sheetName val="Desembolsos posteriores provee"/>
      <sheetName val="Prueba Desembolsos Final"/>
      <sheetName val="Comerciales"/>
      <sheetName val="Depósitos previso - ppc"/>
      <sheetName val="Mov. Impto.Rta."/>
      <sheetName val="Detalle Vendors Nacionales "/>
      <sheetName val="Otras"/>
      <sheetName val="Prov. Mod."/>
      <sheetName val="Prov exterior"/>
      <sheetName val="prov nacio final"/>
      <sheetName val="Gtos. Personal"/>
      <sheetName val="Financiamien"/>
      <sheetName val="Reten garantías"/>
      <sheetName val="Bien y Serv. Consumo"/>
      <sheetName val="Concil. con Cías. Relacs."/>
      <sheetName val="211301219 Fademsa"/>
      <sheetName val="CxP"/>
      <sheetName val="CxP Prov Varios Prel"/>
      <sheetName val="CxP Prov Varios Final"/>
      <sheetName val="CxP Proveedores Prel"/>
      <sheetName val="Pagos Posteriores Prel"/>
      <sheetName val="CxP Proveedores Final"/>
      <sheetName val="CxP Canjes Prel"/>
      <sheetName val="CxP Canjes Final"/>
      <sheetName val="Supersavers Q"/>
      <sheetName val="Supersavers G"/>
      <sheetName val="prov varios"/>
      <sheetName val="prov. varios"/>
      <sheetName val="Conc Petro (ppc) sept"/>
      <sheetName val="Conc Petro (ppc) nov"/>
      <sheetName val="Inf. Ord. 03"/>
      <sheetName val="Ing. Mat 03"/>
      <sheetName val="Prov. EW"/>
      <sheetName val="Hoja1"/>
      <sheetName val="MMA Clientes"/>
      <sheetName val="Receptivo"/>
      <sheetName val="cxp bienes y servicios"/>
      <sheetName val="cxp viveres"/>
      <sheetName val="cxp repuestos"/>
      <sheetName val="cxp turismo receptivo"/>
      <sheetName val="Varias X Pagar"/>
      <sheetName val="CXP HD"/>
      <sheetName val="Prestamos"/>
      <sheetName val="Anticipos clientes"/>
      <sheetName val="MMA Mayor Bcos"/>
      <sheetName val="Ctas x P Empleados"/>
      <sheetName val="Lista Ingresos Bodega"/>
      <sheetName val="Busqueda de Pasivos No Registra"/>
      <sheetName val="Análisis Prov Dic"/>
      <sheetName val="Varias Ctas por Pagar Dic"/>
      <sheetName val="Cuentas x pagar Holding"/>
      <sheetName val="CXP Holding Final"/>
      <sheetName val="Anticipo Provee"/>
      <sheetName val="Analisis proveedores"/>
      <sheetName val="Anticipos Proveedores"/>
      <sheetName val="MMA Compras"/>
      <sheetName val="MMA Pasivos no Registrados"/>
      <sheetName val="Otras Cuentas por Pagar"/>
      <sheetName val="Facturas por recibir Locales"/>
      <sheetName val="Facturas Por Recibir Exterior"/>
      <sheetName val="MMA (Busqueda de Pasivos)"/>
      <sheetName val="Búsqueda de Pasivos No Regis"/>
      <sheetName val="MMA Mayor Bcos (2)"/>
      <sheetName val="Locales"/>
      <sheetName val="Fact. Recib. Prov. Ext"/>
      <sheetName val="Conf. a Prov."/>
      <sheetName val="Interco"/>
      <sheetName val="Detalle Proveed.Nac"/>
      <sheetName val="Confiramciones"/>
      <sheetName val="Proveedores del exterior Dec"/>
      <sheetName val="Pagos Posteriores (f)"/>
      <sheetName val="Pagos posteriores Ext."/>
      <sheetName val="Pagos Posteriores (p)"/>
      <sheetName val="Detalle Proveed. Extr.Sep"/>
      <sheetName val="Base Pagos 2007"/>
      <sheetName val="Detalle Prov. Adm Preliminar"/>
      <sheetName val="Detalle Prov. Comercial Preli"/>
      <sheetName val="Detalle Repuestos"/>
      <sheetName val="Detalle de Unidades"/>
      <sheetName val="Intercomp."/>
      <sheetName val="APT Gastos"/>
      <sheetName val="Otros Proveedores"/>
      <sheetName val="Selección Prueb. Desembolsos"/>
      <sheetName val="Muestra Prueb. Desembolsos"/>
      <sheetName val="Pasivos No registrados 2008"/>
      <sheetName val="Proveedores Locales  Ajustado"/>
      <sheetName val="Proveedores Locales Dic"/>
      <sheetName val="Conciliación "/>
      <sheetName val="Obligaciones con Proveedores "/>
      <sheetName val="Provee. Nac."/>
      <sheetName val="Provee. Ext"/>
      <sheetName val="Pasivos. no reg."/>
      <sheetName val="CXP Final"/>
      <sheetName val="Pagos Post."/>
      <sheetName val="CxP Prelim."/>
      <sheetName val="Cartera"/>
      <sheetName val="CxP Relacionadas"/>
      <sheetName val="Inmuebles La Ronda"/>
      <sheetName val="S.I QuitoVivienda"/>
      <sheetName val="Sierra Mirador"/>
      <sheetName val="EMAPP - La Bota"/>
      <sheetName val="Proveed. Nacionales"/>
      <sheetName val="Proveed. Exterior"/>
      <sheetName val="Detalle de Fact HP Local"/>
      <sheetName val="Detalle Fact HP Exterior"/>
      <sheetName val="Fondo acumulado"/>
      <sheetName val="Grupos liquidad"/>
      <sheetName val="veh x adj final"/>
      <sheetName val="veh x adj prel"/>
      <sheetName val="ADJ RUMEN OCT 2003"/>
      <sheetName val="Prov nacion"/>
      <sheetName val="prov Relacionadas"/>
      <sheetName val="Mov. Benef. Sociales"/>
      <sheetName val="2110101"/>
      <sheetName val="Tickmarks "/>
      <sheetName val="Pas. no reg. imp. (F)"/>
      <sheetName val="Imp. Sep."/>
      <sheetName val="Pas. no reg. imp."/>
      <sheetName val="Pas. no reg. imp. (2)"/>
      <sheetName val="Resumen confirmaciones"/>
      <sheetName val="Mayor bco."/>
      <sheetName val="MMA Mayor"/>
      <sheetName val="Pagos posterior"/>
      <sheetName val="Detalle Final"/>
      <sheetName val="Detalle-pp"/>
      <sheetName val="Anexo 11"/>
      <sheetName val="Det. CxP"/>
      <sheetName val="Mov. Benef. Soc."/>
      <sheetName val="Cálculo Benef. Sociales"/>
      <sheetName val="Cal.Ben-soc"/>
      <sheetName val="Aportes IESS"/>
      <sheetName val="Marcas Estándar"/>
      <sheetName val="Análisis Cta. Varios por liqui "/>
      <sheetName val="Cta Pagar Muller"/>
      <sheetName val="Pagos Posteriores (Rev.Abril)"/>
      <sheetName val="Tickmark"/>
      <sheetName val="Detalle Proveed. "/>
      <sheetName val="Busq. Pas.Impor"/>
      <sheetName val="Busqueda Pasivos Compras"/>
      <sheetName val="Pasivosnoregis"/>
      <sheetName val="Gtos. Provisionados "/>
      <sheetName val="Módulo CxP"/>
      <sheetName val="Rehabilitación viviendas"/>
      <sheetName val="CxP y CxC Municipio"/>
      <sheetName val="Prov. fruto"/>
      <sheetName val="Detalle "/>
      <sheetName val="Ctas x Pag"/>
      <sheetName val="Prov Selec"/>
      <sheetName val="Prov Mat Pr"/>
      <sheetName val="Ant Cl"/>
      <sheetName val="Analisis Pasivo No Reg"/>
      <sheetName val="Seleccionados"/>
      <sheetName val="Clientes DTT"/>
      <sheetName val="Conciliacion"/>
      <sheetName val="Desembolsos Post. Final"/>
      <sheetName val="Desembolsos Post. "/>
      <sheetName val="Recálculo"/>
      <sheetName val="Procedimientos"/>
      <sheetName val="Cuentas por Pagar Prelim"/>
      <sheetName val="Recálculo de Inter."/>
      <sheetName val="Prov. Inventarios"/>
      <sheetName val="Prov. Servicios"/>
      <sheetName val="Conclina"/>
      <sheetName val="Siniestralidad"/>
      <sheetName val="Análisis de PAs no Reg"/>
      <sheetName val="a"/>
      <sheetName val="b"/>
      <sheetName val="c"/>
      <sheetName val="Movimiento IESS"/>
      <sheetName val="Movimiento benef. sociales"/>
      <sheetName val="Notas Cobranza"/>
      <sheetName val="Ecuatoriano Suiza"/>
      <sheetName val="IVA Servicios"/>
      <sheetName val="Crédito Conclina Final"/>
      <sheetName val="Petrocomercial Diciembre"/>
      <sheetName val="Petrocomercial Sep"/>
      <sheetName val="Petrocomercial Junio"/>
      <sheetName val="Petrocomercial Marzo"/>
      <sheetName val="Pagos Posteriores."/>
      <sheetName val="Prov. Nac."/>
      <sheetName val="Conciliación Relc."/>
      <sheetName val="Subcontratistas"/>
      <sheetName val="Sub x aplicar"/>
      <sheetName val="Anticipos"/>
      <sheetName val="CxP - particulares"/>
      <sheetName val="Estados Cuenta"/>
      <sheetName val="Tickmarks (2)"/>
      <sheetName val="Proveedores RM"/>
      <sheetName val="Transporte de Materia Prima "/>
      <sheetName val="Varias CtasxP"/>
      <sheetName val="Varias CxP (T)"/>
      <sheetName val="PROVEEDORES."/>
      <sheetName val="Análisis C x P"/>
      <sheetName val="Detalle de proveedores Final"/>
      <sheetName val="Pasiv. no reg. Prov. exterior"/>
      <sheetName val="Prov. Final (PPC)"/>
      <sheetName val="Prov. Prelim. (PPC)"/>
      <sheetName val="Est.Cta Invede"/>
      <sheetName val="Confirmación Nestle"/>
      <sheetName val="Confirmación Pronaca"/>
      <sheetName val="Movimiento DLA"/>
      <sheetName val="Análisis Facturación DLA"/>
      <sheetName val="Conciliación Confirmaciones"/>
      <sheetName val="Doc. x Pagar"/>
      <sheetName val="Interés x Pagar"/>
      <sheetName val="Obligaciones vencidas"/>
      <sheetName val="Relacionadas Neteado"/>
      <sheetName val="Trans. Bancos"/>
      <sheetName val="Transitoria"/>
      <sheetName val="Proveedores Nacionales"/>
      <sheetName val="Papel Comercial C1"/>
      <sheetName val="RELA"/>
      <sheetName val="Papel Comercial"/>
      <sheetName val="CxP Relac."/>
      <sheetName val="Provee. Final"/>
      <sheetName val="Cia.Rela. Final"/>
      <sheetName val="Desembolsos (2)"/>
      <sheetName val="Anticipo Clientes"/>
      <sheetName val="Prov"/>
      <sheetName val="EstCtaSep07"/>
      <sheetName val="EstCtaDec06"/>
      <sheetName val="CxP Varios"/>
      <sheetName val="Conciliación con relacionadas"/>
      <sheetName val="Cias. Relacioinadas Dic-08"/>
      <sheetName val="Cías. Relacionadas Sep-08"/>
      <sheetName val="Proveedores Preliminar"/>
      <sheetName val="Interés por Pagar Final"/>
      <sheetName val="Interés x Pagar Preliminar"/>
      <sheetName val="Relacionadas Neteado Preliminar"/>
      <sheetName val="Trans. Bancos Final"/>
      <sheetName val="Trans. Bancos Preliminar"/>
      <sheetName val="Confirmaciones Intercompany"/>
      <sheetName val="Detalle Total"/>
      <sheetName val="NOTA EF"/>
      <sheetName val="Proveedores Extranjeros"/>
      <sheetName val="Provee. Nacionales Dic"/>
      <sheetName val="Estado Cta ALCA"/>
      <sheetName val="Estado Cta DEA"/>
      <sheetName val="Estado Cta Medicaciones"/>
      <sheetName val="Proveedores Nacionales Jul"/>
      <sheetName val="Pasivos no registrados Importac"/>
      <sheetName val="Est Cta"/>
      <sheetName val="Prove"/>
      <sheetName val="EstCtaDec07"/>
      <sheetName val="Prov Confirmados"/>
      <sheetName val="Reemb x pagar"/>
      <sheetName val="Pasivos no registrado"/>
      <sheetName val="Liquidados Ene 09"/>
      <sheetName val="ACL"/>
      <sheetName val="Análisis Pasivos no registrado"/>
      <sheetName val="Reembolsos por pagar"/>
      <sheetName val="Provedores Abierto "/>
      <sheetName val="Detalle confirmaciones"/>
      <sheetName val="Petrocomercial Dic"/>
      <sheetName val="Petrocomercial"/>
      <sheetName val="Concil. Relacionadas"/>
      <sheetName val="Confirm"/>
      <sheetName val="Local"/>
      <sheetName val="Confirmación WRT"/>
      <sheetName val="Ordenes de compra"/>
      <sheetName val="MMA Final"/>
      <sheetName val="Reeembolsos"/>
      <sheetName val="Proveedores Nacionaless"/>
      <sheetName val="Pasivos no registrados_imp"/>
      <sheetName val="Prueb.Desembol"/>
      <sheetName val="Análisis de facturas no pagadas"/>
      <sheetName val="Dealers"/>
      <sheetName val="Desembolsos posteriors"/>
      <sheetName val="Provisiones Varias"/>
      <sheetName val="Desembolsos Posteriores Preelim"/>
      <sheetName val="Selección Desembolsos Post."/>
      <sheetName val="Selección facturas no pagadas"/>
      <sheetName val="Otras Cuentas x Pagar"/>
      <sheetName val="Provee.Nacionales"/>
      <sheetName val="Fondo Acumulado Final"/>
      <sheetName val="Cooncesionarios Final"/>
      <sheetName val="Vehículos por Adjudicar Final"/>
      <sheetName val="Cooncesionarios"/>
      <sheetName val="Vehículos por Adjudicar"/>
      <sheetName val="Procedimientos CxP"/>
      <sheetName val="Resumen de confirmaciones"/>
      <sheetName val="Inventario en Tránsito"/>
      <sheetName val="importaciones liquidadas en dic"/>
      <sheetName val="Análsis de Desembolsos"/>
      <sheetName val="Conciliación Final"/>
      <sheetName val="Detall. Ctas.x Pagar"/>
      <sheetName val="Concil.Ctas.x pagar CB"/>
      <sheetName val="CxPag"/>
      <sheetName val="An. Pagos Pos"/>
      <sheetName val="Selección ACL PNR"/>
      <sheetName val="Selección ACL Fact."/>
      <sheetName val="CxPag Final"/>
      <sheetName val="CxPag Módulo"/>
      <sheetName val="Sel. Des Final"/>
      <sheetName val="Des. Final"/>
      <sheetName val="Pagos Pos"/>
      <sheetName val="Sel. Desem"/>
      <sheetName val="An. Desembolsos"/>
      <sheetName val="Proveedore Final"/>
      <sheetName val="Proveedores B&amp;S"/>
      <sheetName val="Desembolsos Posteriore"/>
      <sheetName val="Conc.Ctas x pagar Final"/>
      <sheetName val="Deatelle Ctas.x Pagar Final"/>
      <sheetName val="Conciliación ctas.x pagar Prel."/>
      <sheetName val="Detalle ctas.x pagar Prel."/>
      <sheetName val="Analsis Prueba de Desembolsos"/>
      <sheetName val="Detalle Prov.Emp.RRHH"/>
      <sheetName val="Otros Prov.Personal"/>
      <sheetName val="Nota de los EEFF"/>
      <sheetName val="Prov. Nac. Ago"/>
      <sheetName val="Prov. Ext. Ago"/>
      <sheetName val="Test de confirmaciones"/>
      <sheetName val="Provee.Extranjer"/>
      <sheetName val="Proveed.Otros"/>
      <sheetName val="Proveed.Transprt."/>
      <sheetName val="Proveed.Intercompañías"/>
      <sheetName val="Selecc.Pasiv.no Registr."/>
      <sheetName val="Proveedores_Intercompañías"/>
      <sheetName val="Prueba de Corte (2)"/>
      <sheetName val="CxP Contratistas"/>
      <sheetName val="Operadoras"/>
      <sheetName val="OCP"/>
      <sheetName val="CxP Personal "/>
      <sheetName val="Retenciones IVA"/>
      <sheetName val="Retenciones IR"/>
      <sheetName val="Procedimiento"/>
      <sheetName val="Observaciones"/>
      <sheetName val="Detalle Prov. Nac. Dic."/>
      <sheetName val="Revisión Análitica Dic."/>
      <sheetName val="Detalle Prov Nac. Nov."/>
      <sheetName val="Detalle Prov. Exterior Nov"/>
      <sheetName val="Det. Prov. Nac. Dic."/>
      <sheetName val="Rev.Analitica Locales"/>
      <sheetName val="Deta. Provee Nac. Nov"/>
      <sheetName val="Det.Prov.Rel. Dic."/>
      <sheetName val="Rev.Analitica Relac."/>
      <sheetName val="Det. Prove. Relac. Nov"/>
      <sheetName val="Det.cta.prov.varios Dic"/>
      <sheetName val="Det. Cta. prov.varios Nov."/>
      <sheetName val="Prov. Nac. Dic"/>
      <sheetName val="Prov. Ext. Dic"/>
      <sheetName val="Conciliación de Saldos"/>
      <sheetName val="Prov. Nac. - Nov."/>
      <sheetName val="Prov. Ext. - Nov."/>
      <sheetName val="Prov. Nac. - Sep"/>
      <sheetName val="Conti - Tac"/>
      <sheetName val="Detalle Proveed"/>
      <sheetName val="Selec PNR Final"/>
      <sheetName val="Análisis PNR Final"/>
      <sheetName val="Análisis PNR Prelim"/>
      <sheetName val="MMA_Pas.No Reg"/>
      <sheetName val="Part. Seleccionadas"/>
      <sheetName val="Análisis diferencias"/>
      <sheetName val="Detalle de Prove."/>
      <sheetName val="Seleccion Desembolsos"/>
      <sheetName val="Analisis Desembolsos"/>
      <sheetName val="CxP CASS"/>
      <sheetName val="CxP Fuera CASS"/>
      <sheetName val="CxP Fincas"/>
      <sheetName val="Resp.Mater"/>
      <sheetName val="Bien.Serv"/>
      <sheetName val="CMA_Calculations (2)"/>
      <sheetName val="Recibidas no facturadas"/>
      <sheetName val="Turismo, Viveres y Repuestos"/>
      <sheetName val="Bienes y Serv."/>
      <sheetName val="Tur. Recep."/>
      <sheetName val="Viver. y Beb."/>
      <sheetName val="Rep. y Mater."/>
      <sheetName val="Listado Proveedores Final"/>
      <sheetName val="Validación de compras"/>
      <sheetName val="Validación de pagos"/>
      <sheetName val="Fact. no pagadas"/>
      <sheetName val="MMA  Busq. Pas.No Reg"/>
      <sheetName val="Pasivos no reg. locales"/>
      <sheetName val="Pasivos no reg. imp"/>
      <sheetName val="Pasivos no reg. imp Sep"/>
      <sheetName val="Análisis CXP"/>
      <sheetName val="Registro CBMI"/>
      <sheetName val="Conciliación CBMI"/>
      <sheetName val="Listado de Proveedores"/>
      <sheetName val="Listado de Proveedores Petroriv"/>
      <sheetName val="Difopac"/>
      <sheetName val="Pagos Dividendos"/>
      <sheetName val="Facturas x Recibir y Registr."/>
      <sheetName val="Importaciones Liquidadas"/>
      <sheetName val="Proveedores Nacion. y Extranjer"/>
      <sheetName val="Análisis de Pasivos No regist"/>
      <sheetName val="Provisiones Ordenes de Compra"/>
      <sheetName val="Análisis de Pasivos No registra"/>
      <sheetName val="Serie A"/>
      <sheetName val="Serie B"/>
      <sheetName val="Recálculo Fondo Garantía"/>
      <sheetName val="Revisión de Doc pagos"/>
      <sheetName val="Exceso Flujo Fondos"/>
      <sheetName val="Tasas"/>
      <sheetName val="Detalle de CxP Varias"/>
      <sheetName val="Detalle CxP Exterior"/>
      <sheetName val="An. Pasivos no registr. Dic 10"/>
      <sheetName val="Cuentas por Cobrar y Pagar"/>
      <sheetName val="Variaciones"/>
      <sheetName val="Mov Provisión"/>
      <sheetName val="Prov Nac"/>
      <sheetName val="Prov Ext"/>
      <sheetName val="Prov Rel"/>
      <sheetName val="Selecc Desem.Posteriores"/>
      <sheetName val="Comp Post"/>
      <sheetName val="Proveed. Final"/>
      <sheetName val="ACC.PAY.TRADE"/>
      <sheetName val="Proveed. Preliminar"/>
      <sheetName val="Justificación"/>
      <sheetName val="Selecc. PNR"/>
      <sheetName val="Análisis Facturas No Pagadas"/>
      <sheetName val="Cheques Prov. por Dev."/>
      <sheetName val="Viveres y Bebidas"/>
      <sheetName val="Repuestos y Materiales"/>
      <sheetName val="Cta. Pte. RNo Fact."/>
      <sheetName val="MMA Pasivos NR"/>
      <sheetName val="Análisis Pasivos NR"/>
      <sheetName val="MMA (2)"/>
      <sheetName val="Confirm.-"/>
      <sheetName val="CxP TR"/>
      <sheetName val="PasivNoRegistr"/>
      <sheetName val="CXP.MTQ"/>
      <sheetName val="CXP.ETICA"/>
      <sheetName val="Mov.Arriend.Precob"/>
      <sheetName val="Análisis PNR"/>
      <sheetName val="Pasivo No Registrado"/>
      <sheetName val="Análisis de cuentas por pagar"/>
      <sheetName val="Análisis de Liquidaciones"/>
      <sheetName val="MMA Desembolsos"/>
      <sheetName val="APT Desembolsos"/>
      <sheetName val="Préstamo Bancario"/>
      <sheetName val="Total anticipos por liquidar"/>
      <sheetName val="11501EXT"/>
      <sheetName val="Provee. Insumos Final"/>
      <sheetName val="Provee Servicios Final"/>
      <sheetName val="Contratistas Final"/>
      <sheetName val="Proveedores Insumos"/>
      <sheetName val="Proveedores Servicios"/>
      <sheetName val="Relacionadas Prel"/>
      <sheetName val="Proveed Insumos Final"/>
      <sheetName val="Proveed Servicios Final"/>
      <sheetName val="Prov. CxP"/>
      <sheetName val="Conciliación relacionadas"/>
      <sheetName val="Pasivos no Reg final"/>
      <sheetName val="Prov. Insum. Final"/>
      <sheetName val="Prov.Serv. FInal"/>
      <sheetName val="Prov. Insum. Prel"/>
      <sheetName val="Prov. Serv. Prel"/>
      <sheetName val="Accounts Payable"/>
      <sheetName val="Provisión PCM"/>
      <sheetName val="Quiport"/>
      <sheetName val="Prov. Insumos"/>
      <sheetName val="CxP MEM"/>
      <sheetName val="Confirm.Electroguayas"/>
      <sheetName val="Confirmación CELEC"/>
      <sheetName val="Prov. ext"/>
      <sheetName val="Análisis de Contratos"/>
      <sheetName val="Análisis Pasivos no Reg."/>
      <sheetName val="Neteo CxC y CxP"/>
      <sheetName val="Electroguayas"/>
      <sheetName val="CxP Preli."/>
      <sheetName val="Pago posteriores Final"/>
      <sheetName val="Pagos posteriores Prel."/>
      <sheetName val="Proveedores Extr. (Dic)"/>
      <sheetName val="Proveedores Nacionales (Dic)"/>
      <sheetName val="Proveedores (Nov)"/>
      <sheetName val="Proveedores (Sep)"/>
      <sheetName val="Proveedores (Jun)"/>
      <sheetName val="Limites"/>
      <sheetName val="Conciliación Intercompany"/>
      <sheetName val="Detalle por Proveedores"/>
      <sheetName val="Análisis de antiguedad Prelim"/>
      <sheetName val="Análisis de Antigüedad Final"/>
      <sheetName val="Análisis de antiguedad"/>
      <sheetName val="Confirmaciones Prov. Ext"/>
      <sheetName val="Analisis de Pasiv. no Reg."/>
      <sheetName val="Nota a los EE FF"/>
      <sheetName val="Locales final"/>
      <sheetName val="Exterior final"/>
      <sheetName val="Facturas no pagas"/>
      <sheetName val="Cheques Transitorios"/>
      <sheetName val=" Relacionadas Prel"/>
      <sheetName val="Confirmaciones "/>
      <sheetName val="Revisión Financiera"/>
      <sheetName val="Cias. Relac."/>
      <sheetName val="Prov. Locales Final"/>
      <sheetName val="Ch.Transito Final"/>
      <sheetName val="Prove. Exter Final "/>
      <sheetName val="Provee. Local"/>
      <sheetName val="Ch.Transito"/>
      <sheetName val="Prove. Exter"/>
      <sheetName val="Pagos Posteriors"/>
      <sheetName val="MMA Facturas no Pag."/>
      <sheetName val="MMA Pasivos no Reg."/>
      <sheetName val="Ctas. x pagar Brokers"/>
      <sheetName val="MMA Facturs no Pag."/>
      <sheetName val="MMA Pagos Posteriors"/>
      <sheetName val="Compras y desembolsos"/>
      <sheetName val="Pasivos no Reg "/>
      <sheetName val="Análisis Importa."/>
      <sheetName val="Detalle proveedor del exterior"/>
      <sheetName val="Prov. Extranj."/>
      <sheetName val="Arqueo. Ch. Girados no Entregad"/>
      <sheetName val="Prov. Transportes"/>
      <sheetName val="Prov. Gastos"/>
      <sheetName val="Prov. Intercompañías"/>
      <sheetName val="Transacciones con Partes Relaci"/>
      <sheetName val="Nota "/>
      <sheetName val="Prov. Ext."/>
      <sheetName val="Prov. Relac."/>
      <sheetName val="P.N.R"/>
      <sheetName val="Provedores del Exterior "/>
      <sheetName val="Provedores Loacales "/>
      <sheetName val="Pagos. Post."/>
      <sheetName val="Corte CxP final"/>
      <sheetName val="Confirmaciones relacionads"/>
      <sheetName val="Prov. Ext. Prel."/>
      <sheetName val="Pagos Noviembre"/>
      <sheetName val="No Aliadas Comerciales"/>
      <sheetName val="No Aliados Prov.Extranjeros"/>
      <sheetName val="Conciliación Itochu"/>
      <sheetName val="CxP Aliad. Comercial"/>
      <sheetName val="CxP Aliad. Comercial Final"/>
      <sheetName val="Recep sin fact MI"/>
      <sheetName val="Recep. sin Fac MD"/>
      <sheetName val="Provisiones por Pagar Otros"/>
      <sheetName val="Rotación Días de Pago"/>
      <sheetName val="Otros CxP"/>
      <sheetName val="No aliadas"/>
      <sheetName val="Empleados"/>
      <sheetName val="Desembolsos 2 APT"/>
      <sheetName val="Otras Empresas"/>
      <sheetName val="PagosPosteriores"/>
      <sheetName val="PasNoReg."/>
      <sheetName val="Selección Pas. No Reg."/>
      <sheetName val="CxP Intercompany"/>
      <sheetName val="Servicios y Otros"/>
      <sheetName val="Detalle Relacionadas"/>
      <sheetName val="Proveedores  "/>
      <sheetName val="Pas_No_Registrados Preli"/>
      <sheetName val="Pas_No_Registrados Final"/>
      <sheetName val="MMA Est Cta Ban 13-Sep"/>
      <sheetName val="Pas_No_Registrados"/>
      <sheetName val="Conf Fin"/>
      <sheetName val="Conf Prel"/>
      <sheetName val="Proveedores "/>
      <sheetName val="CxP Miscelaneos"/>
      <sheetName val="Mov.Casa Matriz"/>
      <sheetName val="Transfe. Casa Matriz"/>
      <sheetName val="MMA Pagos"/>
      <sheetName val="Mov. Benef.Soc."/>
      <sheetName val="Roles de pago"/>
      <sheetName val="Dif.Benef. Sociales "/>
      <sheetName val="CxP Aliadas Comercial Final"/>
      <sheetName val="Recep-sin fact PPUP"/>
      <sheetName val="Recep sin Fact MD"/>
      <sheetName val="No Aliados Provee. Extranjeros"/>
      <sheetName val="No Aliados Proveedores Extranje"/>
      <sheetName val="Aliadas"/>
      <sheetName val="Otras Provisiones por Pagar"/>
      <sheetName val="Días de pago"/>
      <sheetName val="Pasivos no regist. (import)"/>
      <sheetName val="Toyota Tsusho CO"/>
      <sheetName val="Tecniseguros"/>
      <sheetName val="Detalle proveedores Prelim."/>
      <sheetName val="Rev. Prov. Preliminar"/>
      <sheetName val="Hoja2"/>
      <sheetName val="Base CxP"/>
      <sheetName val="CxP por Cliente"/>
      <sheetName val="Base cxp Octubre"/>
      <sheetName val="Base Ctas x Pagar (jul)"/>
      <sheetName val="Detalle Otras Ctas x P"/>
      <sheetName val="Base Ctas x Pagar (Julio)"/>
      <sheetName val="Detalle Ctas x Pagar"/>
      <sheetName val="Prov Merc"/>
      <sheetName val="Prov Aux"/>
      <sheetName val="Prov Ctos. Metro"/>
      <sheetName val="Selec PNR"/>
      <sheetName val="SEPT-09"/>
      <sheetName val="Prueba no pagadas"/>
      <sheetName val="Prueba de corte N|D"/>
      <sheetName val="Contratistas"/>
      <sheetName val="Prueb. Part. conc."/>
      <sheetName val="CxP Reempaque"/>
      <sheetName val="Prueba de desembolsos "/>
      <sheetName val="CXP FUERA DE CASS"/>
      <sheetName val="Comp. Impor. Liquidadas"/>
      <sheetName val="Comp. Locales"/>
      <sheetName val="Comp. Importaciones"/>
      <sheetName val="Provisión MP"/>
      <sheetName val="Proveedores Locales Final"/>
      <sheetName val="Prov. Exterior Serv. (Final)"/>
      <sheetName val="Proveedores Exterior (Final)"/>
      <sheetName val="P.N.R."/>
      <sheetName val="Confirmaciones (Final)"/>
      <sheetName val="Prov. Exterior Serv."/>
      <sheetName val="Verificación (Final)"/>
      <sheetName val="Anticipos de clientes"/>
      <sheetName val="Promesas de compra venta"/>
      <sheetName val="Acreedores Varios"/>
      <sheetName val="Detalle CxP (P)"/>
      <sheetName val="FACTURAS PROVEEDORES EXTERIOR"/>
      <sheetName val="FACTURAS PROVEEDORES MADERA"/>
      <sheetName val="FACTURAS PROVEEDORES GYE"/>
      <sheetName val="Resumen de Proveedores"/>
      <sheetName val="Detalle Garantia de Pedidos"/>
      <sheetName val="Validación Base"/>
      <sheetName val="4) Validación de cuentas x paga"/>
      <sheetName val="5) Test de confirmaciones"/>
      <sheetName val="3) Pagos posteriores"/>
      <sheetName val="6)Pasivos No Registrados"/>
      <sheetName val="Préstamos de Programas Preli"/>
      <sheetName val="Préstamos de Programas Final"/>
      <sheetName val="Base de Filiales (Final)"/>
      <sheetName val="Nota EE.FF"/>
      <sheetName val="Anali. C x P Provee. Final"/>
      <sheetName val="Det. Ctas. Por Pagar Fincas"/>
      <sheetName val="Anali. Ctas. x Pagar CASS"/>
      <sheetName val="CMA Calculations- R Factor"/>
      <sheetName val="PNR Importaciones liquidadas"/>
      <sheetName val="Cias. Relacionadas"/>
      <sheetName val="Movimiento IBRN"/>
      <sheetName val="Detalle Pagos Posteriores"/>
      <sheetName val="Detale Desembolsos"/>
      <sheetName val="Proveedores Exterior Fin."/>
      <sheetName val="Proveedores Locales Fin."/>
      <sheetName val="Pasivos no Regist."/>
      <sheetName val="Proveedores Exterior Preli."/>
      <sheetName val="Proveedores Locales Prel."/>
      <sheetName val="Préstamos de Programas"/>
      <sheetName val="Proveedores MEM"/>
      <sheetName val="Mano de obra"/>
      <sheetName val="MEM"/>
      <sheetName val="Terceros"/>
      <sheetName val="Relacionadas Preli"/>
      <sheetName val="1) Detalle"/>
      <sheetName val="2) Detalle Garantia"/>
      <sheetName val="Notas EEFF's"/>
      <sheetName val="Cruce de Cuentas "/>
      <sheetName val="Pasivos No Registrados "/>
      <sheetName val="6130.1 Proveedores"/>
      <sheetName val="6130.2 Dinners"/>
      <sheetName val="6130.3 Pasivos no registrados"/>
      <sheetName val="6130.4 Desembolsos Posteriores"/>
      <sheetName val="Dinners"/>
      <sheetName val="Proveedores Locales (Final)"/>
      <sheetName val="Proveedores Madera y GYE (Fina)"/>
      <sheetName val="Proveedores Madera y GYE"/>
      <sheetName val="Proveedores Locales (F)"/>
      <sheetName val="Proveedores Exterior (F)"/>
      <sheetName val="Pasivos No registrados (F)"/>
      <sheetName val="Proveedores Madera y GYE (F)"/>
      <sheetName val="Relacionadas (F)"/>
      <sheetName val="Comp. Importaciones (2)"/>
      <sheetName val="Cuentas por Pagar VpD"/>
      <sheetName val="CxP Empleados(Final)"/>
      <sheetName val="Pasivos no reg. (Final)"/>
      <sheetName val="Base de Filiales(Preli)"/>
      <sheetName val="CxP Empleados(Preli)"/>
      <sheetName val="Títulos Vig Dic"/>
      <sheetName val="titulos vigentes Nov"/>
      <sheetName val="Límites"/>
      <sheetName val="CXP Comerciales"/>
      <sheetName val="GR IR AP"/>
      <sheetName val="Accrual payables final"/>
      <sheetName val="Acrual Payables"/>
      <sheetName val="Agencias"/>
      <sheetName val="Accrual payables Aj."/>
      <sheetName val="Acruad Payables"/>
      <sheetName val="GR-IR-AP"/>
      <sheetName val="Proveed"/>
      <sheetName val="Base Proveedores final  "/>
      <sheetName val="Base Proved"/>
      <sheetName val="Management"/>
      <sheetName val="Intercompanies"/>
      <sheetName val="Pagos no registrados"/>
      <sheetName val="Prov. Proveed. - Diciembre "/>
      <sheetName val="Pasivos No Registrados APT "/>
      <sheetName val="Mov. part. trabajadores"/>
      <sheetName val="Proveedores Dic"/>
      <sheetName val="Mobisol"/>
      <sheetName val="Cuentas control"/>
      <sheetName val="Procedimientos Cuentas por Pag "/>
      <sheetName val="Prov. Final"/>
      <sheetName val="Nota a los EF"/>
      <sheetName val="AnlVar"/>
      <sheetName val="Obligaciones de Titularización"/>
      <sheetName val="An. Fac Pend"/>
      <sheetName val="Prov. Nac"/>
      <sheetName val="Sel Desem"/>
      <sheetName val="An. Desem"/>
      <sheetName val="Préstamos Pichinch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 refreshError="1"/>
      <sheetData sheetId="435" refreshError="1"/>
      <sheetData sheetId="436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 refreshError="1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 refreshError="1"/>
      <sheetData sheetId="755"/>
      <sheetData sheetId="756"/>
      <sheetData sheetId="757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 refreshError="1"/>
      <sheetData sheetId="87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/>
      <sheetData sheetId="1029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/>
      <sheetData sheetId="1038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/>
      <sheetData sheetId="1104"/>
      <sheetData sheetId="1105" refreshError="1"/>
      <sheetData sheetId="1106"/>
      <sheetData sheetId="1107"/>
      <sheetData sheetId="1108"/>
      <sheetData sheetId="1109" refreshError="1"/>
      <sheetData sheetId="1110" refreshError="1"/>
      <sheetData sheetId="1111" refreshError="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/>
      <sheetData sheetId="1152"/>
      <sheetData sheetId="1153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F"/>
      <sheetName val="Detalle"/>
      <sheetName val="Portafolio Final"/>
      <sheetName val="Valuación"/>
      <sheetName val="Port Sep(08)"/>
      <sheetName val="MMA"/>
      <sheetName val="Confirmac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Hoja1"/>
      <sheetName val="Tildes"/>
      <sheetName val="Tildes 8230"/>
      <sheetName val="MMA"/>
      <sheetName val="Selec. Adiciones"/>
      <sheetName val="Anális. siniest. seguros"/>
      <sheetName val="Tildes (2)"/>
      <sheetName val="Límite"/>
      <sheetName val="Tabla del Limite"/>
      <sheetName val="Sheet1"/>
      <sheetName val="Pasivos No Registrados"/>
      <sheetName val="Prueba de Corte"/>
      <sheetName val="Ticmarks"/>
      <sheetName val="Décimo Sexto"/>
      <sheetName val="Sheet1 (2)"/>
      <sheetName val="#REF"/>
      <sheetName val="Análisis de Notas Crédito"/>
      <sheetName val="Análisis de Facturas"/>
      <sheetName val="Tickmarks"/>
      <sheetName val="Detalle GO Jun-02"/>
      <sheetName val="Detalle GO Oct-02"/>
      <sheetName val="Detalle GO Dic-02"/>
      <sheetName val="Proyeccion Costos"/>
      <sheetName val="Proyec.Vtas."/>
      <sheetName val="Detalle Sueldos"/>
      <sheetName val="Sueldos Personal"/>
      <sheetName val="Final"/>
      <sheetName val="Preliminar"/>
      <sheetName val="Análisis"/>
      <sheetName val="PIVOT"/>
      <sheetName val="3670020"/>
      <sheetName val="367020EN"/>
      <sheetName val="Dep_Consol"/>
      <sheetName val="GG-5"/>
    </sheetNames>
    <sheetDataSet>
      <sheetData sheetId="0" refreshError="1"/>
      <sheetData sheetId="1">
        <row r="11">
          <cell r="R11">
            <v>17509571</v>
          </cell>
        </row>
      </sheetData>
      <sheetData sheetId="2" refreshError="1">
        <row r="1">
          <cell r="A1" t="str">
            <v>MOVIMIENTO ACTIVOS FIJOS DEPRECIACION COSTO</v>
          </cell>
        </row>
        <row r="11">
          <cell r="R11">
            <v>0</v>
          </cell>
        </row>
      </sheetData>
      <sheetData sheetId="3">
        <row r="1">
          <cell r="A1" t="str">
            <v>CALCULO GLOBAL DEPRECIACION COSTO</v>
          </cell>
        </row>
      </sheetData>
      <sheetData sheetId="4"/>
      <sheetData sheetId="5">
        <row r="1">
          <cell r="A1" t="str">
            <v>MOVIMIENTO ACTIVOS FIJOS DEPRECIACION COSTO</v>
          </cell>
        </row>
      </sheetData>
      <sheetData sheetId="6">
        <row r="51">
          <cell r="P51">
            <v>2645151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1">
          <cell r="P51">
            <v>2645151</v>
          </cell>
        </row>
      </sheetData>
      <sheetData sheetId="29">
        <row r="51">
          <cell r="P51">
            <v>2645151</v>
          </cell>
        </row>
      </sheetData>
      <sheetData sheetId="30"/>
      <sheetData sheetId="31"/>
      <sheetData sheetId="32"/>
      <sheetData sheetId="33" refreshError="1"/>
      <sheetData sheetId="34">
        <row r="51">
          <cell r="P51">
            <v>2645151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mpany"/>
      <sheetName val="Clientes"/>
      <sheetName val="Terceros"/>
      <sheetName val="Cartera Abogados"/>
      <sheetName val="Mov. Incob."/>
      <sheetName val="An. baja cart."/>
      <sheetName val="MMA 5330-2"/>
      <sheetName val="Antiguedad de cartera"/>
      <sheetName val="Cobros porst. terceros"/>
      <sheetName val="Cobros posteriores"/>
      <sheetName val="Tildes"/>
      <sheetName val="XREF"/>
    </sheetNames>
    <sheetDataSet>
      <sheetData sheetId="0">
        <row r="24">
          <cell r="J24">
            <v>2442465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GME"/>
      <sheetName val="D"/>
      <sheetName val="E"/>
      <sheetName val="F1"/>
      <sheetName val="F1GME"/>
      <sheetName val="F2"/>
      <sheetName val="F2GME"/>
      <sheetName val="F3"/>
      <sheetName val="F3GME"/>
      <sheetName val="F4"/>
      <sheetName val="F4GME"/>
      <sheetName val="F5"/>
      <sheetName val="F6"/>
      <sheetName val="F7"/>
      <sheetName val="F8"/>
      <sheetName val="G"/>
      <sheetName val="H"/>
      <sheetName val="I"/>
      <sheetName val="J"/>
      <sheetName val="L"/>
      <sheetName val="M"/>
      <sheetName val="NO"/>
      <sheetName val="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."/>
      <sheetName val="Mayor"/>
      <sheetName val="MMAPT"/>
      <sheetName val="APTGastos"/>
      <sheetName val="Tickmarks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alle"/>
      <sheetName val="R.Analítica"/>
      <sheetName val="MMA"/>
      <sheetName val="APT"/>
      <sheetName val="CG-Sueldos"/>
      <sheetName val="SueldosGerencia"/>
      <sheetName val="XREF"/>
      <sheetName val="Tickmarks"/>
      <sheetName val="Det. Gastos"/>
      <sheetName val="Muestreo "/>
      <sheetName val="APT Gastos"/>
      <sheetName val="CGSueldos"/>
      <sheetName val="Cálculo Arriendo"/>
      <sheetName val="AnálisisImpuestos"/>
      <sheetName val="Cálculo sueldos"/>
      <sheetName val="Honorarios"/>
      <sheetName val="Leasing"/>
      <sheetName val="Arriendos"/>
      <sheetName val="#REF"/>
      <sheetName val="MMA Gastos"/>
      <sheetName val="Nómina"/>
      <sheetName val="Arrendamiento"/>
      <sheetName val="Seg y reaseg."/>
      <sheetName val="Arrendamiento Equipos"/>
      <sheetName val="Análisis de APT Gatos"/>
      <sheetName val="Análisis APT Honorarios"/>
      <sheetName val="Límites"/>
      <sheetName val="Movimiento Part. Trab."/>
      <sheetName val="MMA Dic-06"/>
      <sheetName val="MMA Oct-06"/>
      <sheetName val="MMA (2)"/>
      <sheetName val="Gastos APT"/>
      <sheetName val="Detalles"/>
      <sheetName val="Calc. Global Gtos. Personal"/>
      <sheetName val="Calc. Global Arriendos"/>
      <sheetName val="Sueldos y Benef."/>
    </sheetNames>
    <sheetDataSet>
      <sheetData sheetId="0"/>
      <sheetData sheetId="1" refreshError="1">
        <row r="81">
          <cell r="E81">
            <v>153450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Nota"/>
      <sheetName val="MMA"/>
      <sheetName val="C. Clobal"/>
      <sheetName val="Eq. Comp."/>
      <sheetName val="Edificios"/>
      <sheetName val="Ed.Seg.Cliente"/>
      <sheetName val="XREF"/>
      <sheetName val="Tickmarks"/>
      <sheetName val="Mov.Costo"/>
      <sheetName val="Mov.Dep."/>
      <sheetName val="Cal.Deprec."/>
      <sheetName val="Selección"/>
      <sheetName val="AnálisisAdic"/>
      <sheetName val="Cal.Deprec final"/>
      <sheetName val="Cal.Deprec.prele"/>
      <sheetName val="Baja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Mov. Depreciación"/>
      <sheetName val="Terreno o costos de Locales"/>
      <sheetName val="Mov.Costo Reexp."/>
      <sheetName val="Mov.Dep.Costo."/>
      <sheetName val="Mov.Dep.Costo. Reex"/>
      <sheetName val="Calc.Global Deprec."/>
      <sheetName val="Nota EEFF"/>
      <sheetName val="Cálc. Global. Dep."/>
      <sheetName val="#REF"/>
      <sheetName val="Movimiento"/>
      <sheetName val="Resumen de Conciliaciones"/>
      <sheetName val="Dólar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Links"/>
      <sheetName val="Detalle Activos Fijos"/>
      <sheetName val="A"/>
    </sheetNames>
    <sheetDataSet>
      <sheetData sheetId="0">
        <row r="15">
          <cell r="H15">
            <v>4449506</v>
          </cell>
        </row>
      </sheetData>
      <sheetData sheetId="1">
        <row r="15">
          <cell r="H15">
            <v>4449506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>
        <row r="15">
          <cell r="H15">
            <v>4449506</v>
          </cell>
        </row>
      </sheetData>
      <sheetData sheetId="10" refreshError="1"/>
      <sheetData sheetId="11"/>
      <sheetData sheetId="12"/>
      <sheetData sheetId="13" refreshError="1"/>
      <sheetData sheetId="14"/>
      <sheetData sheetId="15" refreshError="1"/>
      <sheetData sheetId="16">
        <row r="15">
          <cell r="H15">
            <v>4449506</v>
          </cell>
        </row>
      </sheetData>
      <sheetData sheetId="17">
        <row r="15">
          <cell r="H15">
            <v>4449506</v>
          </cell>
        </row>
      </sheetData>
      <sheetData sheetId="18">
        <row r="15">
          <cell r="H15">
            <v>4449506</v>
          </cell>
        </row>
      </sheetData>
      <sheetData sheetId="19">
        <row r="15">
          <cell r="H15">
            <v>4449506</v>
          </cell>
        </row>
      </sheetData>
      <sheetData sheetId="20">
        <row r="15">
          <cell r="H15">
            <v>4449506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5">
          <cell r="H15">
            <v>4449506</v>
          </cell>
        </row>
      </sheetData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SA Procedures"/>
      <sheetName val="Expectation"/>
      <sheetName val="Explanation"/>
      <sheetName val="Threshold Table"/>
      <sheetName val="Tickmarks"/>
      <sheetName val="Guidance"/>
      <sheetName val="Overview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Guidance Perform SA Procedures"/>
      <sheetName val="Examples Develop An Expectation"/>
      <sheetName val="MetaData"/>
      <sheetName val="#REF"/>
      <sheetName val="Cómputo"/>
      <sheetName val="SA Procedures (2)"/>
      <sheetName val="Det. Rec. Prov. Locales {PPC}"/>
    </sheetNames>
    <sheetDataSet>
      <sheetData sheetId="0" refreshError="1"/>
      <sheetData sheetId="1"/>
      <sheetData sheetId="2">
        <row r="2">
          <cell r="A2">
            <v>0.7</v>
          </cell>
        </row>
      </sheetData>
      <sheetData sheetId="3" refreshError="1"/>
      <sheetData sheetId="4" refreshError="1">
        <row r="2">
          <cell r="A2">
            <v>0.7</v>
          </cell>
        </row>
        <row r="11">
          <cell r="E11">
            <v>1</v>
          </cell>
          <cell r="F11">
            <v>0.5</v>
          </cell>
          <cell r="G11">
            <v>3.125</v>
          </cell>
        </row>
        <row r="12">
          <cell r="E12">
            <v>2</v>
          </cell>
          <cell r="F12">
            <v>0.45</v>
          </cell>
          <cell r="G12">
            <v>2.8125</v>
          </cell>
        </row>
        <row r="13">
          <cell r="E13">
            <v>3</v>
          </cell>
          <cell r="F13">
            <v>0.42499999999999999</v>
          </cell>
          <cell r="G13">
            <v>2.65625</v>
          </cell>
        </row>
        <row r="14">
          <cell r="E14">
            <v>4</v>
          </cell>
          <cell r="F14">
            <v>0.4</v>
          </cell>
          <cell r="G14">
            <v>2.5</v>
          </cell>
        </row>
        <row r="15">
          <cell r="E15">
            <v>5</v>
          </cell>
          <cell r="F15">
            <v>0.375</v>
          </cell>
          <cell r="G15">
            <v>2.34375</v>
          </cell>
        </row>
        <row r="16">
          <cell r="E16">
            <v>6</v>
          </cell>
          <cell r="F16">
            <v>0.35</v>
          </cell>
          <cell r="G16">
            <v>2.1875</v>
          </cell>
        </row>
        <row r="17">
          <cell r="E17">
            <v>7</v>
          </cell>
          <cell r="F17">
            <v>0.34166666666666662</v>
          </cell>
          <cell r="G17">
            <v>2.1354166666666665</v>
          </cell>
        </row>
        <row r="18">
          <cell r="E18">
            <v>8</v>
          </cell>
          <cell r="F18">
            <v>0.33333333333333326</v>
          </cell>
          <cell r="G18">
            <v>2.083333333333333</v>
          </cell>
        </row>
        <row r="19">
          <cell r="E19">
            <v>9</v>
          </cell>
          <cell r="F19">
            <v>0.3249999999999999</v>
          </cell>
          <cell r="G19">
            <v>2.0312499999999996</v>
          </cell>
        </row>
        <row r="20">
          <cell r="E20">
            <v>10</v>
          </cell>
          <cell r="F20">
            <v>0.31666666666666654</v>
          </cell>
          <cell r="G20">
            <v>1.9791666666666659</v>
          </cell>
        </row>
        <row r="21">
          <cell r="E21">
            <v>11</v>
          </cell>
          <cell r="F21">
            <v>0.30833333333333318</v>
          </cell>
          <cell r="G21">
            <v>1.9270833333333324</v>
          </cell>
        </row>
        <row r="22">
          <cell r="E22">
            <v>12</v>
          </cell>
          <cell r="F22">
            <v>0.29999999999999982</v>
          </cell>
          <cell r="G22">
            <v>1.8749999999999989</v>
          </cell>
        </row>
        <row r="23">
          <cell r="E23">
            <v>13</v>
          </cell>
          <cell r="F23">
            <v>0.25</v>
          </cell>
          <cell r="G23">
            <v>1.5625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roveed. Loc."/>
      <sheetName val="Preveed.Ext."/>
      <sheetName val="B.P.N.Importaciones"/>
      <sheetName val="Tickmarks"/>
    </sheetNames>
    <sheetDataSet>
      <sheetData sheetId="0"/>
      <sheetData sheetId="1">
        <row r="63">
          <cell r="D63">
            <v>3217658</v>
          </cell>
        </row>
      </sheetData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Targeted Testing-1"/>
      <sheetName val="tailored"/>
      <sheetName val="Cruce de Obligaciones"/>
      <sheetName val="Revisión"/>
      <sheetName val="Producción"/>
      <sheetName val="Bolivariano"/>
      <sheetName val="Banco Pacifico"/>
      <sheetName val="Internacional"/>
    </sheetNames>
    <sheetDataSet>
      <sheetData sheetId="0"/>
      <sheetData sheetId="1"/>
      <sheetData sheetId="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3"/>
      <sheetData sheetId="4">
        <row r="45">
          <cell r="T45">
            <v>0</v>
          </cell>
        </row>
        <row r="47">
          <cell r="E47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  <sheetData sheetId="14"/>
      <sheetData sheetId="15"/>
      <sheetData sheetId="16"/>
      <sheetData sheetId="17">
        <row r="15">
          <cell r="L15">
            <v>2145686.8399999989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</sheetNames>
    <sheetDataSet>
      <sheetData sheetId="0">
        <row r="31">
          <cell r="E31">
            <v>1686331876.4000001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E4-Adam Opel"/>
      <sheetName val="Payment 30_09_2003"/>
      <sheetName val="Payment 02_03_2004"/>
      <sheetName val="Payment 03_04_2006"/>
      <sheetName val="Payment 02_05_2006"/>
      <sheetName val="Payment 02_06_2006"/>
      <sheetName val="Payment 03_07_2006"/>
    </sheetNames>
    <sheetDataSet>
      <sheetData sheetId="0" refreshError="1"/>
      <sheetData sheetId="1" refreshError="1"/>
      <sheetData sheetId="2"/>
      <sheetData sheetId="3"/>
      <sheetData sheetId="4"/>
      <sheetData sheetId="5">
        <row r="2">
          <cell r="A2" t="str">
            <v/>
          </cell>
          <cell r="B2" t="str">
            <v>S420100000</v>
          </cell>
          <cell r="C2" t="str">
            <v/>
          </cell>
          <cell r="D2" t="str">
            <v>939381</v>
          </cell>
          <cell r="E2" t="str">
            <v>KZ</v>
          </cell>
          <cell r="F2" t="str">
            <v>25</v>
          </cell>
          <cell r="G2" t="str">
            <v>939381</v>
          </cell>
          <cell r="H2" t="str">
            <v>20060602-COTE8</v>
          </cell>
          <cell r="I2">
            <v>38870</v>
          </cell>
          <cell r="J2">
            <v>38870</v>
          </cell>
          <cell r="K2">
            <v>38870</v>
          </cell>
          <cell r="L2">
            <v>38870</v>
          </cell>
          <cell r="M2" t="str">
            <v>EUR</v>
          </cell>
          <cell r="N2">
            <v>15739.75</v>
          </cell>
          <cell r="O2" t="str">
            <v>COP</v>
          </cell>
          <cell r="P2">
            <v>45161624</v>
          </cell>
          <cell r="Q2">
            <v>45161624</v>
          </cell>
          <cell r="R2">
            <v>0</v>
          </cell>
        </row>
        <row r="3">
          <cell r="A3" t="str">
            <v>7985060</v>
          </cell>
          <cell r="B3" t="str">
            <v>S420100000</v>
          </cell>
          <cell r="C3">
            <v>165829</v>
          </cell>
          <cell r="D3" t="str">
            <v>557487</v>
          </cell>
          <cell r="E3" t="str">
            <v>RE</v>
          </cell>
          <cell r="F3" t="str">
            <v>31</v>
          </cell>
          <cell r="G3" t="str">
            <v>939381</v>
          </cell>
          <cell r="H3" t="str">
            <v>EG06040603</v>
          </cell>
          <cell r="I3">
            <v>38807</v>
          </cell>
          <cell r="J3">
            <v>38826</v>
          </cell>
          <cell r="K3">
            <v>38870</v>
          </cell>
          <cell r="L3">
            <v>38870</v>
          </cell>
          <cell r="M3" t="str">
            <v>EUR</v>
          </cell>
          <cell r="N3">
            <v>-2560.02</v>
          </cell>
          <cell r="O3" t="str">
            <v>COP</v>
          </cell>
          <cell r="P3">
            <v>-7145127</v>
          </cell>
          <cell r="Q3">
            <v>-8165399</v>
          </cell>
          <cell r="R3">
            <v>0</v>
          </cell>
        </row>
        <row r="4">
          <cell r="A4" t="str">
            <v>7985060</v>
          </cell>
          <cell r="B4" t="str">
            <v>S420100000</v>
          </cell>
          <cell r="C4">
            <v>166201</v>
          </cell>
          <cell r="D4" t="str">
            <v>564833</v>
          </cell>
          <cell r="E4" t="str">
            <v>RE</v>
          </cell>
          <cell r="F4" t="str">
            <v>31</v>
          </cell>
          <cell r="G4" t="str">
            <v>939381</v>
          </cell>
          <cell r="H4" t="str">
            <v>EG06041211</v>
          </cell>
          <cell r="I4">
            <v>38811</v>
          </cell>
          <cell r="J4">
            <v>38827</v>
          </cell>
          <cell r="K4">
            <v>38870</v>
          </cell>
          <cell r="L4">
            <v>38870</v>
          </cell>
          <cell r="M4" t="str">
            <v>EUR</v>
          </cell>
          <cell r="N4">
            <v>-63.53</v>
          </cell>
          <cell r="O4" t="str">
            <v>COP</v>
          </cell>
          <cell r="P4">
            <v>-179000</v>
          </cell>
          <cell r="Q4">
            <v>-202634</v>
          </cell>
          <cell r="R4">
            <v>0</v>
          </cell>
        </row>
        <row r="5">
          <cell r="A5" t="str">
            <v>7985060</v>
          </cell>
          <cell r="B5" t="str">
            <v>S420100000</v>
          </cell>
          <cell r="C5">
            <v>166378</v>
          </cell>
          <cell r="D5" t="str">
            <v>564925</v>
          </cell>
          <cell r="E5" t="str">
            <v>RE</v>
          </cell>
          <cell r="F5" t="str">
            <v>31</v>
          </cell>
          <cell r="G5" t="str">
            <v>939381</v>
          </cell>
          <cell r="H5" t="str">
            <v>EG06041212</v>
          </cell>
          <cell r="I5">
            <v>38812</v>
          </cell>
          <cell r="J5">
            <v>38827</v>
          </cell>
          <cell r="K5">
            <v>38870</v>
          </cell>
          <cell r="L5">
            <v>38870</v>
          </cell>
          <cell r="M5" t="str">
            <v>EUR</v>
          </cell>
          <cell r="N5">
            <v>-218.67</v>
          </cell>
          <cell r="O5" t="str">
            <v>COP</v>
          </cell>
          <cell r="P5">
            <v>-618283</v>
          </cell>
          <cell r="Q5">
            <v>-697466</v>
          </cell>
          <cell r="R5">
            <v>0</v>
          </cell>
        </row>
        <row r="6">
          <cell r="A6" t="str">
            <v>7985060</v>
          </cell>
          <cell r="B6" t="str">
            <v>S420100000</v>
          </cell>
          <cell r="C6">
            <v>166546</v>
          </cell>
          <cell r="D6" t="str">
            <v>570752</v>
          </cell>
          <cell r="E6" t="str">
            <v>RE</v>
          </cell>
          <cell r="F6" t="str">
            <v>31</v>
          </cell>
          <cell r="G6" t="str">
            <v>939381</v>
          </cell>
          <cell r="H6" t="str">
            <v>EG06041712</v>
          </cell>
          <cell r="I6">
            <v>38813</v>
          </cell>
          <cell r="J6">
            <v>38828</v>
          </cell>
          <cell r="K6">
            <v>38870</v>
          </cell>
          <cell r="L6">
            <v>38870</v>
          </cell>
          <cell r="M6" t="str">
            <v>EUR</v>
          </cell>
          <cell r="N6">
            <v>-243.6</v>
          </cell>
          <cell r="O6" t="str">
            <v>COP</v>
          </cell>
          <cell r="P6">
            <v>-688772</v>
          </cell>
          <cell r="Q6">
            <v>-776983</v>
          </cell>
          <cell r="R6">
            <v>0</v>
          </cell>
        </row>
        <row r="7">
          <cell r="A7" t="str">
            <v>7985060</v>
          </cell>
          <cell r="B7" t="str">
            <v>S420100000</v>
          </cell>
          <cell r="C7">
            <v>167455</v>
          </cell>
          <cell r="D7" t="str">
            <v>570753</v>
          </cell>
          <cell r="E7" t="str">
            <v>RE</v>
          </cell>
          <cell r="F7" t="str">
            <v>31</v>
          </cell>
          <cell r="G7" t="str">
            <v>939381</v>
          </cell>
          <cell r="H7" t="str">
            <v>EG06041713</v>
          </cell>
          <cell r="I7">
            <v>38820</v>
          </cell>
          <cell r="J7">
            <v>38828</v>
          </cell>
          <cell r="K7">
            <v>38870</v>
          </cell>
          <cell r="L7">
            <v>38870</v>
          </cell>
          <cell r="M7" t="str">
            <v>EUR</v>
          </cell>
          <cell r="N7">
            <v>-0.99</v>
          </cell>
          <cell r="O7" t="str">
            <v>COP</v>
          </cell>
          <cell r="P7">
            <v>-2799</v>
          </cell>
          <cell r="Q7">
            <v>-3158</v>
          </cell>
          <cell r="R7">
            <v>0</v>
          </cell>
        </row>
        <row r="8">
          <cell r="A8" t="str">
            <v>7985060</v>
          </cell>
          <cell r="B8" t="str">
            <v>S420100000</v>
          </cell>
          <cell r="C8">
            <v>85873</v>
          </cell>
          <cell r="D8" t="str">
            <v>570754</v>
          </cell>
          <cell r="E8" t="str">
            <v>RE</v>
          </cell>
          <cell r="F8" t="str">
            <v>31</v>
          </cell>
          <cell r="G8" t="str">
            <v>939381</v>
          </cell>
          <cell r="H8" t="str">
            <v>EG06041714</v>
          </cell>
          <cell r="I8">
            <v>38817</v>
          </cell>
          <cell r="J8">
            <v>38828</v>
          </cell>
          <cell r="K8">
            <v>38870</v>
          </cell>
          <cell r="L8">
            <v>38870</v>
          </cell>
          <cell r="M8" t="str">
            <v>EUR</v>
          </cell>
          <cell r="N8">
            <v>-13.74</v>
          </cell>
          <cell r="O8" t="str">
            <v>COP</v>
          </cell>
          <cell r="P8">
            <v>-39074</v>
          </cell>
          <cell r="Q8">
            <v>-43825</v>
          </cell>
          <cell r="R8">
            <v>0</v>
          </cell>
        </row>
        <row r="9">
          <cell r="A9" t="str">
            <v>7985060</v>
          </cell>
          <cell r="B9" t="str">
            <v>S420100000</v>
          </cell>
          <cell r="C9">
            <v>167284</v>
          </cell>
          <cell r="D9" t="str">
            <v>570759</v>
          </cell>
          <cell r="E9" t="str">
            <v>RE</v>
          </cell>
          <cell r="F9" t="str">
            <v>31</v>
          </cell>
          <cell r="G9" t="str">
            <v>939381</v>
          </cell>
          <cell r="H9" t="str">
            <v>EG06041715</v>
          </cell>
          <cell r="I9">
            <v>38819</v>
          </cell>
          <cell r="J9">
            <v>38828</v>
          </cell>
          <cell r="K9">
            <v>38870</v>
          </cell>
          <cell r="L9">
            <v>38870</v>
          </cell>
          <cell r="M9" t="str">
            <v>EUR</v>
          </cell>
          <cell r="N9">
            <v>-61.55</v>
          </cell>
          <cell r="O9" t="str">
            <v>COP</v>
          </cell>
          <cell r="P9">
            <v>-174027</v>
          </cell>
          <cell r="Q9">
            <v>-196319</v>
          </cell>
          <cell r="R9">
            <v>0</v>
          </cell>
        </row>
        <row r="10">
          <cell r="A10" t="str">
            <v>7985060</v>
          </cell>
          <cell r="B10" t="str">
            <v>S420100000</v>
          </cell>
          <cell r="C10">
            <v>167066</v>
          </cell>
          <cell r="D10" t="str">
            <v>570835</v>
          </cell>
          <cell r="E10" t="str">
            <v>RE</v>
          </cell>
          <cell r="F10" t="str">
            <v>31</v>
          </cell>
          <cell r="G10" t="str">
            <v>939381</v>
          </cell>
          <cell r="H10" t="str">
            <v>EG06041722</v>
          </cell>
          <cell r="I10">
            <v>38818</v>
          </cell>
          <cell r="J10">
            <v>38828</v>
          </cell>
          <cell r="K10">
            <v>38870</v>
          </cell>
          <cell r="L10">
            <v>38870</v>
          </cell>
          <cell r="M10" t="str">
            <v>EUR</v>
          </cell>
          <cell r="N10">
            <v>-225.86</v>
          </cell>
          <cell r="O10" t="str">
            <v>COP</v>
          </cell>
          <cell r="P10">
            <v>-640219</v>
          </cell>
          <cell r="Q10">
            <v>-720399</v>
          </cell>
          <cell r="R10">
            <v>0</v>
          </cell>
        </row>
        <row r="11">
          <cell r="A11" t="str">
            <v>7985060</v>
          </cell>
          <cell r="B11" t="str">
            <v>S420100000</v>
          </cell>
          <cell r="C11">
            <v>166203</v>
          </cell>
          <cell r="D11" t="str">
            <v>570883</v>
          </cell>
          <cell r="E11" t="str">
            <v>RE</v>
          </cell>
          <cell r="F11" t="str">
            <v>31</v>
          </cell>
          <cell r="G11" t="str">
            <v>939381</v>
          </cell>
          <cell r="H11" t="str">
            <v>EG06041728</v>
          </cell>
          <cell r="I11">
            <v>38811</v>
          </cell>
          <cell r="J11">
            <v>38828</v>
          </cell>
          <cell r="K11">
            <v>38870</v>
          </cell>
          <cell r="L11">
            <v>38870</v>
          </cell>
          <cell r="M11" t="str">
            <v>EUR</v>
          </cell>
          <cell r="N11">
            <v>-378.96</v>
          </cell>
          <cell r="O11" t="str">
            <v>COP</v>
          </cell>
          <cell r="P11">
            <v>-1071499</v>
          </cell>
          <cell r="Q11">
            <v>-1208725</v>
          </cell>
          <cell r="R11">
            <v>0</v>
          </cell>
        </row>
        <row r="12">
          <cell r="A12" t="str">
            <v>7985060</v>
          </cell>
          <cell r="B12" t="str">
            <v>S420100000</v>
          </cell>
          <cell r="C12">
            <v>167646</v>
          </cell>
          <cell r="D12" t="str">
            <v>604568</v>
          </cell>
          <cell r="E12" t="str">
            <v>RE</v>
          </cell>
          <cell r="F12" t="str">
            <v>31</v>
          </cell>
          <cell r="G12" t="str">
            <v>939381</v>
          </cell>
          <cell r="H12" t="str">
            <v>EG06042107</v>
          </cell>
          <cell r="I12">
            <v>38825</v>
          </cell>
          <cell r="J12">
            <v>38833</v>
          </cell>
          <cell r="K12">
            <v>38870</v>
          </cell>
          <cell r="L12">
            <v>38870</v>
          </cell>
          <cell r="M12" t="str">
            <v>EUR</v>
          </cell>
          <cell r="N12">
            <v>-75.260000000000005</v>
          </cell>
          <cell r="O12" t="str">
            <v>COP</v>
          </cell>
          <cell r="P12">
            <v>-218571</v>
          </cell>
          <cell r="Q12">
            <v>-240048</v>
          </cell>
          <cell r="R12">
            <v>0</v>
          </cell>
        </row>
        <row r="13">
          <cell r="A13" t="str">
            <v>7985060</v>
          </cell>
          <cell r="B13" t="str">
            <v>S420100000</v>
          </cell>
          <cell r="C13">
            <v>167826</v>
          </cell>
          <cell r="D13" t="str">
            <v>629565</v>
          </cell>
          <cell r="E13" t="str">
            <v>RE</v>
          </cell>
          <cell r="F13" t="str">
            <v>31</v>
          </cell>
          <cell r="G13" t="str">
            <v>939381</v>
          </cell>
          <cell r="H13" t="str">
            <v>EG06042406</v>
          </cell>
          <cell r="I13">
            <v>38826</v>
          </cell>
          <cell r="J13">
            <v>38835</v>
          </cell>
          <cell r="K13">
            <v>38870</v>
          </cell>
          <cell r="L13">
            <v>38870</v>
          </cell>
          <cell r="M13" t="str">
            <v>EUR</v>
          </cell>
          <cell r="N13">
            <v>-34.4</v>
          </cell>
          <cell r="O13" t="str">
            <v>COP</v>
          </cell>
          <cell r="P13">
            <v>-98990</v>
          </cell>
          <cell r="Q13">
            <v>-109722</v>
          </cell>
          <cell r="R13">
            <v>0</v>
          </cell>
        </row>
        <row r="14">
          <cell r="A14" t="str">
            <v>7985060</v>
          </cell>
          <cell r="B14" t="str">
            <v>S420100000</v>
          </cell>
          <cell r="C14">
            <v>167998</v>
          </cell>
          <cell r="D14" t="str">
            <v>630307</v>
          </cell>
          <cell r="E14" t="str">
            <v>RE</v>
          </cell>
          <cell r="F14" t="str">
            <v>31</v>
          </cell>
          <cell r="G14" t="str">
            <v>939381</v>
          </cell>
          <cell r="H14" t="str">
            <v>EG06042707</v>
          </cell>
          <cell r="I14">
            <v>38827</v>
          </cell>
          <cell r="J14">
            <v>38835</v>
          </cell>
          <cell r="K14">
            <v>38870</v>
          </cell>
          <cell r="L14">
            <v>38870</v>
          </cell>
          <cell r="M14" t="str">
            <v>EUR</v>
          </cell>
          <cell r="N14">
            <v>-34.729999999999997</v>
          </cell>
          <cell r="O14" t="str">
            <v>COP</v>
          </cell>
          <cell r="P14">
            <v>-100077</v>
          </cell>
          <cell r="Q14">
            <v>-110774</v>
          </cell>
          <cell r="R14">
            <v>0</v>
          </cell>
        </row>
        <row r="15">
          <cell r="A15" t="str">
            <v>7985060</v>
          </cell>
          <cell r="B15" t="str">
            <v>S420100000</v>
          </cell>
          <cell r="C15">
            <v>168605</v>
          </cell>
          <cell r="D15" t="str">
            <v>639637</v>
          </cell>
          <cell r="E15" t="str">
            <v>RE</v>
          </cell>
          <cell r="F15" t="str">
            <v>31</v>
          </cell>
          <cell r="G15" t="str">
            <v>939381</v>
          </cell>
          <cell r="H15" t="str">
            <v>EG06042806</v>
          </cell>
          <cell r="I15">
            <v>38832</v>
          </cell>
          <cell r="J15">
            <v>38836</v>
          </cell>
          <cell r="K15">
            <v>38870</v>
          </cell>
          <cell r="L15">
            <v>38870</v>
          </cell>
          <cell r="M15" t="str">
            <v>EUR</v>
          </cell>
          <cell r="N15">
            <v>-167.96</v>
          </cell>
          <cell r="O15" t="str">
            <v>COP</v>
          </cell>
          <cell r="P15">
            <v>-489437</v>
          </cell>
          <cell r="Q15">
            <v>-535723</v>
          </cell>
          <cell r="R15">
            <v>0</v>
          </cell>
        </row>
        <row r="16">
          <cell r="A16" t="str">
            <v>7985060</v>
          </cell>
          <cell r="B16" t="str">
            <v>S420100000</v>
          </cell>
          <cell r="C16">
            <v>168392</v>
          </cell>
          <cell r="D16" t="str">
            <v>639715</v>
          </cell>
          <cell r="E16" t="str">
            <v>RE</v>
          </cell>
          <cell r="F16" t="str">
            <v>31</v>
          </cell>
          <cell r="G16" t="str">
            <v>939381</v>
          </cell>
          <cell r="H16" t="str">
            <v>EG06042805</v>
          </cell>
          <cell r="I16">
            <v>38772</v>
          </cell>
          <cell r="J16">
            <v>38836</v>
          </cell>
          <cell r="K16">
            <v>38870</v>
          </cell>
          <cell r="L16">
            <v>38870</v>
          </cell>
          <cell r="M16" t="str">
            <v>EUR</v>
          </cell>
          <cell r="N16">
            <v>-267.75</v>
          </cell>
          <cell r="O16" t="str">
            <v>COP</v>
          </cell>
          <cell r="P16">
            <v>-780225</v>
          </cell>
          <cell r="Q16">
            <v>-854011</v>
          </cell>
          <cell r="R16">
            <v>0</v>
          </cell>
        </row>
        <row r="17">
          <cell r="A17" t="str">
            <v>7985060</v>
          </cell>
          <cell r="B17" t="str">
            <v>S420100000</v>
          </cell>
          <cell r="C17">
            <v>197821</v>
          </cell>
          <cell r="D17" t="str">
            <v>647119</v>
          </cell>
          <cell r="E17" t="str">
            <v>RE</v>
          </cell>
          <cell r="F17" t="str">
            <v>31</v>
          </cell>
          <cell r="G17" t="str">
            <v>939381</v>
          </cell>
          <cell r="H17" t="str">
            <v>EG06020608</v>
          </cell>
          <cell r="I17">
            <v>38754</v>
          </cell>
          <cell r="J17">
            <v>38836</v>
          </cell>
          <cell r="K17">
            <v>38870</v>
          </cell>
          <cell r="L17">
            <v>38870</v>
          </cell>
          <cell r="M17" t="str">
            <v>EUR</v>
          </cell>
          <cell r="N17">
            <v>-290.92</v>
          </cell>
          <cell r="O17" t="str">
            <v>COP</v>
          </cell>
          <cell r="P17">
            <v>-819684</v>
          </cell>
          <cell r="Q17">
            <v>-927914</v>
          </cell>
          <cell r="R17">
            <v>0</v>
          </cell>
        </row>
        <row r="18">
          <cell r="A18" t="str">
            <v>7985060</v>
          </cell>
          <cell r="B18" t="str">
            <v>S420100000</v>
          </cell>
          <cell r="C18">
            <v>197420</v>
          </cell>
          <cell r="D18" t="str">
            <v>647140</v>
          </cell>
          <cell r="E18" t="str">
            <v>RE</v>
          </cell>
          <cell r="F18" t="str">
            <v>31</v>
          </cell>
          <cell r="G18" t="str">
            <v>939381</v>
          </cell>
          <cell r="H18" t="str">
            <v>EG06020306</v>
          </cell>
          <cell r="I18">
            <v>38754</v>
          </cell>
          <cell r="J18">
            <v>38836</v>
          </cell>
          <cell r="K18">
            <v>38870</v>
          </cell>
          <cell r="L18">
            <v>38870</v>
          </cell>
          <cell r="M18" t="str">
            <v>EUR</v>
          </cell>
          <cell r="N18">
            <v>-2.16</v>
          </cell>
          <cell r="O18" t="str">
            <v>COP</v>
          </cell>
          <cell r="P18">
            <v>-6086</v>
          </cell>
          <cell r="Q18">
            <v>-6890</v>
          </cell>
          <cell r="R18">
            <v>0</v>
          </cell>
        </row>
        <row r="19">
          <cell r="A19" t="str">
            <v>7985060</v>
          </cell>
          <cell r="B19" t="str">
            <v>S420100000</v>
          </cell>
          <cell r="C19">
            <v>198013</v>
          </cell>
          <cell r="D19" t="str">
            <v>647162</v>
          </cell>
          <cell r="E19" t="str">
            <v>RE</v>
          </cell>
          <cell r="F19" t="str">
            <v>31</v>
          </cell>
          <cell r="G19" t="str">
            <v>939381</v>
          </cell>
          <cell r="H19" t="str">
            <v>EG06020609</v>
          </cell>
          <cell r="I19">
            <v>38754</v>
          </cell>
          <cell r="J19">
            <v>38836</v>
          </cell>
          <cell r="K19">
            <v>38870</v>
          </cell>
          <cell r="L19">
            <v>38870</v>
          </cell>
          <cell r="M19" t="str">
            <v>EUR</v>
          </cell>
          <cell r="N19">
            <v>-262.33</v>
          </cell>
          <cell r="O19" t="str">
            <v>COP</v>
          </cell>
          <cell r="P19">
            <v>-739130</v>
          </cell>
          <cell r="Q19">
            <v>-836724</v>
          </cell>
          <cell r="R19">
            <v>0</v>
          </cell>
        </row>
        <row r="20">
          <cell r="A20" t="str">
            <v>7985060</v>
          </cell>
          <cell r="B20" t="str">
            <v>S420100000</v>
          </cell>
          <cell r="C20">
            <v>169005</v>
          </cell>
          <cell r="D20" t="str">
            <v>733429</v>
          </cell>
          <cell r="E20" t="str">
            <v>RE</v>
          </cell>
          <cell r="F20" t="str">
            <v>31</v>
          </cell>
          <cell r="G20" t="str">
            <v>939381</v>
          </cell>
          <cell r="H20" t="str">
            <v>EG06050217</v>
          </cell>
          <cell r="I20">
            <v>38834</v>
          </cell>
          <cell r="J20">
            <v>38854</v>
          </cell>
          <cell r="K20">
            <v>38870</v>
          </cell>
          <cell r="L20">
            <v>38870</v>
          </cell>
          <cell r="M20" t="str">
            <v>EUR</v>
          </cell>
          <cell r="N20">
            <v>-341</v>
          </cell>
          <cell r="O20" t="str">
            <v>COP</v>
          </cell>
          <cell r="P20">
            <v>-1054309</v>
          </cell>
          <cell r="Q20">
            <v>-1087648</v>
          </cell>
          <cell r="R20">
            <v>0</v>
          </cell>
        </row>
        <row r="21">
          <cell r="A21" t="str">
            <v>7985060</v>
          </cell>
          <cell r="B21" t="str">
            <v>S420100000</v>
          </cell>
          <cell r="C21">
            <v>165808</v>
          </cell>
          <cell r="D21" t="str">
            <v>780512</v>
          </cell>
          <cell r="E21" t="str">
            <v>RE</v>
          </cell>
          <cell r="F21" t="str">
            <v>31</v>
          </cell>
          <cell r="G21" t="str">
            <v>939381</v>
          </cell>
          <cell r="H21" t="str">
            <v>EG-17747</v>
          </cell>
          <cell r="I21">
            <v>38807</v>
          </cell>
          <cell r="J21">
            <v>38861</v>
          </cell>
          <cell r="K21">
            <v>38870</v>
          </cell>
          <cell r="L21">
            <v>38870</v>
          </cell>
          <cell r="M21" t="str">
            <v>EUR</v>
          </cell>
          <cell r="N21">
            <v>-10496.32</v>
          </cell>
          <cell r="O21" t="str">
            <v>COP</v>
          </cell>
          <cell r="P21">
            <v>-30296315</v>
          </cell>
          <cell r="Q21">
            <v>-33478896</v>
          </cell>
          <cell r="R21">
            <v>0</v>
          </cell>
        </row>
      </sheetData>
      <sheetData sheetId="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Costo"/>
      <sheetName val="Costo Reexp."/>
      <sheetName val="Dep.Costo."/>
      <sheetName val="Dep.Costo. Rex"/>
      <sheetName val="Calc.G.Deprec."/>
      <sheetName val="Cal.G.Depr.Reexp."/>
      <sheetName val="ADICIONES"/>
      <sheetName val="Relac DEP-COSTO"/>
      <sheetName val="Nota"/>
      <sheetName val="An. Bajas"/>
      <sheetName val="XREF"/>
      <sheetName val="Tickmarks"/>
      <sheetName val="An.Adiciones"/>
      <sheetName val="Adiciones seleccionada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"/>
      <sheetName val="Brazil"/>
      <sheetName val="Brazil (USD)"/>
      <sheetName val="By BRM"/>
      <sheetName val="By Director"/>
      <sheetName val="By IP"/>
      <sheetName val="Pipeline"/>
      <sheetName val="Sheet1"/>
      <sheetName val="Pipeline (LastMeeting)"/>
      <sheetName val="Reports"/>
      <sheetName val="Ibero"/>
      <sheetName val="Pipeline (Lost)"/>
      <sheetName val="Customers"/>
      <sheetName val="MasterTable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>
            <v>8</v>
          </cell>
        </row>
        <row r="11">
          <cell r="B11">
            <v>9</v>
          </cell>
        </row>
        <row r="12">
          <cell r="B12">
            <v>10</v>
          </cell>
        </row>
        <row r="13">
          <cell r="B13">
            <v>11</v>
          </cell>
        </row>
        <row r="14">
          <cell r="B14">
            <v>12</v>
          </cell>
        </row>
      </sheetData>
      <sheetData sheetId="1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4201-OBB"/>
      <sheetName val="S4201-AP CO"/>
    </sheetNames>
    <sheetDataSet>
      <sheetData sheetId="0" refreshError="1"/>
      <sheetData sheetId="1">
        <row r="2">
          <cell r="A2" t="str">
            <v>420000C718</v>
          </cell>
        </row>
        <row r="3">
          <cell r="A3" t="str">
            <v>420000C718</v>
          </cell>
        </row>
        <row r="4">
          <cell r="A4" t="str">
            <v>420000C718</v>
          </cell>
        </row>
        <row r="5">
          <cell r="A5" t="str">
            <v>420000C718</v>
          </cell>
        </row>
        <row r="6">
          <cell r="A6" t="str">
            <v>420000C718</v>
          </cell>
        </row>
        <row r="7">
          <cell r="A7" t="str">
            <v>420000C718</v>
          </cell>
        </row>
        <row r="8">
          <cell r="A8" t="str">
            <v>420000C718</v>
          </cell>
        </row>
        <row r="9">
          <cell r="A9" t="str">
            <v>420000C718</v>
          </cell>
        </row>
        <row r="10">
          <cell r="A10" t="str">
            <v>420000C718</v>
          </cell>
        </row>
        <row r="11">
          <cell r="A11" t="str">
            <v>420000C718</v>
          </cell>
        </row>
        <row r="12">
          <cell r="A12" t="str">
            <v>420000C718</v>
          </cell>
        </row>
        <row r="13">
          <cell r="A13" t="str">
            <v>420000C718</v>
          </cell>
        </row>
        <row r="14">
          <cell r="A14" t="str">
            <v>420000C718</v>
          </cell>
        </row>
        <row r="15">
          <cell r="A15" t="str">
            <v>420000C718</v>
          </cell>
        </row>
        <row r="17">
          <cell r="A17" t="str">
            <v>420000C718</v>
          </cell>
        </row>
        <row r="18">
          <cell r="A18" t="str">
            <v>420000C718</v>
          </cell>
        </row>
        <row r="19">
          <cell r="A19" t="str">
            <v>420000C718</v>
          </cell>
        </row>
        <row r="20">
          <cell r="A20" t="str">
            <v>420000C718</v>
          </cell>
        </row>
        <row r="21">
          <cell r="A21" t="str">
            <v>420000C718</v>
          </cell>
        </row>
        <row r="22">
          <cell r="A22" t="str">
            <v>420000C718</v>
          </cell>
        </row>
        <row r="23">
          <cell r="A23" t="str">
            <v>420000C718</v>
          </cell>
        </row>
        <row r="24">
          <cell r="A24" t="str">
            <v>420000C718</v>
          </cell>
        </row>
        <row r="25">
          <cell r="A25" t="str">
            <v>420000C718</v>
          </cell>
        </row>
        <row r="26">
          <cell r="A26" t="str">
            <v>420000C718</v>
          </cell>
        </row>
        <row r="27">
          <cell r="A27" t="str">
            <v>420000C718</v>
          </cell>
        </row>
        <row r="28">
          <cell r="A28" t="str">
            <v>420000C718</v>
          </cell>
        </row>
        <row r="29">
          <cell r="A29" t="str">
            <v>420000C718</v>
          </cell>
        </row>
        <row r="30">
          <cell r="A30" t="str">
            <v>420000C718</v>
          </cell>
        </row>
        <row r="31">
          <cell r="A31" t="str">
            <v>420000C718</v>
          </cell>
        </row>
        <row r="32">
          <cell r="A32" t="str">
            <v>420000C718</v>
          </cell>
        </row>
        <row r="33">
          <cell r="A33" t="str">
            <v>420000C718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  <sheetName val="Senior Debt"/>
    </sheetNames>
    <sheetDataSet>
      <sheetData sheetId="0">
        <row r="6">
          <cell r="B6">
            <v>25651.200000000001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>
            <v>25651.200000000001</v>
          </cell>
        </row>
      </sheetData>
      <sheetData sheetId="14">
        <row r="6">
          <cell r="B6">
            <v>25651.200000000001</v>
          </cell>
        </row>
      </sheetData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s y Gastos - final"/>
      <sheetName val="Asignaciones final"/>
      <sheetName val="Costos y Gastos"/>
      <sheetName val="Asignaciones"/>
      <sheetName val="Compras-Costo Vehículos"/>
      <sheetName val="Compras-Costo Repuestos"/>
      <sheetName val="Vtas-Costo Vehículos"/>
      <sheetName val="Vtas-Costo Repuestos"/>
      <sheetName val="Vtas-Costo Taller"/>
      <sheetName val="Marcas Estándar"/>
      <sheetName val="XREF"/>
      <sheetName val="Compras Veh."/>
      <sheetName val="compras Rep."/>
      <sheetName val="Import. Rep."/>
      <sheetName val="#REF"/>
      <sheetName val="COSTO ACUM -AGO-04"/>
      <sheetName val="MOI"/>
      <sheetName val="CIF 2004"/>
      <sheetName val="MMA"/>
      <sheetName val="Análisis APT"/>
      <sheetName val="Horas Extras"/>
      <sheetName val="Tickmarks"/>
      <sheetName val="Detalle"/>
      <sheetName val="Análisis (Ajustado)"/>
      <sheetName val="MMA (Dic)"/>
      <sheetName val="APT"/>
      <sheetName val="Honorarios"/>
      <sheetName val="Análisis"/>
      <sheetName val="Límite"/>
      <sheetName val="Tabla"/>
      <sheetName val="Movimiento"/>
      <sheetName val="Datos"/>
      <sheetName val="STAR"/>
      <sheetName val="Base Star"/>
      <sheetName val="Lista de Aplicación STAR"/>
      <sheetName val="APT "/>
      <sheetName val="Costo de Ventas"/>
      <sheetName val="Revisión Analítica"/>
      <sheetName val="Revisión Mensual"/>
      <sheetName val="Evolución de Pre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imiento Inventarios"/>
      <sheetName val="Conciliación listado"/>
      <sheetName val="Toma física y valuación"/>
      <sheetName val="MMA Compras Final"/>
      <sheetName val="MMA"/>
      <sheetName val="APT Compras de Inventario"/>
      <sheetName val="Pasivos No registrados"/>
      <sheetName val="MMA Imp. tránsito"/>
      <sheetName val="Inv. Transito Final"/>
      <sheetName val="Impor. en Tránsito"/>
      <sheetName val="Mov. Baja Inventarios"/>
      <sheetName val="Listado"/>
      <sheetName val="Toma Física Agosto 2006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MPARATIVO MR"/>
      <sheetName val="13000 ATÉ 31DEZ05"/>
      <sheetName val="COMPARATIVO R$original"/>
      <sheetName val="COMPARATIVO R$só outros "/>
      <sheetName val="COMPARATIVO R$só faturas"/>
      <sheetName val="S420100001 e TR"/>
      <sheetName val="119 - SPO"/>
      <sheetName val="139  - AllisonDivision"/>
      <sheetName val="450 - Holden"/>
      <sheetName val="552 5E4 5F8 - EUROP OPEL ESPANH"/>
      <sheetName val="5E5 - PWTStrasbourg "/>
      <sheetName val="5H5 - ISUZU"/>
      <sheetName val="610 - AfricaSul"/>
      <sheetName val="705 - Chile"/>
      <sheetName val="708 - México"/>
      <sheetName val="718 - Colmotores"/>
      <sheetName val="732 - Argentina"/>
      <sheetName val="9F4 - Hungary "/>
      <sheetName val="5F1 - AllisoEurope"/>
      <sheetName val="9B6 - Shanghai"/>
      <sheetName val="Não Aliado - eximtrade"/>
      <sheetName val="S441100002"/>
      <sheetName val="14000 SALDO DEZ2005"/>
      <sheetName val="Aging - S441100002"/>
      <sheetName val="não considera como fatura"/>
      <sheetName val="Lista do que não consta no ext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SEPTIEMBRE"/>
      <sheetName val="BG"/>
      <sheetName val="PG"/>
    </sheetNames>
    <sheetDataSet>
      <sheetData sheetId="0" refreshError="1">
        <row r="9">
          <cell r="E9" t="str">
            <v>ACTIVO</v>
          </cell>
          <cell r="F9" t="str">
            <v>ACTIVO</v>
          </cell>
        </row>
        <row r="11">
          <cell r="E11">
            <v>2000000000</v>
          </cell>
          <cell r="F11">
            <v>2000000000</v>
          </cell>
          <cell r="I11" t="str">
            <v>GASTOS DE CONSTITUCION</v>
          </cell>
          <cell r="K11">
            <v>5621.65</v>
          </cell>
          <cell r="M11">
            <v>5621.65</v>
          </cell>
          <cell r="O11">
            <v>0</v>
          </cell>
        </row>
        <row r="12">
          <cell r="E12">
            <v>2000000000</v>
          </cell>
          <cell r="F12" t="str">
            <v>2000000000 Gastos de constitución</v>
          </cell>
          <cell r="K12">
            <v>5621.65</v>
          </cell>
          <cell r="M12">
            <v>5621.65</v>
          </cell>
          <cell r="O12">
            <v>0</v>
          </cell>
          <cell r="R12" t="str">
            <v>*6*</v>
          </cell>
        </row>
        <row r="13">
          <cell r="E13">
            <v>2130000000</v>
          </cell>
          <cell r="F13">
            <v>2130000000</v>
          </cell>
          <cell r="I13" t="str">
            <v>FONDO DE COMERCIO. COSTO</v>
          </cell>
          <cell r="K13">
            <v>3155863.61</v>
          </cell>
          <cell r="M13">
            <v>3155863.61</v>
          </cell>
          <cell r="O13">
            <v>0</v>
          </cell>
        </row>
        <row r="14">
          <cell r="E14">
            <v>2130000000</v>
          </cell>
          <cell r="F14" t="str">
            <v>2130000000 Fondo de comercio</v>
          </cell>
          <cell r="K14">
            <v>3155863.61</v>
          </cell>
          <cell r="M14">
            <v>3155863.61</v>
          </cell>
          <cell r="O14">
            <v>0</v>
          </cell>
          <cell r="R14" t="str">
            <v>*6*</v>
          </cell>
        </row>
        <row r="15">
          <cell r="E15">
            <v>2151000000</v>
          </cell>
          <cell r="F15">
            <v>2151000000</v>
          </cell>
          <cell r="I15" t="str">
            <v>APLICACIONES INFORMATICAS TERMINADAS. C</v>
          </cell>
          <cell r="K15">
            <v>29548.25</v>
          </cell>
          <cell r="M15">
            <v>29548.25</v>
          </cell>
          <cell r="O15">
            <v>0</v>
          </cell>
        </row>
        <row r="16">
          <cell r="E16">
            <v>2151000000</v>
          </cell>
          <cell r="F16" t="str">
            <v>2151000000 Aplicaciones informáticas</v>
          </cell>
          <cell r="K16">
            <v>29548.25</v>
          </cell>
          <cell r="M16">
            <v>29548.25</v>
          </cell>
          <cell r="O16">
            <v>0</v>
          </cell>
          <cell r="R16" t="str">
            <v>*6*</v>
          </cell>
        </row>
        <row r="17">
          <cell r="E17" t="str">
            <v>****COSTO</v>
          </cell>
          <cell r="F17" t="str">
            <v>****COSTO BRUTO INMOV. INMATERIAL</v>
          </cell>
          <cell r="K17">
            <v>3191033.51</v>
          </cell>
          <cell r="M17">
            <v>3191033.51</v>
          </cell>
          <cell r="O17">
            <v>0</v>
          </cell>
          <cell r="R17" t="str">
            <v>*4*</v>
          </cell>
        </row>
        <row r="18">
          <cell r="E18" t="str">
            <v>==========</v>
          </cell>
          <cell r="F18" t="str">
            <v>=============================================</v>
          </cell>
        </row>
        <row r="19">
          <cell r="E19">
            <v>8302281300</v>
          </cell>
          <cell r="F19">
            <v>8302281300</v>
          </cell>
          <cell r="I19" t="str">
            <v>AMORTIZACION ACUMULADA DEL FONDO DE COM</v>
          </cell>
          <cell r="K19">
            <v>-1519043.57</v>
          </cell>
          <cell r="M19">
            <v>-1481480.3</v>
          </cell>
          <cell r="O19">
            <v>-37563.269999999997</v>
          </cell>
          <cell r="Q19">
            <v>-2.5</v>
          </cell>
        </row>
        <row r="20">
          <cell r="E20">
            <v>2813000000</v>
          </cell>
          <cell r="F20" t="str">
            <v>2813000000 Amort. acum. fondo de comercio</v>
          </cell>
          <cell r="K20">
            <v>-1519043.57</v>
          </cell>
          <cell r="M20">
            <v>-1481480.3</v>
          </cell>
          <cell r="O20">
            <v>-37563.269999999997</v>
          </cell>
          <cell r="Q20">
            <v>-2.5</v>
          </cell>
          <cell r="R20" t="str">
            <v>*6*</v>
          </cell>
        </row>
        <row r="21">
          <cell r="E21" t="str">
            <v>****AMORTI</v>
          </cell>
          <cell r="F21" t="str">
            <v>****AMORTIZ. ACUM. INMOV. INMATERIAL</v>
          </cell>
          <cell r="K21">
            <v>-1519043.57</v>
          </cell>
          <cell r="M21">
            <v>-1481480.3</v>
          </cell>
          <cell r="O21">
            <v>-37563.269999999997</v>
          </cell>
          <cell r="Q21">
            <v>-2.5</v>
          </cell>
          <cell r="R21" t="str">
            <v>*4*</v>
          </cell>
        </row>
        <row r="22">
          <cell r="E22" t="str">
            <v>==========</v>
          </cell>
          <cell r="F22" t="str">
            <v>=============================================</v>
          </cell>
        </row>
        <row r="23">
          <cell r="E23" t="str">
            <v>TOTAL INMOVILIZADO INMATERIAL</v>
          </cell>
          <cell r="F23" t="str">
            <v>TOTAL INMOVILIZADO INMATERIAL</v>
          </cell>
          <cell r="K23">
            <v>1671989.94</v>
          </cell>
          <cell r="M23">
            <v>1709553.21</v>
          </cell>
          <cell r="O23">
            <v>-37563.269999999997</v>
          </cell>
          <cell r="Q23">
            <v>-2.2000000000000002</v>
          </cell>
          <cell r="R23" t="str">
            <v>*3*</v>
          </cell>
        </row>
        <row r="24">
          <cell r="E24" t="str">
            <v>==========</v>
          </cell>
          <cell r="F24" t="str">
            <v>=============================================</v>
          </cell>
        </row>
        <row r="26">
          <cell r="E26">
            <v>2200300000</v>
          </cell>
          <cell r="F26">
            <v>2200300000</v>
          </cell>
          <cell r="I26" t="str">
            <v>TERRENOS DE ESTACIONES DE SERVICIO. COS</v>
          </cell>
          <cell r="K26">
            <v>21892.41</v>
          </cell>
          <cell r="M26">
            <v>21892.41</v>
          </cell>
          <cell r="O26">
            <v>0</v>
          </cell>
        </row>
        <row r="27">
          <cell r="E27">
            <v>2200300000</v>
          </cell>
          <cell r="F27" t="str">
            <v>2200300000 Terrenos de estaciones de servicio</v>
          </cell>
          <cell r="K27">
            <v>21892.41</v>
          </cell>
          <cell r="M27">
            <v>21892.41</v>
          </cell>
          <cell r="O27">
            <v>0</v>
          </cell>
          <cell r="R27" t="str">
            <v>*6*</v>
          </cell>
        </row>
        <row r="28">
          <cell r="E28">
            <v>2200390000</v>
          </cell>
          <cell r="F28">
            <v>2200390000</v>
          </cell>
          <cell r="I28" t="str">
            <v>TERRENOS PARA OTRAS INSTALACIONES. COST</v>
          </cell>
          <cell r="K28">
            <v>50000</v>
          </cell>
          <cell r="M28">
            <v>50000</v>
          </cell>
          <cell r="O28">
            <v>0</v>
          </cell>
        </row>
        <row r="29">
          <cell r="E29">
            <v>2200390000</v>
          </cell>
          <cell r="F29" t="str">
            <v>2200390000 Terrenos para otras instalaciones</v>
          </cell>
          <cell r="K29">
            <v>50000</v>
          </cell>
          <cell r="M29">
            <v>50000</v>
          </cell>
          <cell r="O29">
            <v>0</v>
          </cell>
          <cell r="R29" t="str">
            <v>*6*</v>
          </cell>
        </row>
        <row r="30">
          <cell r="K30">
            <v>71892.41</v>
          </cell>
          <cell r="M30">
            <v>71892.41</v>
          </cell>
          <cell r="O30">
            <v>0</v>
          </cell>
          <cell r="R30" t="str">
            <v>*5*</v>
          </cell>
        </row>
        <row r="31">
          <cell r="E31">
            <v>2210200000</v>
          </cell>
          <cell r="F31">
            <v>2210200000</v>
          </cell>
          <cell r="I31" t="str">
            <v>EDIFICIOS EN ESTACIONES DE SERVICIO. CO</v>
          </cell>
          <cell r="K31">
            <v>90948.24</v>
          </cell>
          <cell r="M31">
            <v>90948.24</v>
          </cell>
          <cell r="O31">
            <v>0</v>
          </cell>
        </row>
        <row r="32">
          <cell r="E32">
            <v>2210200000</v>
          </cell>
          <cell r="F32" t="str">
            <v>2210200000 Edificios en estac. de servicio</v>
          </cell>
          <cell r="K32">
            <v>90948.24</v>
          </cell>
          <cell r="M32">
            <v>90948.24</v>
          </cell>
          <cell r="O32">
            <v>0</v>
          </cell>
          <cell r="R32" t="str">
            <v>*6*</v>
          </cell>
        </row>
        <row r="33">
          <cell r="K33">
            <v>90948.24</v>
          </cell>
          <cell r="M33">
            <v>90948.24</v>
          </cell>
          <cell r="O33">
            <v>0</v>
          </cell>
          <cell r="R33" t="str">
            <v>*5*</v>
          </cell>
        </row>
        <row r="34">
          <cell r="E34">
            <v>2220200000</v>
          </cell>
          <cell r="F34">
            <v>2220200000</v>
          </cell>
          <cell r="I34" t="str">
            <v>INSTALACIONES DE CARGADEROS Y DESCARGAD</v>
          </cell>
          <cell r="K34">
            <v>959971.77</v>
          </cell>
          <cell r="M34">
            <v>959971.77</v>
          </cell>
          <cell r="O34">
            <v>0</v>
          </cell>
        </row>
        <row r="35">
          <cell r="E35">
            <v>2220200000</v>
          </cell>
          <cell r="F35" t="str">
            <v>2220200000 Instalac. de cargadero y descarg.</v>
          </cell>
          <cell r="K35">
            <v>959971.77</v>
          </cell>
          <cell r="M35">
            <v>959971.77</v>
          </cell>
          <cell r="O35">
            <v>0</v>
          </cell>
          <cell r="R35" t="str">
            <v>*6*</v>
          </cell>
        </row>
        <row r="36">
          <cell r="E36">
            <v>2220600000</v>
          </cell>
          <cell r="F36">
            <v>2220600000</v>
          </cell>
          <cell r="I36" t="str">
            <v>INSTALACIONES DE ESTACIONES DE SERVICIO</v>
          </cell>
          <cell r="K36">
            <v>4413610.58</v>
          </cell>
          <cell r="M36">
            <v>4413610.58</v>
          </cell>
          <cell r="O36">
            <v>0</v>
          </cell>
        </row>
        <row r="37">
          <cell r="E37">
            <v>2220600000</v>
          </cell>
          <cell r="F37" t="str">
            <v>2220600000 Instalaciones de EE.SS.</v>
          </cell>
          <cell r="K37">
            <v>4413610.58</v>
          </cell>
          <cell r="M37">
            <v>4413610.58</v>
          </cell>
          <cell r="O37">
            <v>0</v>
          </cell>
          <cell r="R37" t="str">
            <v>*6*</v>
          </cell>
        </row>
        <row r="38">
          <cell r="K38">
            <v>5373582.3499999996</v>
          </cell>
          <cell r="M38">
            <v>5373582.3499999996</v>
          </cell>
          <cell r="O38">
            <v>0</v>
          </cell>
          <cell r="R38" t="str">
            <v>*5*</v>
          </cell>
        </row>
        <row r="39">
          <cell r="E39">
            <v>2260000000</v>
          </cell>
          <cell r="F39">
            <v>2260000000</v>
          </cell>
          <cell r="I39" t="str">
            <v>MOBILIARIO</v>
          </cell>
          <cell r="K39">
            <v>20409.04</v>
          </cell>
          <cell r="M39">
            <v>20409.04</v>
          </cell>
          <cell r="O39">
            <v>0</v>
          </cell>
        </row>
        <row r="40">
          <cell r="E40">
            <v>2260000000</v>
          </cell>
          <cell r="F40" t="str">
            <v>2260000000 Mobiliario</v>
          </cell>
          <cell r="K40">
            <v>20409.04</v>
          </cell>
          <cell r="M40">
            <v>20409.04</v>
          </cell>
          <cell r="O40">
            <v>0</v>
          </cell>
          <cell r="R40" t="str">
            <v>*6*</v>
          </cell>
        </row>
        <row r="41">
          <cell r="E41">
            <v>2260100000</v>
          </cell>
          <cell r="F41">
            <v>2260100000</v>
          </cell>
          <cell r="I41" t="str">
            <v>EQUIPOS DE OFICINA. COSTO</v>
          </cell>
          <cell r="K41">
            <v>12771.56</v>
          </cell>
          <cell r="M41">
            <v>12771.56</v>
          </cell>
          <cell r="O41">
            <v>0</v>
          </cell>
        </row>
        <row r="42">
          <cell r="E42">
            <v>2260100000</v>
          </cell>
          <cell r="F42" t="str">
            <v>2260100000 Equipo de oficina</v>
          </cell>
          <cell r="K42">
            <v>12771.56</v>
          </cell>
          <cell r="M42">
            <v>12771.56</v>
          </cell>
          <cell r="O42">
            <v>0</v>
          </cell>
          <cell r="R42" t="str">
            <v>*6*</v>
          </cell>
        </row>
        <row r="43">
          <cell r="E43">
            <v>2260200000</v>
          </cell>
          <cell r="F43">
            <v>2260200000</v>
          </cell>
          <cell r="I43" t="str">
            <v>ENSERES DIVERSOS. COSTO</v>
          </cell>
          <cell r="K43">
            <v>335.11</v>
          </cell>
          <cell r="M43">
            <v>335.11</v>
          </cell>
          <cell r="O43">
            <v>0</v>
          </cell>
        </row>
        <row r="44">
          <cell r="E44">
            <v>2260200000</v>
          </cell>
          <cell r="F44" t="str">
            <v>2260200000 Enseres diversos</v>
          </cell>
          <cell r="K44">
            <v>335.11</v>
          </cell>
          <cell r="M44">
            <v>335.11</v>
          </cell>
          <cell r="O44">
            <v>0</v>
          </cell>
          <cell r="R44" t="str">
            <v>*6*</v>
          </cell>
        </row>
        <row r="45">
          <cell r="K45">
            <v>33515.71</v>
          </cell>
          <cell r="M45">
            <v>33515.71</v>
          </cell>
          <cell r="O45">
            <v>0</v>
          </cell>
          <cell r="R45" t="str">
            <v>*5*</v>
          </cell>
        </row>
        <row r="46">
          <cell r="E46">
            <v>2270000000</v>
          </cell>
          <cell r="F46">
            <v>2270000000</v>
          </cell>
          <cell r="I46" t="str">
            <v>EQUIPOS PARA PROCESO DE DATOS. COSTO</v>
          </cell>
          <cell r="K46">
            <v>17257.53</v>
          </cell>
          <cell r="M46">
            <v>17257.53</v>
          </cell>
          <cell r="O46">
            <v>0</v>
          </cell>
        </row>
        <row r="47">
          <cell r="E47">
            <v>2270000000</v>
          </cell>
          <cell r="F47" t="str">
            <v>2270000000 Equipo para proceso de datos</v>
          </cell>
          <cell r="K47">
            <v>17257.53</v>
          </cell>
          <cell r="M47">
            <v>17257.53</v>
          </cell>
          <cell r="O47">
            <v>0</v>
          </cell>
          <cell r="R47" t="str">
            <v>*6*</v>
          </cell>
        </row>
        <row r="48">
          <cell r="K48">
            <v>17257.53</v>
          </cell>
          <cell r="M48">
            <v>17257.53</v>
          </cell>
          <cell r="O48">
            <v>0</v>
          </cell>
          <cell r="R48" t="str">
            <v>*5*</v>
          </cell>
        </row>
        <row r="49">
          <cell r="E49">
            <v>2280000000</v>
          </cell>
          <cell r="F49">
            <v>2280000000</v>
          </cell>
          <cell r="I49" t="str">
            <v>ELEMENTOS DE TRANSPORTE POR CARRETERA.</v>
          </cell>
          <cell r="K49">
            <v>15859.39</v>
          </cell>
          <cell r="M49">
            <v>15859.39</v>
          </cell>
          <cell r="O49">
            <v>0</v>
          </cell>
        </row>
        <row r="50">
          <cell r="E50">
            <v>2280000000</v>
          </cell>
          <cell r="F50" t="str">
            <v>2280000000 Elementos de transp. por carretera</v>
          </cell>
          <cell r="K50">
            <v>15859.39</v>
          </cell>
          <cell r="M50">
            <v>15859.39</v>
          </cell>
          <cell r="O50">
            <v>0</v>
          </cell>
          <cell r="R50" t="str">
            <v>*6*</v>
          </cell>
        </row>
        <row r="51">
          <cell r="K51">
            <v>15859.39</v>
          </cell>
          <cell r="M51">
            <v>15859.39</v>
          </cell>
          <cell r="O51">
            <v>0</v>
          </cell>
          <cell r="R51" t="str">
            <v>*5*</v>
          </cell>
        </row>
        <row r="52">
          <cell r="E52" t="str">
            <v>****COSTO</v>
          </cell>
          <cell r="F52" t="str">
            <v>****COSTO BRUTO INMOV. MATERIAL</v>
          </cell>
          <cell r="K52">
            <v>5603055.6299999999</v>
          </cell>
          <cell r="M52">
            <v>5603055.6299999999</v>
          </cell>
          <cell r="O52">
            <v>0</v>
          </cell>
          <cell r="R52" t="str">
            <v>*4*</v>
          </cell>
        </row>
        <row r="53">
          <cell r="E53">
            <v>8302282100</v>
          </cell>
          <cell r="F53">
            <v>8302282100</v>
          </cell>
          <cell r="I53" t="str">
            <v>AMORTIZACION ACUMULADA DE EDIFICIOS EN</v>
          </cell>
          <cell r="K53">
            <v>-53341.01</v>
          </cell>
          <cell r="M53">
            <v>-52648.94</v>
          </cell>
          <cell r="O53">
            <v>-692.07</v>
          </cell>
          <cell r="Q53">
            <v>-1.3</v>
          </cell>
        </row>
        <row r="54">
          <cell r="E54">
            <v>2821000000</v>
          </cell>
          <cell r="F54" t="str">
            <v>2821000000 Amort. acum. edificios EE.SS.</v>
          </cell>
          <cell r="K54">
            <v>-53341.01</v>
          </cell>
          <cell r="M54">
            <v>-52648.94</v>
          </cell>
          <cell r="O54">
            <v>-692.07</v>
          </cell>
          <cell r="Q54">
            <v>-1.3</v>
          </cell>
          <cell r="R54" t="str">
            <v>*6*</v>
          </cell>
        </row>
        <row r="55">
          <cell r="E55">
            <v>8302282200</v>
          </cell>
          <cell r="F55">
            <v>8302282200</v>
          </cell>
          <cell r="I55" t="str">
            <v>AMZ. ACUMULADA DE INSTALACIONES DE EE.S</v>
          </cell>
          <cell r="K55">
            <v>-1065013.8799999999</v>
          </cell>
          <cell r="M55">
            <v>-1061639.6499999999</v>
          </cell>
          <cell r="O55">
            <v>-3374.23</v>
          </cell>
          <cell r="Q55">
            <v>-0.3</v>
          </cell>
        </row>
        <row r="56">
          <cell r="E56">
            <v>2822000000</v>
          </cell>
          <cell r="F56" t="str">
            <v>2822000000 Amort. acum. instalac. EE.SS.</v>
          </cell>
          <cell r="K56">
            <v>-1065013.8799999999</v>
          </cell>
          <cell r="M56">
            <v>-1061639.6499999999</v>
          </cell>
          <cell r="O56">
            <v>-3374.23</v>
          </cell>
          <cell r="Q56">
            <v>-0.3</v>
          </cell>
          <cell r="R56" t="str">
            <v>*6*</v>
          </cell>
        </row>
        <row r="57">
          <cell r="E57">
            <v>8302282201</v>
          </cell>
          <cell r="F57">
            <v>8302282201</v>
          </cell>
          <cell r="I57" t="str">
            <v>AMZ. ACUMULADA DE INST. DE ALMACENAMIEN</v>
          </cell>
          <cell r="K57">
            <v>-305905.34000000003</v>
          </cell>
          <cell r="M57">
            <v>-271642.82</v>
          </cell>
          <cell r="O57">
            <v>-34262.519999999997</v>
          </cell>
          <cell r="Q57">
            <v>-12.6</v>
          </cell>
        </row>
        <row r="58">
          <cell r="E58">
            <v>2822010000</v>
          </cell>
          <cell r="F58" t="str">
            <v>2822010000 Amort. acum. instalac. de almac.</v>
          </cell>
          <cell r="K58">
            <v>-305905.34000000003</v>
          </cell>
          <cell r="M58">
            <v>-271642.82</v>
          </cell>
          <cell r="O58">
            <v>-34262.519999999997</v>
          </cell>
          <cell r="Q58">
            <v>-12.6</v>
          </cell>
          <cell r="R58" t="str">
            <v>*6*</v>
          </cell>
        </row>
        <row r="59">
          <cell r="E59">
            <v>8302282800</v>
          </cell>
          <cell r="F59">
            <v>8302282800</v>
          </cell>
          <cell r="I59" t="str">
            <v>AMZ.AC.ELEMENTOS DE TRANSPORTE POR CARR</v>
          </cell>
          <cell r="K59">
            <v>-11073.44</v>
          </cell>
          <cell r="M59">
            <v>-10898.38</v>
          </cell>
          <cell r="O59">
            <v>-175.06</v>
          </cell>
          <cell r="Q59">
            <v>-1.6</v>
          </cell>
        </row>
        <row r="60">
          <cell r="E60">
            <v>2828000000</v>
          </cell>
          <cell r="F60" t="str">
            <v>2828000000 Amz. ac. elem. de transp. x carret</v>
          </cell>
          <cell r="K60">
            <v>-11073.44</v>
          </cell>
          <cell r="M60">
            <v>-10898.38</v>
          </cell>
          <cell r="O60">
            <v>-175.06</v>
          </cell>
          <cell r="Q60">
            <v>-1.6</v>
          </cell>
          <cell r="R60" t="str">
            <v>*6*</v>
          </cell>
        </row>
        <row r="61">
          <cell r="E61" t="str">
            <v>****AMORTI</v>
          </cell>
          <cell r="F61" t="str">
            <v>****AMORTIZAC. ACUM. INMOV. MATERIAL</v>
          </cell>
          <cell r="K61">
            <v>-1435333.67</v>
          </cell>
          <cell r="M61">
            <v>-1396829.79</v>
          </cell>
          <cell r="O61">
            <v>-38503.879999999997</v>
          </cell>
          <cell r="Q61">
            <v>-2.8</v>
          </cell>
          <cell r="R61" t="str">
            <v>*4*</v>
          </cell>
        </row>
        <row r="62">
          <cell r="E62">
            <v>2310000000</v>
          </cell>
          <cell r="F62">
            <v>2310000000</v>
          </cell>
          <cell r="I62" t="str">
            <v>EDIFICIOS Y CONSTRUCCIONES EN CURSO. CO</v>
          </cell>
          <cell r="K62">
            <v>7756</v>
          </cell>
          <cell r="M62">
            <v>7756</v>
          </cell>
          <cell r="O62">
            <v>0</v>
          </cell>
        </row>
        <row r="63">
          <cell r="E63">
            <v>2310000000</v>
          </cell>
          <cell r="F63" t="str">
            <v>2310000000 Edificios y construcciones</v>
          </cell>
          <cell r="K63">
            <v>7756</v>
          </cell>
          <cell r="M63">
            <v>7756</v>
          </cell>
          <cell r="O63">
            <v>0</v>
          </cell>
          <cell r="R63" t="str">
            <v>*6*</v>
          </cell>
        </row>
        <row r="64">
          <cell r="E64" t="str">
            <v>****TOTAL</v>
          </cell>
          <cell r="F64" t="str">
            <v>****TOTAL INMOVILIZADOS EN CURSO</v>
          </cell>
          <cell r="K64">
            <v>7756</v>
          </cell>
          <cell r="M64">
            <v>7756</v>
          </cell>
          <cell r="O64">
            <v>0</v>
          </cell>
          <cell r="R64" t="str">
            <v>*4*</v>
          </cell>
        </row>
        <row r="65">
          <cell r="E65" t="str">
            <v>==========</v>
          </cell>
          <cell r="F65" t="str">
            <v>=============================================</v>
          </cell>
        </row>
        <row r="66">
          <cell r="E66" t="str">
            <v>TOTAL INMOVILIZADO MATERIAL</v>
          </cell>
          <cell r="F66" t="str">
            <v>***TOTAL INMOVILIZADO MATERIAL</v>
          </cell>
          <cell r="K66">
            <v>4175477.96</v>
          </cell>
          <cell r="M66">
            <v>4213981.84</v>
          </cell>
          <cell r="O66">
            <v>-38503.879999999997</v>
          </cell>
          <cell r="Q66">
            <v>-0.9</v>
          </cell>
          <cell r="R66" t="str">
            <v>*3*</v>
          </cell>
        </row>
        <row r="67">
          <cell r="E67" t="str">
            <v>==========</v>
          </cell>
          <cell r="F67" t="str">
            <v>=============================================</v>
          </cell>
        </row>
        <row r="69">
          <cell r="E69" t="str">
            <v>TOTAL INMOVILIZADO</v>
          </cell>
          <cell r="F69" t="str">
            <v>**TOTAL INMOVILIZADO</v>
          </cell>
          <cell r="K69">
            <v>5847467.9000000004</v>
          </cell>
          <cell r="M69">
            <v>5923535.0499999998</v>
          </cell>
          <cell r="O69">
            <v>-76067.149999999994</v>
          </cell>
          <cell r="Q69">
            <v>-1.3</v>
          </cell>
          <cell r="R69" t="str">
            <v>*2*</v>
          </cell>
        </row>
        <row r="70">
          <cell r="E70" t="str">
            <v>==========</v>
          </cell>
          <cell r="F70" t="str">
            <v>=============================================</v>
          </cell>
        </row>
        <row r="72">
          <cell r="E72">
            <v>3030000000</v>
          </cell>
          <cell r="F72">
            <v>3030000000</v>
          </cell>
          <cell r="I72" t="str">
            <v>EXISTENCIAS COMERCIALES DE COMBUSTIBLES</v>
          </cell>
          <cell r="K72">
            <v>19245.5</v>
          </cell>
          <cell r="M72">
            <v>19245.43</v>
          </cell>
          <cell r="O72">
            <v>7.0000000000000007E-2</v>
          </cell>
        </row>
        <row r="73">
          <cell r="E73">
            <v>3030000000</v>
          </cell>
          <cell r="F73" t="str">
            <v>3030000000 Existencias comerc. combustibles</v>
          </cell>
          <cell r="K73">
            <v>19245.5</v>
          </cell>
          <cell r="M73">
            <v>19245.43</v>
          </cell>
          <cell r="O73">
            <v>7.0000000000000007E-2</v>
          </cell>
          <cell r="R73" t="str">
            <v>*6*</v>
          </cell>
        </row>
        <row r="74">
          <cell r="K74">
            <v>19245.5</v>
          </cell>
          <cell r="M74">
            <v>19245.43</v>
          </cell>
          <cell r="O74">
            <v>7.0000000000000007E-2</v>
          </cell>
          <cell r="R74" t="str">
            <v>*5*</v>
          </cell>
        </row>
        <row r="75">
          <cell r="E75" t="str">
            <v>****PRODUC</v>
          </cell>
          <cell r="F75" t="str">
            <v>****PRODUCTOS TEMINADOS Y SUBTERMINADOS</v>
          </cell>
          <cell r="K75">
            <v>19245.5</v>
          </cell>
          <cell r="M75">
            <v>19245.43</v>
          </cell>
          <cell r="O75">
            <v>7.0000000000000007E-2</v>
          </cell>
          <cell r="R75" t="str">
            <v>*4*</v>
          </cell>
        </row>
        <row r="76">
          <cell r="E76" t="str">
            <v>***TOTAL E</v>
          </cell>
          <cell r="F76" t="str">
            <v>***TOTAL EXISTENCIAS</v>
          </cell>
          <cell r="K76">
            <v>19245.5</v>
          </cell>
          <cell r="M76">
            <v>19245.43</v>
          </cell>
          <cell r="O76">
            <v>7.0000000000000007E-2</v>
          </cell>
          <cell r="R76" t="str">
            <v>*3*</v>
          </cell>
        </row>
        <row r="77">
          <cell r="E77" t="str">
            <v>==========</v>
          </cell>
          <cell r="F77" t="str">
            <v>=============================================</v>
          </cell>
        </row>
        <row r="79">
          <cell r="E79">
            <v>4420000000</v>
          </cell>
          <cell r="F79">
            <v>4420000000</v>
          </cell>
          <cell r="I79" t="str">
            <v>DEUDORES, EMPRESAS DEL GRUPO</v>
          </cell>
          <cell r="K79">
            <v>-221.7</v>
          </cell>
          <cell r="M79">
            <v>435.7</v>
          </cell>
          <cell r="O79">
            <v>-657.4</v>
          </cell>
          <cell r="Q79">
            <v>-150.9</v>
          </cell>
        </row>
        <row r="80">
          <cell r="E80">
            <v>4420000000</v>
          </cell>
          <cell r="F80" t="str">
            <v>4420000000 Deudores empresas del grupo</v>
          </cell>
          <cell r="K80">
            <v>-221.7</v>
          </cell>
          <cell r="M80">
            <v>435.7</v>
          </cell>
          <cell r="O80">
            <v>-657.4</v>
          </cell>
          <cell r="Q80">
            <v>-150.9</v>
          </cell>
          <cell r="R80" t="str">
            <v>*6*</v>
          </cell>
        </row>
        <row r="81">
          <cell r="K81">
            <v>-221.7</v>
          </cell>
          <cell r="M81">
            <v>435.7</v>
          </cell>
          <cell r="O81">
            <v>-657.4</v>
          </cell>
          <cell r="Q81">
            <v>-150.9</v>
          </cell>
          <cell r="R81" t="str">
            <v>*5*</v>
          </cell>
        </row>
        <row r="82">
          <cell r="E82" t="str">
            <v>****CTAS.</v>
          </cell>
          <cell r="F82" t="str">
            <v>****CTAS. A COBRAR EMPR. DEL GRUPO</v>
          </cell>
          <cell r="K82">
            <v>-221.7</v>
          </cell>
          <cell r="M82">
            <v>435.7</v>
          </cell>
          <cell r="O82">
            <v>-657.4</v>
          </cell>
          <cell r="Q82">
            <v>-150.9</v>
          </cell>
          <cell r="R82" t="str">
            <v>*4*</v>
          </cell>
        </row>
        <row r="83">
          <cell r="E83">
            <v>4300000000</v>
          </cell>
          <cell r="F83">
            <v>4300000000</v>
          </cell>
          <cell r="I83" t="str">
            <v>CLIENTES</v>
          </cell>
          <cell r="K83">
            <v>2908322.03</v>
          </cell>
          <cell r="M83">
            <v>2904625.47</v>
          </cell>
          <cell r="O83">
            <v>3696.56</v>
          </cell>
          <cell r="Q83">
            <v>0.1</v>
          </cell>
        </row>
        <row r="84">
          <cell r="E84">
            <v>4300000000</v>
          </cell>
          <cell r="F84" t="str">
            <v>4300000000 Clientes</v>
          </cell>
          <cell r="K84">
            <v>2908322.03</v>
          </cell>
          <cell r="M84">
            <v>2904625.47</v>
          </cell>
          <cell r="O84">
            <v>3696.56</v>
          </cell>
          <cell r="Q84">
            <v>0.1</v>
          </cell>
          <cell r="R84" t="str">
            <v>*6*</v>
          </cell>
        </row>
        <row r="85">
          <cell r="K85">
            <v>2908322.03</v>
          </cell>
          <cell r="M85">
            <v>2904625.47</v>
          </cell>
          <cell r="O85">
            <v>3696.56</v>
          </cell>
          <cell r="Q85">
            <v>0.1</v>
          </cell>
          <cell r="R85" t="str">
            <v>*5*</v>
          </cell>
        </row>
        <row r="86">
          <cell r="E86" t="str">
            <v>****CLIENT</v>
          </cell>
          <cell r="F86" t="str">
            <v>****CLIENTES</v>
          </cell>
          <cell r="K86">
            <v>2908322.03</v>
          </cell>
          <cell r="M86">
            <v>2904625.47</v>
          </cell>
          <cell r="O86">
            <v>3696.56</v>
          </cell>
          <cell r="Q86">
            <v>0.1</v>
          </cell>
          <cell r="R86" t="str">
            <v>*4*</v>
          </cell>
        </row>
        <row r="87">
          <cell r="E87">
            <v>4720000000</v>
          </cell>
          <cell r="F87">
            <v>4720000000</v>
          </cell>
          <cell r="I87" t="str">
            <v>HACIENDA PUBLICA, IVA SOPORTADO</v>
          </cell>
          <cell r="K87">
            <v>459551.42</v>
          </cell>
          <cell r="M87">
            <v>435098.9</v>
          </cell>
          <cell r="O87">
            <v>24452.52</v>
          </cell>
          <cell r="Q87">
            <v>5.6</v>
          </cell>
        </row>
        <row r="88">
          <cell r="E88">
            <v>4720000000</v>
          </cell>
          <cell r="F88" t="str">
            <v>4720000000 Hacienda pública IVA soportado</v>
          </cell>
          <cell r="K88">
            <v>459551.42</v>
          </cell>
          <cell r="M88">
            <v>435098.9</v>
          </cell>
          <cell r="O88">
            <v>24452.52</v>
          </cell>
          <cell r="Q88">
            <v>5.6</v>
          </cell>
          <cell r="R88" t="str">
            <v>*6*</v>
          </cell>
        </row>
        <row r="89">
          <cell r="E89">
            <v>4720003001</v>
          </cell>
          <cell r="F89">
            <v>4720003001</v>
          </cell>
          <cell r="I89" t="str">
            <v>IVA PRESUNTIVO RETENIDO</v>
          </cell>
          <cell r="K89">
            <v>-1499.27</v>
          </cell>
          <cell r="M89">
            <v>-1326.37</v>
          </cell>
          <cell r="O89">
            <v>-172.9</v>
          </cell>
          <cell r="Q89">
            <v>-13</v>
          </cell>
        </row>
        <row r="90">
          <cell r="E90">
            <v>4720003001</v>
          </cell>
          <cell r="F90" t="str">
            <v>4720003001 IVA presuntivo retenido</v>
          </cell>
          <cell r="K90">
            <v>-1499.27</v>
          </cell>
          <cell r="M90">
            <v>-1326.37</v>
          </cell>
          <cell r="O90">
            <v>-172.9</v>
          </cell>
          <cell r="Q90">
            <v>-13</v>
          </cell>
          <cell r="R90" t="str">
            <v>*6*</v>
          </cell>
        </row>
        <row r="91">
          <cell r="K91">
            <v>458052.15</v>
          </cell>
          <cell r="M91">
            <v>433772.53</v>
          </cell>
          <cell r="O91">
            <v>24279.62</v>
          </cell>
          <cell r="Q91">
            <v>5.6</v>
          </cell>
          <cell r="R91" t="str">
            <v>*5*</v>
          </cell>
        </row>
        <row r="92">
          <cell r="E92">
            <v>4730099900</v>
          </cell>
          <cell r="F92">
            <v>4730099900</v>
          </cell>
          <cell r="I92" t="str">
            <v>RETENCIONES A CUENTA IMP. RENTA. OTROS</v>
          </cell>
          <cell r="K92">
            <v>432712.23</v>
          </cell>
          <cell r="M92">
            <v>432077.66</v>
          </cell>
          <cell r="O92">
            <v>634.57000000000005</v>
          </cell>
          <cell r="Q92">
            <v>0.1</v>
          </cell>
        </row>
        <row r="93">
          <cell r="E93">
            <v>4730099900</v>
          </cell>
          <cell r="F93" t="str">
            <v>4730099900 Retenc. a cta. renta. Otros</v>
          </cell>
          <cell r="K93">
            <v>432712.23</v>
          </cell>
          <cell r="M93">
            <v>432077.66</v>
          </cell>
          <cell r="O93">
            <v>634.57000000000005</v>
          </cell>
          <cell r="Q93">
            <v>0.1</v>
          </cell>
          <cell r="R93" t="str">
            <v>*6*</v>
          </cell>
        </row>
        <row r="94">
          <cell r="K94">
            <v>432712.23</v>
          </cell>
          <cell r="M94">
            <v>432077.66</v>
          </cell>
          <cell r="O94">
            <v>634.57000000000005</v>
          </cell>
          <cell r="Q94">
            <v>0.1</v>
          </cell>
          <cell r="R94" t="str">
            <v>*5*</v>
          </cell>
        </row>
        <row r="95">
          <cell r="E95" t="str">
            <v>HACIENDA DEUDORA</v>
          </cell>
          <cell r="F95" t="str">
            <v>****HACIENDA DEUDORA</v>
          </cell>
          <cell r="K95">
            <v>890764.38</v>
          </cell>
          <cell r="M95">
            <v>865850.19</v>
          </cell>
          <cell r="O95">
            <v>24914.19</v>
          </cell>
          <cell r="Q95">
            <v>2.9</v>
          </cell>
          <cell r="R95" t="str">
            <v>*4*</v>
          </cell>
        </row>
        <row r="96">
          <cell r="E96">
            <v>4170000000</v>
          </cell>
          <cell r="F96">
            <v>4170000000</v>
          </cell>
          <cell r="I96" t="str">
            <v>ANTICIPOS A ACREEDORES</v>
          </cell>
          <cell r="K96">
            <v>20044.240000000002</v>
          </cell>
          <cell r="M96">
            <v>19875.12</v>
          </cell>
          <cell r="O96">
            <v>169.12</v>
          </cell>
          <cell r="Q96">
            <v>0.9</v>
          </cell>
        </row>
        <row r="97">
          <cell r="E97">
            <v>4170000000</v>
          </cell>
          <cell r="F97" t="str">
            <v>4170000000 Anticipos a acreedores</v>
          </cell>
          <cell r="K97">
            <v>20044.240000000002</v>
          </cell>
          <cell r="M97">
            <v>19875.12</v>
          </cell>
          <cell r="O97">
            <v>169.12</v>
          </cell>
          <cell r="Q97">
            <v>0.9</v>
          </cell>
          <cell r="R97" t="str">
            <v>*6*</v>
          </cell>
        </row>
        <row r="98">
          <cell r="K98">
            <v>20044.240000000002</v>
          </cell>
          <cell r="M98">
            <v>19875.12</v>
          </cell>
          <cell r="O98">
            <v>169.12</v>
          </cell>
          <cell r="Q98">
            <v>0.9</v>
          </cell>
          <cell r="R98" t="str">
            <v>*5*</v>
          </cell>
        </row>
        <row r="99">
          <cell r="E99">
            <v>4400000000</v>
          </cell>
          <cell r="F99">
            <v>4400000000</v>
          </cell>
          <cell r="I99" t="str">
            <v>DEUDORES</v>
          </cell>
          <cell r="K99">
            <v>1657.61</v>
          </cell>
          <cell r="M99">
            <v>1657.61</v>
          </cell>
          <cell r="O99">
            <v>0</v>
          </cell>
        </row>
        <row r="100">
          <cell r="E100">
            <v>4400000000</v>
          </cell>
          <cell r="F100" t="str">
            <v>4400000000 Deudores</v>
          </cell>
          <cell r="K100">
            <v>1657.61</v>
          </cell>
          <cell r="M100">
            <v>1657.61</v>
          </cell>
          <cell r="O100">
            <v>0</v>
          </cell>
          <cell r="R100" t="str">
            <v>*6*</v>
          </cell>
        </row>
        <row r="101">
          <cell r="K101">
            <v>1657.61</v>
          </cell>
          <cell r="M101">
            <v>1657.61</v>
          </cell>
          <cell r="O101">
            <v>0</v>
          </cell>
          <cell r="R101" t="str">
            <v>*5*</v>
          </cell>
        </row>
        <row r="102">
          <cell r="E102" t="str">
            <v>DEUDORES OPERAC. TRAFICO</v>
          </cell>
          <cell r="F102" t="str">
            <v>****DEUDORES OPERAC. TRAFICO</v>
          </cell>
          <cell r="K102">
            <v>21701.85</v>
          </cell>
          <cell r="M102">
            <v>21532.73</v>
          </cell>
          <cell r="O102">
            <v>169.12</v>
          </cell>
          <cell r="Q102">
            <v>0.8</v>
          </cell>
          <cell r="R102" t="str">
            <v>*4*</v>
          </cell>
        </row>
        <row r="103">
          <cell r="E103">
            <v>4800040000</v>
          </cell>
          <cell r="F103">
            <v>4800040000</v>
          </cell>
          <cell r="I103" t="str">
            <v>GASTOS ANTICIPADOS. COMISION DE GARANTI</v>
          </cell>
          <cell r="K103">
            <v>8022.56</v>
          </cell>
          <cell r="M103">
            <v>8948.24</v>
          </cell>
          <cell r="O103">
            <v>-925.68</v>
          </cell>
          <cell r="Q103">
            <v>-10.3</v>
          </cell>
        </row>
        <row r="104">
          <cell r="E104">
            <v>4800040000</v>
          </cell>
          <cell r="F104" t="str">
            <v>4800040000 Gastos Ant. Comision de garantías</v>
          </cell>
          <cell r="K104">
            <v>8022.56</v>
          </cell>
          <cell r="M104">
            <v>8948.24</v>
          </cell>
          <cell r="O104">
            <v>-925.68</v>
          </cell>
          <cell r="Q104">
            <v>-10.3</v>
          </cell>
          <cell r="R104" t="str">
            <v>*6*</v>
          </cell>
        </row>
        <row r="105">
          <cell r="E105">
            <v>4800090000</v>
          </cell>
          <cell r="F105">
            <v>4800090000</v>
          </cell>
          <cell r="I105" t="str">
            <v>OTROS GASTOS ANTICIPADOS</v>
          </cell>
          <cell r="K105">
            <v>7410.14</v>
          </cell>
          <cell r="M105">
            <v>9879.7800000000007</v>
          </cell>
          <cell r="O105">
            <v>-2469.64</v>
          </cell>
          <cell r="Q105">
            <v>-25</v>
          </cell>
        </row>
        <row r="106">
          <cell r="E106">
            <v>4800090000</v>
          </cell>
          <cell r="F106" t="str">
            <v>4800090000 Otros gastos anticipados</v>
          </cell>
          <cell r="K106">
            <v>7410.14</v>
          </cell>
          <cell r="M106">
            <v>9879.7800000000007</v>
          </cell>
          <cell r="O106">
            <v>-2469.64</v>
          </cell>
          <cell r="Q106">
            <v>-25</v>
          </cell>
          <cell r="R106" t="str">
            <v>*6*</v>
          </cell>
        </row>
        <row r="107">
          <cell r="K107">
            <v>15432.7</v>
          </cell>
          <cell r="M107">
            <v>18828.02</v>
          </cell>
          <cell r="O107">
            <v>-3395.32</v>
          </cell>
          <cell r="Q107">
            <v>-18</v>
          </cell>
          <cell r="R107" t="str">
            <v>*5*</v>
          </cell>
        </row>
        <row r="108">
          <cell r="E108" t="str">
            <v>AJUSTES POR PERIODIFICACION</v>
          </cell>
          <cell r="F108" t="str">
            <v>****AJUSTES POR PERIODIFICACION</v>
          </cell>
          <cell r="K108">
            <v>15432.7</v>
          </cell>
          <cell r="M108">
            <v>18828.02</v>
          </cell>
          <cell r="O108">
            <v>-3395.32</v>
          </cell>
          <cell r="Q108">
            <v>-18</v>
          </cell>
          <cell r="R108" t="str">
            <v>*4*</v>
          </cell>
        </row>
        <row r="109">
          <cell r="E109">
            <v>4900000010</v>
          </cell>
          <cell r="F109">
            <v>4900000010</v>
          </cell>
          <cell r="I109" t="str">
            <v>PROVISION PARA INSOLVENCIAS DE TRAFICO</v>
          </cell>
          <cell r="K109">
            <v>-450314.08</v>
          </cell>
          <cell r="M109">
            <v>-435525.08</v>
          </cell>
          <cell r="O109">
            <v>-14789</v>
          </cell>
          <cell r="Q109">
            <v>-3.4</v>
          </cell>
        </row>
        <row r="110">
          <cell r="E110">
            <v>4900000010</v>
          </cell>
          <cell r="F110" t="str">
            <v>4900000010 Prov. para insolv. de traf. client</v>
          </cell>
          <cell r="K110">
            <v>-450314.08</v>
          </cell>
          <cell r="M110">
            <v>-435525.08</v>
          </cell>
          <cell r="O110">
            <v>-14789</v>
          </cell>
          <cell r="Q110">
            <v>-3.4</v>
          </cell>
          <cell r="R110" t="str">
            <v>*5*</v>
          </cell>
        </row>
        <row r="111">
          <cell r="E111" t="str">
            <v>PROVISION POR INSOLVENCIAS</v>
          </cell>
          <cell r="F111" t="str">
            <v>****PROVISION POR INSOLVENCIAS</v>
          </cell>
          <cell r="K111">
            <v>-450314.08</v>
          </cell>
          <cell r="M111">
            <v>-435525.08</v>
          </cell>
          <cell r="O111">
            <v>-14789</v>
          </cell>
          <cell r="Q111">
            <v>-3.4</v>
          </cell>
          <cell r="R111" t="str">
            <v>*4*</v>
          </cell>
        </row>
        <row r="112">
          <cell r="E112" t="str">
            <v>==========</v>
          </cell>
          <cell r="F112" t="str">
            <v>=============================================</v>
          </cell>
        </row>
        <row r="113">
          <cell r="E113" t="str">
            <v>TOTAL DEUDORES</v>
          </cell>
          <cell r="F113" t="str">
            <v>***TOTAL DEUDORES</v>
          </cell>
          <cell r="K113">
            <v>3385685.18</v>
          </cell>
          <cell r="M113">
            <v>3375747.03</v>
          </cell>
          <cell r="O113">
            <v>9938.15</v>
          </cell>
          <cell r="Q113">
            <v>0.3</v>
          </cell>
          <cell r="R113" t="str">
            <v>*3*</v>
          </cell>
        </row>
        <row r="114">
          <cell r="E114" t="str">
            <v>==========</v>
          </cell>
          <cell r="F114" t="str">
            <v>=============================================</v>
          </cell>
        </row>
        <row r="116">
          <cell r="E116">
            <v>5480000010</v>
          </cell>
          <cell r="F116">
            <v>5480000010</v>
          </cell>
          <cell r="I116" t="str">
            <v>DEPOSITOS A CORTO PLAZO</v>
          </cell>
          <cell r="K116">
            <v>0</v>
          </cell>
          <cell r="M116">
            <v>184000</v>
          </cell>
          <cell r="O116">
            <v>-184000</v>
          </cell>
          <cell r="Q116">
            <v>-100</v>
          </cell>
        </row>
        <row r="117">
          <cell r="E117">
            <v>5480000010</v>
          </cell>
          <cell r="F117" t="str">
            <v>5480000010 Depósitos a c.p.</v>
          </cell>
          <cell r="K117">
            <v>0</v>
          </cell>
          <cell r="M117">
            <v>184000</v>
          </cell>
          <cell r="O117">
            <v>-184000</v>
          </cell>
          <cell r="Q117">
            <v>-100</v>
          </cell>
          <cell r="R117" t="str">
            <v>*6*</v>
          </cell>
        </row>
        <row r="118">
          <cell r="E118" t="str">
            <v>TOTAL DEUDORES</v>
          </cell>
          <cell r="F118" t="str">
            <v>****INVERS. FINANCIERAS TEMPORALES</v>
          </cell>
          <cell r="K118">
            <v>0</v>
          </cell>
          <cell r="M118">
            <v>184000</v>
          </cell>
          <cell r="O118">
            <v>-184000</v>
          </cell>
          <cell r="Q118">
            <v>-100</v>
          </cell>
          <cell r="R118" t="str">
            <v>*4*</v>
          </cell>
        </row>
        <row r="119">
          <cell r="E119">
            <v>5730001000</v>
          </cell>
          <cell r="F119">
            <v>5730001000</v>
          </cell>
          <cell r="I119" t="str">
            <v>CITIBANK, CUENTA CORRIENTE, DOLARES (US</v>
          </cell>
          <cell r="K119">
            <v>48303.64</v>
          </cell>
          <cell r="M119">
            <v>0</v>
          </cell>
          <cell r="O119">
            <v>48303.64</v>
          </cell>
        </row>
        <row r="120">
          <cell r="E120">
            <v>5730001000</v>
          </cell>
          <cell r="F120" t="str">
            <v>5730001000 Citibank cta. cte. USD C1</v>
          </cell>
          <cell r="K120">
            <v>48303.64</v>
          </cell>
          <cell r="M120">
            <v>0</v>
          </cell>
          <cell r="O120">
            <v>48303.64</v>
          </cell>
          <cell r="R120" t="str">
            <v>*8*</v>
          </cell>
        </row>
        <row r="121">
          <cell r="E121">
            <v>5731511000</v>
          </cell>
          <cell r="F121">
            <v>5731511000</v>
          </cell>
          <cell r="I121" t="str">
            <v>PACIFICO,CUENTA CORRIENTE, SUCRE ECUATO</v>
          </cell>
          <cell r="K121">
            <v>130470.27</v>
          </cell>
          <cell r="M121">
            <v>424.03</v>
          </cell>
          <cell r="O121">
            <v>130046.24</v>
          </cell>
          <cell r="Q121">
            <v>30669.1</v>
          </cell>
        </row>
        <row r="122">
          <cell r="E122">
            <v>5731511000</v>
          </cell>
          <cell r="F122" t="str">
            <v>5731511000 Bco. Pacífico cta.cte. sucre ec.</v>
          </cell>
          <cell r="K122">
            <v>130470.27</v>
          </cell>
          <cell r="M122">
            <v>424.03</v>
          </cell>
          <cell r="O122">
            <v>130046.24</v>
          </cell>
          <cell r="Q122">
            <v>30669.1</v>
          </cell>
          <cell r="R122" t="str">
            <v>*8*</v>
          </cell>
        </row>
        <row r="123">
          <cell r="E123">
            <v>5730011100</v>
          </cell>
          <cell r="F123">
            <v>5730011100</v>
          </cell>
          <cell r="I123" t="str">
            <v>INTERNACIONAL, CUENTA CORRIENTE, DOLARE</v>
          </cell>
          <cell r="K123">
            <v>491372.01</v>
          </cell>
          <cell r="M123">
            <v>267480.03999999998</v>
          </cell>
          <cell r="O123">
            <v>223891.97</v>
          </cell>
          <cell r="Q123">
            <v>83.7</v>
          </cell>
        </row>
        <row r="124">
          <cell r="E124">
            <v>5730011100</v>
          </cell>
          <cell r="F124" t="str">
            <v>5730011100 Internacional cta.cte. USD</v>
          </cell>
          <cell r="K124">
            <v>491372.01</v>
          </cell>
          <cell r="M124">
            <v>267480.03999999998</v>
          </cell>
          <cell r="O124">
            <v>223891.97</v>
          </cell>
          <cell r="Q124">
            <v>83.7</v>
          </cell>
          <cell r="R124" t="str">
            <v>*7*</v>
          </cell>
        </row>
        <row r="125">
          <cell r="E125">
            <v>5731511100</v>
          </cell>
          <cell r="F125">
            <v>5731511100</v>
          </cell>
          <cell r="I125" t="str">
            <v>INTERNACIONAL, CUENTA CORRIENTE, SUCRE</v>
          </cell>
          <cell r="K125">
            <v>0</v>
          </cell>
          <cell r="M125">
            <v>376.2</v>
          </cell>
          <cell r="O125">
            <v>-376.2</v>
          </cell>
          <cell r="Q125">
            <v>-100</v>
          </cell>
        </row>
        <row r="126">
          <cell r="E126">
            <v>5731511100</v>
          </cell>
          <cell r="F126" t="str">
            <v>5731511100 Internacional cta.cte. Sucre ec.</v>
          </cell>
          <cell r="K126">
            <v>0</v>
          </cell>
          <cell r="M126">
            <v>376.2</v>
          </cell>
          <cell r="O126">
            <v>-376.2</v>
          </cell>
          <cell r="Q126">
            <v>-100</v>
          </cell>
          <cell r="R126" t="str">
            <v>*7*</v>
          </cell>
        </row>
        <row r="127">
          <cell r="E127">
            <v>5730016600</v>
          </cell>
          <cell r="F127">
            <v>5730016600</v>
          </cell>
          <cell r="I127" t="str">
            <v>BANCO GUAYAQUIL, CUENTA CORRIENTE, USD,</v>
          </cell>
          <cell r="K127">
            <v>0</v>
          </cell>
          <cell r="M127">
            <v>21682.07</v>
          </cell>
          <cell r="O127">
            <v>-21682.07</v>
          </cell>
          <cell r="Q127">
            <v>-100</v>
          </cell>
        </row>
        <row r="128">
          <cell r="E128">
            <v>5730016600</v>
          </cell>
          <cell r="F128" t="str">
            <v>5730016600 Banco Guayaquil cta.cte. USD C1</v>
          </cell>
          <cell r="K128">
            <v>0</v>
          </cell>
          <cell r="M128">
            <v>21682.07</v>
          </cell>
          <cell r="O128">
            <v>-21682.07</v>
          </cell>
          <cell r="Q128">
            <v>-100</v>
          </cell>
          <cell r="R128" t="str">
            <v>*7*</v>
          </cell>
        </row>
        <row r="129">
          <cell r="E129" t="str">
            <v>CAJA Y BANCOS</v>
          </cell>
          <cell r="K129">
            <v>670145.92000000004</v>
          </cell>
          <cell r="M129">
            <v>289962.34000000003</v>
          </cell>
          <cell r="O129">
            <v>380183.58</v>
          </cell>
          <cell r="Q129">
            <v>131.1</v>
          </cell>
          <cell r="R129" t="str">
            <v>*4*</v>
          </cell>
        </row>
        <row r="130">
          <cell r="E130" t="str">
            <v>=============================================</v>
          </cell>
        </row>
        <row r="131">
          <cell r="E131" t="str">
            <v>TOTAL CTAS. FINANCIERAS C.P.</v>
          </cell>
          <cell r="K131">
            <v>670145.92000000004</v>
          </cell>
          <cell r="M131">
            <v>473962.34</v>
          </cell>
          <cell r="O131">
            <v>196183.58</v>
          </cell>
          <cell r="Q131">
            <v>41.4</v>
          </cell>
          <cell r="R131" t="str">
            <v>*3*</v>
          </cell>
        </row>
        <row r="132">
          <cell r="E132" t="str">
            <v>=============================================</v>
          </cell>
        </row>
        <row r="134">
          <cell r="E134" t="str">
            <v>TOTAL ACTIVO CIRCULANTE</v>
          </cell>
          <cell r="K134">
            <v>4075076.6</v>
          </cell>
          <cell r="M134">
            <v>3868954.8</v>
          </cell>
          <cell r="O134">
            <v>206121.8</v>
          </cell>
          <cell r="Q134">
            <v>5.3</v>
          </cell>
          <cell r="R134" t="str">
            <v>*2*</v>
          </cell>
        </row>
        <row r="135">
          <cell r="E135" t="str">
            <v>==========</v>
          </cell>
          <cell r="F135" t="str">
            <v>=============================================</v>
          </cell>
        </row>
        <row r="137">
          <cell r="E137" t="str">
            <v>TOTAL ACTIVO</v>
          </cell>
          <cell r="F137" t="str">
            <v>*TOTAL ACTIVO</v>
          </cell>
          <cell r="K137">
            <v>9922544.5</v>
          </cell>
          <cell r="M137">
            <v>9792489.8499999996</v>
          </cell>
          <cell r="O137">
            <v>130054.65</v>
          </cell>
          <cell r="Q137">
            <v>1.3</v>
          </cell>
          <cell r="R137" t="str">
            <v>*1*</v>
          </cell>
        </row>
        <row r="138">
          <cell r="E138" t="str">
            <v>==========</v>
          </cell>
          <cell r="F138" t="str">
            <v>=============================================</v>
          </cell>
        </row>
        <row r="145">
          <cell r="G145" t="str">
            <v>División</v>
          </cell>
          <cell r="H145" t="str">
            <v>****</v>
          </cell>
          <cell r="N145" t="str">
            <v>Imptes en</v>
          </cell>
          <cell r="P145" t="str">
            <v>USD</v>
          </cell>
        </row>
        <row r="147">
          <cell r="E147" t="str">
            <v>Textos....</v>
          </cell>
          <cell r="F147" t="str">
            <v>Textos............................................</v>
          </cell>
          <cell r="J147" t="str">
            <v>..Interv.informe.</v>
          </cell>
          <cell r="L147" t="str">
            <v>..Comp. periodos</v>
          </cell>
          <cell r="O147" t="str">
            <v>absolutos</v>
          </cell>
          <cell r="Q147" t="str">
            <v>Rel</v>
          </cell>
          <cell r="R147" t="str">
            <v xml:space="preserve"> Tot</v>
          </cell>
        </row>
        <row r="148">
          <cell r="E148" t="str">
            <v>..........</v>
          </cell>
          <cell r="F148" t="str">
            <v>..................................................</v>
          </cell>
          <cell r="J148" t="str">
            <v>(01.2004-09.2004)</v>
          </cell>
          <cell r="L148" t="str">
            <v>(01.2004-08.2004)</v>
          </cell>
          <cell r="O148" t="str">
            <v>Desviación</v>
          </cell>
          <cell r="Q148" t="str">
            <v>Dsv</v>
          </cell>
          <cell r="R148" t="str">
            <v>Etapa</v>
          </cell>
        </row>
        <row r="150">
          <cell r="E150" t="str">
            <v>PASIVO</v>
          </cell>
          <cell r="F150" t="str">
            <v>PASIVO</v>
          </cell>
        </row>
        <row r="152">
          <cell r="E152">
            <v>1000000000</v>
          </cell>
          <cell r="F152">
            <v>1000000000</v>
          </cell>
          <cell r="I152" t="str">
            <v>CAPITAL SOCIAL</v>
          </cell>
          <cell r="K152">
            <v>-52043</v>
          </cell>
          <cell r="M152">
            <v>-52043</v>
          </cell>
          <cell r="O152">
            <v>0</v>
          </cell>
        </row>
        <row r="153">
          <cell r="E153">
            <v>8301000000</v>
          </cell>
          <cell r="F153">
            <v>8301000000</v>
          </cell>
          <cell r="I153" t="str">
            <v>AJUSTE DE CAPITAL SOCIAL LOCAL</v>
          </cell>
          <cell r="K153">
            <v>41643</v>
          </cell>
          <cell r="M153">
            <v>41643</v>
          </cell>
          <cell r="O153">
            <v>0</v>
          </cell>
        </row>
        <row r="154">
          <cell r="E154">
            <v>1000000000</v>
          </cell>
          <cell r="F154" t="str">
            <v>1000000000 Capital social</v>
          </cell>
          <cell r="K154">
            <v>-10400</v>
          </cell>
          <cell r="M154">
            <v>-10400</v>
          </cell>
          <cell r="O154">
            <v>0</v>
          </cell>
          <cell r="R154" t="str">
            <v>*4*</v>
          </cell>
        </row>
        <row r="155">
          <cell r="E155">
            <v>1005000000</v>
          </cell>
          <cell r="F155">
            <v>1005000000</v>
          </cell>
          <cell r="I155" t="str">
            <v>APORTACIONES FUTURAS DE CAPITAL</v>
          </cell>
          <cell r="K155">
            <v>-5054350</v>
          </cell>
          <cell r="M155">
            <v>-5054350</v>
          </cell>
          <cell r="O155">
            <v>0</v>
          </cell>
        </row>
        <row r="156">
          <cell r="E156">
            <v>1005000000</v>
          </cell>
          <cell r="F156" t="str">
            <v>1005000000 Aportaciones futuras de capital</v>
          </cell>
          <cell r="K156">
            <v>-5054350</v>
          </cell>
          <cell r="M156">
            <v>-5054350</v>
          </cell>
          <cell r="O156">
            <v>0</v>
          </cell>
          <cell r="R156" t="str">
            <v>*4*</v>
          </cell>
        </row>
        <row r="157">
          <cell r="E157" t="str">
            <v>***CAPITAL</v>
          </cell>
          <cell r="F157" t="str">
            <v>***CAPITAL SOCIAL</v>
          </cell>
          <cell r="K157">
            <v>-5064750</v>
          </cell>
          <cell r="M157">
            <v>-5064750</v>
          </cell>
          <cell r="O157">
            <v>0</v>
          </cell>
          <cell r="R157" t="str">
            <v>*3*</v>
          </cell>
        </row>
        <row r="159">
          <cell r="E159">
            <v>8301110100</v>
          </cell>
          <cell r="F159">
            <v>8301110100</v>
          </cell>
          <cell r="I159" t="str">
            <v>AJUSTE A LA REEXPRESION MONETARIA LOCAL</v>
          </cell>
          <cell r="K159">
            <v>-76330</v>
          </cell>
          <cell r="M159">
            <v>-76330</v>
          </cell>
          <cell r="O159">
            <v>0</v>
          </cell>
        </row>
        <row r="160">
          <cell r="E160">
            <v>1110100000</v>
          </cell>
          <cell r="F160" t="str">
            <v>1110100000 Reexpresión monetaria</v>
          </cell>
          <cell r="K160">
            <v>-76330</v>
          </cell>
          <cell r="M160">
            <v>-76330</v>
          </cell>
          <cell r="O160">
            <v>0</v>
          </cell>
          <cell r="R160" t="str">
            <v>*5*</v>
          </cell>
        </row>
        <row r="161">
          <cell r="E161">
            <v>8301110200</v>
          </cell>
          <cell r="F161">
            <v>8301110200</v>
          </cell>
          <cell r="I161" t="str">
            <v>AJUSTE A RESERVA POR REVALORIZACION DEL</v>
          </cell>
          <cell r="K161">
            <v>-211577</v>
          </cell>
          <cell r="M161">
            <v>-211577</v>
          </cell>
          <cell r="O161">
            <v>0</v>
          </cell>
        </row>
        <row r="162">
          <cell r="E162">
            <v>1110200000</v>
          </cell>
          <cell r="F162" t="str">
            <v>1110200000 Reserva por revalorizac. del patr.</v>
          </cell>
          <cell r="K162">
            <v>-211577</v>
          </cell>
          <cell r="M162">
            <v>-211577</v>
          </cell>
          <cell r="O162">
            <v>0</v>
          </cell>
          <cell r="R162" t="str">
            <v>*5*</v>
          </cell>
        </row>
        <row r="163">
          <cell r="E163">
            <v>1200000000</v>
          </cell>
          <cell r="F163">
            <v>1200000000</v>
          </cell>
          <cell r="I163" t="str">
            <v>UTILIDADES DE EJERCICIOS ANTERIORES</v>
          </cell>
          <cell r="K163">
            <v>15278.88</v>
          </cell>
          <cell r="M163">
            <v>15278.88</v>
          </cell>
          <cell r="O163">
            <v>0</v>
          </cell>
        </row>
        <row r="164">
          <cell r="E164">
            <v>8301200000</v>
          </cell>
          <cell r="F164">
            <v>8301200000</v>
          </cell>
          <cell r="I164" t="str">
            <v>AJUSTE A LAS UTILIDADES DE EJERCICIOS A</v>
          </cell>
          <cell r="K164">
            <v>-103192.63</v>
          </cell>
          <cell r="M164">
            <v>-103192.63</v>
          </cell>
          <cell r="O164">
            <v>0</v>
          </cell>
        </row>
        <row r="165">
          <cell r="E165">
            <v>1200000000</v>
          </cell>
          <cell r="F165" t="str">
            <v>1200000000 Utilidades ejercicios anteriores</v>
          </cell>
          <cell r="K165">
            <v>-87913.75</v>
          </cell>
          <cell r="M165">
            <v>-87913.75</v>
          </cell>
          <cell r="O165">
            <v>0</v>
          </cell>
          <cell r="R165" t="str">
            <v>*5*</v>
          </cell>
        </row>
        <row r="166">
          <cell r="E166">
            <v>1290000000</v>
          </cell>
          <cell r="F166">
            <v>1290000000</v>
          </cell>
          <cell r="I166" t="str">
            <v>PERDIDAS Y GANANCIAS DEL EJERCICIO</v>
          </cell>
          <cell r="K166">
            <v>4881126.0999999996</v>
          </cell>
          <cell r="M166">
            <v>4881126.0999999996</v>
          </cell>
          <cell r="O166">
            <v>0</v>
          </cell>
        </row>
        <row r="167">
          <cell r="E167">
            <v>8812900000</v>
          </cell>
          <cell r="F167">
            <v>8812900000</v>
          </cell>
          <cell r="I167" t="str">
            <v>PERDIDAS Y GANANCIAS - MATERIALES</v>
          </cell>
          <cell r="K167">
            <v>384767.85</v>
          </cell>
          <cell r="M167">
            <v>384767.85</v>
          </cell>
          <cell r="O167">
            <v>0</v>
          </cell>
        </row>
        <row r="168">
          <cell r="E168">
            <v>1290000000</v>
          </cell>
          <cell r="F168" t="str">
            <v>1290000000 Perdidas y ganancias del ejercicio</v>
          </cell>
          <cell r="K168">
            <v>5265893.95</v>
          </cell>
          <cell r="M168">
            <v>5265893.95</v>
          </cell>
          <cell r="O168">
            <v>0</v>
          </cell>
          <cell r="R168" t="str">
            <v>*5*</v>
          </cell>
        </row>
        <row r="169">
          <cell r="E169" t="str">
            <v>***RESERVA</v>
          </cell>
          <cell r="F169" t="str">
            <v>***RESERVAS</v>
          </cell>
          <cell r="K169">
            <v>4890073.2</v>
          </cell>
          <cell r="M169">
            <v>4890073.2</v>
          </cell>
          <cell r="O169">
            <v>0</v>
          </cell>
          <cell r="R169" t="str">
            <v>*3*</v>
          </cell>
        </row>
        <row r="171">
          <cell r="E171" t="str">
            <v>Pérdidas y ganancias</v>
          </cell>
          <cell r="F171" t="str">
            <v>Pérdidas y ganancias</v>
          </cell>
          <cell r="K171">
            <v>193058.85</v>
          </cell>
          <cell r="M171">
            <v>140700.1</v>
          </cell>
          <cell r="O171">
            <v>52358.75</v>
          </cell>
          <cell r="Q171">
            <v>37.200000000000003</v>
          </cell>
          <cell r="R171" t="str">
            <v>*4*</v>
          </cell>
        </row>
        <row r="173">
          <cell r="E173" t="str">
            <v>***RESULTA</v>
          </cell>
          <cell r="F173" t="str">
            <v>***RESULTADO NETO DEL PERIODO</v>
          </cell>
          <cell r="K173">
            <v>193058.85</v>
          </cell>
          <cell r="M173">
            <v>140700.1</v>
          </cell>
          <cell r="O173">
            <v>52358.75</v>
          </cell>
          <cell r="Q173">
            <v>37.200000000000003</v>
          </cell>
          <cell r="R173" t="str">
            <v>*3*</v>
          </cell>
        </row>
        <row r="175">
          <cell r="E175" t="str">
            <v>**TOTAL PA</v>
          </cell>
          <cell r="F175" t="str">
            <v>**TOTAL PATRIMONIO NETO</v>
          </cell>
          <cell r="K175">
            <v>18382.05</v>
          </cell>
          <cell r="M175">
            <v>-33976.699999999997</v>
          </cell>
          <cell r="O175">
            <v>52358.75</v>
          </cell>
          <cell r="Q175">
            <v>154.1</v>
          </cell>
          <cell r="R175" t="str">
            <v>*2*</v>
          </cell>
        </row>
        <row r="176">
          <cell r="E176" t="str">
            <v>==========</v>
          </cell>
          <cell r="F176" t="str">
            <v>=============================================</v>
          </cell>
        </row>
        <row r="178">
          <cell r="E178">
            <v>4120000000</v>
          </cell>
          <cell r="F178">
            <v>4120000000</v>
          </cell>
          <cell r="I178" t="str">
            <v>ACREEDORES, EMPRESAS DEL GRUPO</v>
          </cell>
          <cell r="K178">
            <v>-8735328.2899999991</v>
          </cell>
          <cell r="M178">
            <v>-8618680.6400000006</v>
          </cell>
          <cell r="O178">
            <v>-116647.65</v>
          </cell>
          <cell r="Q178">
            <v>-1.4</v>
          </cell>
        </row>
        <row r="179">
          <cell r="E179">
            <v>4120000000</v>
          </cell>
          <cell r="F179" t="str">
            <v>4120000000 Acreedores, empresas del grupo</v>
          </cell>
          <cell r="K179">
            <v>-8735328.2899999991</v>
          </cell>
          <cell r="M179">
            <v>-8618680.6400000006</v>
          </cell>
          <cell r="O179">
            <v>-116647.65</v>
          </cell>
          <cell r="Q179">
            <v>-1.4</v>
          </cell>
          <cell r="R179" t="str">
            <v>*5*</v>
          </cell>
        </row>
        <row r="180">
          <cell r="E180">
            <v>4129000000</v>
          </cell>
          <cell r="F180">
            <v>4129000000</v>
          </cell>
          <cell r="I180" t="str">
            <v>ACREEDORES EMPRESAS DEL GRUPO, FACT. PE</v>
          </cell>
          <cell r="K180">
            <v>-548606.43000000005</v>
          </cell>
          <cell r="M180">
            <v>-548606.43000000005</v>
          </cell>
          <cell r="O180">
            <v>0</v>
          </cell>
        </row>
        <row r="181">
          <cell r="E181">
            <v>4129000000</v>
          </cell>
          <cell r="F181" t="str">
            <v>4129000000 Acreedores E.G. fact. pend. recibi</v>
          </cell>
          <cell r="K181">
            <v>-548606.43000000005</v>
          </cell>
          <cell r="M181">
            <v>-548606.43000000005</v>
          </cell>
          <cell r="O181">
            <v>0</v>
          </cell>
          <cell r="R181" t="str">
            <v>*5*</v>
          </cell>
        </row>
        <row r="182">
          <cell r="E182" t="str">
            <v>CTAS. A PAGAR EMPRESAS DEL GRUPO</v>
          </cell>
          <cell r="F182" t="str">
            <v>***CTAS. A PAGAR EMPRESAS DEL GRUPO</v>
          </cell>
          <cell r="K182">
            <v>-9283934.7200000007</v>
          </cell>
          <cell r="M182">
            <v>-9167287.0700000003</v>
          </cell>
          <cell r="O182">
            <v>-116647.65</v>
          </cell>
          <cell r="Q182">
            <v>-1.3</v>
          </cell>
          <cell r="R182" t="str">
            <v>*3*</v>
          </cell>
        </row>
        <row r="184">
          <cell r="E184">
            <v>4000000000</v>
          </cell>
          <cell r="F184">
            <v>4000000000</v>
          </cell>
          <cell r="I184" t="str">
            <v>PROVEEDORES</v>
          </cell>
          <cell r="K184">
            <v>-889082.91</v>
          </cell>
          <cell r="M184">
            <v>-525406.93000000005</v>
          </cell>
          <cell r="O184">
            <v>-363675.98</v>
          </cell>
          <cell r="Q184">
            <v>-69.2</v>
          </cell>
        </row>
        <row r="185">
          <cell r="E185">
            <v>4000000000</v>
          </cell>
          <cell r="F185" t="str">
            <v>4000000000 Proveedores</v>
          </cell>
          <cell r="K185">
            <v>-889082.91</v>
          </cell>
          <cell r="M185">
            <v>-525406.93000000005</v>
          </cell>
          <cell r="O185">
            <v>-363675.98</v>
          </cell>
          <cell r="Q185">
            <v>-69.2</v>
          </cell>
          <cell r="R185" t="str">
            <v>*5*</v>
          </cell>
        </row>
        <row r="186">
          <cell r="E186">
            <v>4009000000</v>
          </cell>
          <cell r="F186">
            <v>4009000000</v>
          </cell>
          <cell r="I186" t="str">
            <v>PROVEEDORES, FPRF</v>
          </cell>
          <cell r="K186">
            <v>-871.18</v>
          </cell>
          <cell r="M186">
            <v>-283027.26</v>
          </cell>
          <cell r="O186">
            <v>282156.08</v>
          </cell>
          <cell r="Q186">
            <v>99.7</v>
          </cell>
        </row>
        <row r="187">
          <cell r="E187">
            <v>4009000000</v>
          </cell>
          <cell r="F187" t="str">
            <v>4009000000 Proveedores FPRF</v>
          </cell>
          <cell r="K187">
            <v>-871.18</v>
          </cell>
          <cell r="M187">
            <v>-283027.26</v>
          </cell>
          <cell r="O187">
            <v>282156.08</v>
          </cell>
          <cell r="Q187">
            <v>99.7</v>
          </cell>
          <cell r="R187" t="str">
            <v>*5*</v>
          </cell>
        </row>
        <row r="188">
          <cell r="E188">
            <v>4009000032</v>
          </cell>
          <cell r="F188">
            <v>4009000032</v>
          </cell>
          <cell r="I188" t="str">
            <v>PROVEEDORES, FPRF - MM</v>
          </cell>
          <cell r="K188">
            <v>-6144.6</v>
          </cell>
          <cell r="M188">
            <v>-4447.3999999999996</v>
          </cell>
          <cell r="O188">
            <v>-1697.2</v>
          </cell>
          <cell r="Q188">
            <v>-38.200000000000003</v>
          </cell>
        </row>
        <row r="189">
          <cell r="E189">
            <v>4009000032</v>
          </cell>
          <cell r="F189" t="str">
            <v>4009000032 Proveedores FPRF MM</v>
          </cell>
          <cell r="K189">
            <v>-6144.6</v>
          </cell>
          <cell r="M189">
            <v>-4447.3999999999996</v>
          </cell>
          <cell r="O189">
            <v>-1697.2</v>
          </cell>
          <cell r="Q189">
            <v>-38.200000000000003</v>
          </cell>
          <cell r="R189" t="str">
            <v>*5*</v>
          </cell>
        </row>
        <row r="190">
          <cell r="E190" t="str">
            <v>PROVEEDORES</v>
          </cell>
          <cell r="F190" t="str">
            <v>***PROVEEDORES</v>
          </cell>
          <cell r="K190">
            <v>-896098.69</v>
          </cell>
          <cell r="M190">
            <v>-812881.59</v>
          </cell>
          <cell r="O190">
            <v>-83217.100000000006</v>
          </cell>
          <cell r="Q190">
            <v>-10.199999999999999</v>
          </cell>
          <cell r="R190" t="str">
            <v>*3*</v>
          </cell>
        </row>
        <row r="192">
          <cell r="E192">
            <v>4770000000</v>
          </cell>
          <cell r="F192">
            <v>4770000000</v>
          </cell>
          <cell r="I192" t="str">
            <v>HACIENDA PUBLICA, IVA REPERCUTIDO</v>
          </cell>
          <cell r="K192">
            <v>51801.74</v>
          </cell>
          <cell r="M192">
            <v>49703.79</v>
          </cell>
          <cell r="O192">
            <v>2097.9499999999998</v>
          </cell>
          <cell r="Q192">
            <v>4.2</v>
          </cell>
        </row>
        <row r="193">
          <cell r="E193">
            <v>4770000000</v>
          </cell>
          <cell r="F193" t="str">
            <v>4770000000 IVA débito fiscal</v>
          </cell>
          <cell r="K193">
            <v>51801.74</v>
          </cell>
          <cell r="M193">
            <v>49703.79</v>
          </cell>
          <cell r="O193">
            <v>2097.9499999999998</v>
          </cell>
          <cell r="Q193">
            <v>4.2</v>
          </cell>
          <cell r="R193" t="str">
            <v>*5*</v>
          </cell>
        </row>
        <row r="194">
          <cell r="E194">
            <v>4770003010</v>
          </cell>
          <cell r="F194">
            <v>4770003010</v>
          </cell>
          <cell r="I194" t="str">
            <v>RETENCION DEL IVA 100%</v>
          </cell>
          <cell r="K194">
            <v>-319.68</v>
          </cell>
          <cell r="M194">
            <v>-300</v>
          </cell>
          <cell r="O194">
            <v>-19.68</v>
          </cell>
          <cell r="Q194">
            <v>-6.6</v>
          </cell>
        </row>
        <row r="195">
          <cell r="E195">
            <v>4770003010</v>
          </cell>
          <cell r="F195" t="str">
            <v>4770003010 Retención del IVA 100%</v>
          </cell>
          <cell r="K195">
            <v>-319.68</v>
          </cell>
          <cell r="M195">
            <v>-300</v>
          </cell>
          <cell r="O195">
            <v>-19.68</v>
          </cell>
          <cell r="Q195">
            <v>-6.6</v>
          </cell>
          <cell r="R195" t="str">
            <v>*5*</v>
          </cell>
        </row>
        <row r="196">
          <cell r="F196">
            <v>4770003030</v>
          </cell>
          <cell r="I196" t="str">
            <v>RETENCION DEL IVA 30%</v>
          </cell>
          <cell r="K196">
            <v>-122.31</v>
          </cell>
          <cell r="M196">
            <v>-122.31</v>
          </cell>
          <cell r="O196">
            <v>0</v>
          </cell>
        </row>
        <row r="197">
          <cell r="F197">
            <v>4770003030</v>
          </cell>
          <cell r="I197" t="str">
            <v>RETENCION DEL IVA 30%</v>
          </cell>
          <cell r="K197">
            <v>122.31</v>
          </cell>
          <cell r="M197">
            <v>122.31</v>
          </cell>
          <cell r="O197">
            <v>0</v>
          </cell>
        </row>
        <row r="198">
          <cell r="E198">
            <v>4770003030</v>
          </cell>
          <cell r="F198" t="str">
            <v>4770003030 Retención del IVA 30%</v>
          </cell>
          <cell r="K198">
            <v>0</v>
          </cell>
          <cell r="M198">
            <v>0</v>
          </cell>
          <cell r="O198">
            <v>0</v>
          </cell>
          <cell r="R198" t="str">
            <v>*5*</v>
          </cell>
        </row>
        <row r="199">
          <cell r="I199" t="str">
            <v>RETENCION DEL IVA 70%</v>
          </cell>
          <cell r="K199">
            <v>-2632.88</v>
          </cell>
          <cell r="M199">
            <v>-2460.04</v>
          </cell>
          <cell r="O199">
            <v>-172.84</v>
          </cell>
          <cell r="Q199">
            <v>-7</v>
          </cell>
        </row>
        <row r="200">
          <cell r="I200" t="str">
            <v>RETENCION DEL IVA 70%</v>
          </cell>
          <cell r="K200">
            <v>2403.62</v>
          </cell>
          <cell r="M200">
            <v>2403.62</v>
          </cell>
          <cell r="O200">
            <v>0</v>
          </cell>
        </row>
        <row r="201">
          <cell r="E201">
            <v>4770003070</v>
          </cell>
          <cell r="F201">
            <v>4770003070</v>
          </cell>
          <cell r="K201">
            <v>-229.26</v>
          </cell>
          <cell r="M201">
            <v>-56.42</v>
          </cell>
          <cell r="O201">
            <v>-172.84</v>
          </cell>
          <cell r="Q201">
            <v>-306.3</v>
          </cell>
          <cell r="R201" t="str">
            <v>*5*</v>
          </cell>
        </row>
        <row r="202">
          <cell r="E202">
            <v>4752000000</v>
          </cell>
          <cell r="F202">
            <v>4752000000</v>
          </cell>
          <cell r="I202" t="str">
            <v>HACIENDA PUBLICA, ACREEDOR POR IMPUESTO</v>
          </cell>
          <cell r="K202">
            <v>-39.770000000000003</v>
          </cell>
          <cell r="M202">
            <v>-23.62</v>
          </cell>
          <cell r="O202">
            <v>-16.149999999999999</v>
          </cell>
          <cell r="Q202">
            <v>-68.400000000000006</v>
          </cell>
        </row>
        <row r="203">
          <cell r="E203">
            <v>4752000000</v>
          </cell>
          <cell r="F203" t="str">
            <v>4752000000 Fis. prov. imp. a las ganancias</v>
          </cell>
          <cell r="K203">
            <v>-39.770000000000003</v>
          </cell>
          <cell r="M203">
            <v>-23.62</v>
          </cell>
          <cell r="O203">
            <v>-16.149999999999999</v>
          </cell>
          <cell r="Q203">
            <v>-68.400000000000006</v>
          </cell>
          <cell r="R203" t="str">
            <v>*5*</v>
          </cell>
        </row>
        <row r="204">
          <cell r="E204">
            <v>4760000000</v>
          </cell>
          <cell r="F204">
            <v>4760000000</v>
          </cell>
          <cell r="I204" t="str">
            <v>SEGURIDAD SOCIAL ACREEDORA POR APORTES</v>
          </cell>
          <cell r="K204">
            <v>-295.85000000000002</v>
          </cell>
          <cell r="M204">
            <v>-229.43</v>
          </cell>
          <cell r="O204">
            <v>-66.42</v>
          </cell>
          <cell r="Q204">
            <v>-29</v>
          </cell>
        </row>
        <row r="205">
          <cell r="E205">
            <v>4760000000</v>
          </cell>
          <cell r="F205" t="str">
            <v>4760000000 SUSS a pagar</v>
          </cell>
          <cell r="K205">
            <v>-295.85000000000002</v>
          </cell>
          <cell r="M205">
            <v>-229.43</v>
          </cell>
          <cell r="O205">
            <v>-66.42</v>
          </cell>
          <cell r="Q205">
            <v>-29</v>
          </cell>
          <cell r="R205" t="str">
            <v>*5*</v>
          </cell>
        </row>
        <row r="206">
          <cell r="E206">
            <v>4760000700</v>
          </cell>
          <cell r="F206">
            <v>4760000700</v>
          </cell>
          <cell r="I206" t="str">
            <v>SEGURIDAD SOCIAL ACREEDORA POR FONDO DE</v>
          </cell>
          <cell r="K206">
            <v>-261.85000000000002</v>
          </cell>
          <cell r="M206">
            <v>-869.38</v>
          </cell>
          <cell r="O206">
            <v>607.53</v>
          </cell>
          <cell r="Q206">
            <v>69.900000000000006</v>
          </cell>
        </row>
        <row r="207">
          <cell r="E207">
            <v>4760000700</v>
          </cell>
          <cell r="F207" t="str">
            <v>4760000700 SUSS acreedora fondo de reserva</v>
          </cell>
          <cell r="K207">
            <v>-261.85000000000002</v>
          </cell>
          <cell r="M207">
            <v>-869.38</v>
          </cell>
          <cell r="O207">
            <v>607.53</v>
          </cell>
          <cell r="Q207">
            <v>69.900000000000006</v>
          </cell>
          <cell r="R207" t="str">
            <v>*5*</v>
          </cell>
        </row>
        <row r="208">
          <cell r="E208">
            <v>4760000800</v>
          </cell>
          <cell r="F208">
            <v>4760000800</v>
          </cell>
          <cell r="I208" t="str">
            <v>SEGURIDAD SOCIAL ACREEDORA POR PRESTAMO</v>
          </cell>
          <cell r="K208">
            <v>117.96</v>
          </cell>
          <cell r="M208">
            <v>117.96</v>
          </cell>
          <cell r="O208">
            <v>0</v>
          </cell>
        </row>
        <row r="209">
          <cell r="E209">
            <v>4760000800</v>
          </cell>
          <cell r="F209" t="str">
            <v>4760000800 SUSS acreedora prest. a empleados</v>
          </cell>
          <cell r="K209">
            <v>117.96</v>
          </cell>
          <cell r="M209">
            <v>117.96</v>
          </cell>
          <cell r="O209">
            <v>0</v>
          </cell>
          <cell r="R209" t="str">
            <v>*5*</v>
          </cell>
        </row>
        <row r="210">
          <cell r="E210">
            <v>4751501300</v>
          </cell>
          <cell r="F210">
            <v>4751501300</v>
          </cell>
          <cell r="I210" t="str">
            <v>RETENCIONES PAGOS HONORARIOS A NOTARIOS</v>
          </cell>
          <cell r="K210">
            <v>-56.8</v>
          </cell>
          <cell r="M210">
            <v>0</v>
          </cell>
          <cell r="O210">
            <v>-56.8</v>
          </cell>
        </row>
        <row r="211">
          <cell r="E211">
            <v>4751501300</v>
          </cell>
          <cell r="F211" t="str">
            <v>4751501300 Retenc. pagos honor. a notarios 8%</v>
          </cell>
          <cell r="K211">
            <v>-56.8</v>
          </cell>
          <cell r="M211">
            <v>0</v>
          </cell>
          <cell r="O211">
            <v>-56.8</v>
          </cell>
          <cell r="R211" t="str">
            <v>*5*</v>
          </cell>
        </row>
        <row r="212">
          <cell r="E212">
            <v>4751500300</v>
          </cell>
          <cell r="F212">
            <v>4751500300</v>
          </cell>
          <cell r="I212" t="str">
            <v>RETENCIONES EN PAGOS POR SEGUROS Y REAS</v>
          </cell>
          <cell r="K212">
            <v>-0.02</v>
          </cell>
          <cell r="M212">
            <v>-0.06</v>
          </cell>
          <cell r="O212">
            <v>0.04</v>
          </cell>
          <cell r="Q212">
            <v>66.7</v>
          </cell>
        </row>
        <row r="213">
          <cell r="E213">
            <v>4751500300</v>
          </cell>
          <cell r="F213" t="str">
            <v>4751500300 Retenc. pagos seguros y reaseguros</v>
          </cell>
          <cell r="K213">
            <v>-0.02</v>
          </cell>
          <cell r="M213">
            <v>-0.06</v>
          </cell>
          <cell r="O213">
            <v>0.04</v>
          </cell>
          <cell r="Q213">
            <v>66.7</v>
          </cell>
          <cell r="R213" t="str">
            <v>*6*</v>
          </cell>
        </row>
        <row r="214">
          <cell r="F214">
            <v>4751400300</v>
          </cell>
          <cell r="I214" t="str">
            <v>HP, ACREEDOR POR RET. VENTA COMB. A DIS</v>
          </cell>
          <cell r="K214">
            <v>-1986.1</v>
          </cell>
          <cell r="M214">
            <v>-2067.84</v>
          </cell>
          <cell r="O214">
            <v>81.739999999999995</v>
          </cell>
          <cell r="Q214">
            <v>4</v>
          </cell>
        </row>
        <row r="215">
          <cell r="F215">
            <v>4751400300</v>
          </cell>
          <cell r="I215" t="str">
            <v>HP, ACREEDOR POR RET. VENTA COMB. A DIS</v>
          </cell>
          <cell r="K215">
            <v>1176.8900000000001</v>
          </cell>
          <cell r="M215">
            <v>1176.8900000000001</v>
          </cell>
          <cell r="O215">
            <v>0</v>
          </cell>
        </row>
        <row r="216">
          <cell r="E216">
            <v>4751400300</v>
          </cell>
          <cell r="F216" t="str">
            <v>4751400300 HP Acreedor x ret vta. comb. a dis</v>
          </cell>
          <cell r="K216">
            <v>-809.21</v>
          </cell>
          <cell r="M216">
            <v>-890.95</v>
          </cell>
          <cell r="O216">
            <v>81.739999999999995</v>
          </cell>
          <cell r="Q216">
            <v>9.1999999999999993</v>
          </cell>
          <cell r="R216" t="str">
            <v>*6*</v>
          </cell>
        </row>
        <row r="217">
          <cell r="E217">
            <v>4751400400</v>
          </cell>
          <cell r="F217">
            <v>4751400400</v>
          </cell>
          <cell r="I217" t="str">
            <v>HP, ACREEDOR POR RET. VENTA DE COMERCIA</v>
          </cell>
          <cell r="K217">
            <v>207075.33</v>
          </cell>
          <cell r="M217">
            <v>200068.36</v>
          </cell>
          <cell r="O217">
            <v>7006.97</v>
          </cell>
          <cell r="Q217">
            <v>3.5</v>
          </cell>
        </row>
        <row r="218">
          <cell r="E218">
            <v>4751400400</v>
          </cell>
          <cell r="F218" t="str">
            <v>4751400400 HP Acreedor x ret vta. de comercia</v>
          </cell>
          <cell r="K218">
            <v>207075.33</v>
          </cell>
          <cell r="M218">
            <v>200068.36</v>
          </cell>
          <cell r="O218">
            <v>7006.97</v>
          </cell>
          <cell r="Q218">
            <v>3.5</v>
          </cell>
          <cell r="R218" t="str">
            <v>*6*</v>
          </cell>
        </row>
        <row r="219">
          <cell r="F219">
            <v>4751500800</v>
          </cell>
          <cell r="I219" t="str">
            <v>RETENCIONES EN OTROS PAGOS A PERSONAS N</v>
          </cell>
          <cell r="K219">
            <v>-199.37</v>
          </cell>
          <cell r="M219">
            <v>-198.73</v>
          </cell>
          <cell r="O219">
            <v>-0.64</v>
          </cell>
          <cell r="Q219">
            <v>-0.3</v>
          </cell>
        </row>
        <row r="220">
          <cell r="F220">
            <v>4751500800</v>
          </cell>
          <cell r="I220" t="str">
            <v>RETENCIONES EN OTROS PAGOS A PERSONAS N</v>
          </cell>
          <cell r="K220">
            <v>198.73</v>
          </cell>
          <cell r="M220">
            <v>198.73</v>
          </cell>
          <cell r="O220">
            <v>0</v>
          </cell>
        </row>
        <row r="221">
          <cell r="E221">
            <v>4751500800</v>
          </cell>
          <cell r="F221" t="str">
            <v>4751500800 Retenc. pago personas naturales</v>
          </cell>
          <cell r="K221">
            <v>-0.64</v>
          </cell>
          <cell r="M221">
            <v>0</v>
          </cell>
          <cell r="O221">
            <v>-0.64</v>
          </cell>
          <cell r="R221" t="str">
            <v>*6*</v>
          </cell>
        </row>
        <row r="222">
          <cell r="F222">
            <v>4751500900</v>
          </cell>
          <cell r="I222" t="str">
            <v>RETENCIONES EN OTROS PAGOS A SOCIEDADES</v>
          </cell>
          <cell r="K222">
            <v>-859.93</v>
          </cell>
          <cell r="M222">
            <v>-859.93</v>
          </cell>
          <cell r="O222">
            <v>0</v>
          </cell>
        </row>
        <row r="223">
          <cell r="F223">
            <v>4751500900</v>
          </cell>
          <cell r="I223" t="str">
            <v>RETENCIONES EN OTROS PAGOS A SOCIEDADES</v>
          </cell>
          <cell r="K223">
            <v>859.93</v>
          </cell>
          <cell r="M223">
            <v>859.93</v>
          </cell>
          <cell r="O223">
            <v>0</v>
          </cell>
        </row>
        <row r="224">
          <cell r="E224">
            <v>4751500900</v>
          </cell>
          <cell r="F224" t="str">
            <v>4751500900 Retenc. pago a sociedades</v>
          </cell>
          <cell r="K224">
            <v>0</v>
          </cell>
          <cell r="M224">
            <v>0</v>
          </cell>
          <cell r="O224">
            <v>0</v>
          </cell>
          <cell r="R224" t="str">
            <v>*6*</v>
          </cell>
        </row>
        <row r="225">
          <cell r="F225">
            <v>4751501000</v>
          </cell>
          <cell r="I225" t="str">
            <v>RETENCION EN PAGOS POR HONORARIOS,REGAL</v>
          </cell>
          <cell r="K225">
            <v>-485.65</v>
          </cell>
          <cell r="M225">
            <v>-485.65</v>
          </cell>
          <cell r="O225">
            <v>0</v>
          </cell>
        </row>
        <row r="226">
          <cell r="F226">
            <v>4751501000</v>
          </cell>
          <cell r="I226" t="str">
            <v>RETENCION EN PAGOS POR HONORARIOS,REGAL</v>
          </cell>
          <cell r="K226">
            <v>485.65</v>
          </cell>
          <cell r="M226">
            <v>485.65</v>
          </cell>
          <cell r="O226">
            <v>0</v>
          </cell>
        </row>
        <row r="227">
          <cell r="E227">
            <v>4751501000</v>
          </cell>
          <cell r="F227" t="str">
            <v>4751501000 Retenc. en honorarios y regalias</v>
          </cell>
          <cell r="K227">
            <v>0</v>
          </cell>
          <cell r="M227">
            <v>0</v>
          </cell>
          <cell r="O227">
            <v>0</v>
          </cell>
          <cell r="R227" t="str">
            <v>*6*</v>
          </cell>
        </row>
        <row r="228">
          <cell r="E228">
            <v>8302475150</v>
          </cell>
          <cell r="F228">
            <v>8302475150</v>
          </cell>
          <cell r="I228" t="str">
            <v>OTRAS RETENCIONES NO ESPECIFICADAS (GAA</v>
          </cell>
          <cell r="K228">
            <v>0.28999999999999998</v>
          </cell>
          <cell r="M228">
            <v>0.28999999999999998</v>
          </cell>
          <cell r="O228">
            <v>0</v>
          </cell>
        </row>
        <row r="229">
          <cell r="E229">
            <v>4751501100</v>
          </cell>
          <cell r="F229" t="str">
            <v>4751501100 Otras retenc. no especificadas</v>
          </cell>
          <cell r="K229">
            <v>0.28999999999999998</v>
          </cell>
          <cell r="M229">
            <v>0.28999999999999998</v>
          </cell>
          <cell r="O229">
            <v>0</v>
          </cell>
          <cell r="R229" t="str">
            <v>*6*</v>
          </cell>
        </row>
        <row r="230">
          <cell r="E230">
            <v>4751501400</v>
          </cell>
          <cell r="F230">
            <v>4751501400</v>
          </cell>
          <cell r="I230" t="str">
            <v>RETENC. POR SERVICIOS PERSONAS NATURALE</v>
          </cell>
          <cell r="K230">
            <v>-9.6</v>
          </cell>
          <cell r="M230">
            <v>-209.6</v>
          </cell>
          <cell r="O230">
            <v>200</v>
          </cell>
          <cell r="Q230">
            <v>95.4</v>
          </cell>
        </row>
        <row r="231">
          <cell r="E231">
            <v>4751501400</v>
          </cell>
          <cell r="F231" t="str">
            <v>4751501400 Retenc. por Serv. Pers. Natural</v>
          </cell>
          <cell r="K231">
            <v>-9.6</v>
          </cell>
          <cell r="M231">
            <v>-209.6</v>
          </cell>
          <cell r="O231">
            <v>200</v>
          </cell>
          <cell r="Q231">
            <v>95.4</v>
          </cell>
          <cell r="R231" t="str">
            <v>*6*</v>
          </cell>
        </row>
        <row r="232">
          <cell r="E232">
            <v>4751501500</v>
          </cell>
          <cell r="F232">
            <v>4751501500</v>
          </cell>
          <cell r="I232" t="str">
            <v>RETENCION POR SERV. MANO DE OBRA Y OTRO</v>
          </cell>
          <cell r="K232">
            <v>-314.08</v>
          </cell>
          <cell r="M232">
            <v>-352.85</v>
          </cell>
          <cell r="O232">
            <v>38.770000000000003</v>
          </cell>
          <cell r="Q232">
            <v>11</v>
          </cell>
        </row>
        <row r="233">
          <cell r="E233">
            <v>4751501500</v>
          </cell>
          <cell r="F233" t="str">
            <v>4751501500 Retenc. por Serv. Mano de Obra y O</v>
          </cell>
          <cell r="K233">
            <v>-314.08</v>
          </cell>
          <cell r="M233">
            <v>-352.85</v>
          </cell>
          <cell r="O233">
            <v>38.770000000000003</v>
          </cell>
          <cell r="Q233">
            <v>11</v>
          </cell>
          <cell r="R233" t="str">
            <v>*6*</v>
          </cell>
        </row>
        <row r="234">
          <cell r="E234" t="str">
            <v>HACIENDA PUBLICA ACREEDORA</v>
          </cell>
          <cell r="F234" t="str">
            <v>***HACIENDA PUBLICA ACREEDORA</v>
          </cell>
          <cell r="K234">
            <v>256658.56</v>
          </cell>
          <cell r="M234">
            <v>246958.09</v>
          </cell>
          <cell r="O234">
            <v>9700.4699999999993</v>
          </cell>
          <cell r="Q234">
            <v>3.9</v>
          </cell>
          <cell r="R234" t="str">
            <v>*3*</v>
          </cell>
        </row>
        <row r="236">
          <cell r="E236">
            <v>4100000000</v>
          </cell>
          <cell r="F236">
            <v>4100000000</v>
          </cell>
          <cell r="I236" t="str">
            <v>ACREEDORES POR PRESTACION DE SERVICIOS</v>
          </cell>
          <cell r="K236">
            <v>-630.41999999999996</v>
          </cell>
          <cell r="M236">
            <v>-12429.46</v>
          </cell>
          <cell r="O236">
            <v>11799.04</v>
          </cell>
          <cell r="Q236">
            <v>94.9</v>
          </cell>
        </row>
        <row r="237">
          <cell r="E237">
            <v>8302410000</v>
          </cell>
          <cell r="F237">
            <v>8302410000</v>
          </cell>
          <cell r="I237" t="str">
            <v>ACREEDORES POR PRESTACION DE SERVICIOS</v>
          </cell>
          <cell r="K237">
            <v>-0.28999999999999998</v>
          </cell>
          <cell r="M237">
            <v>-0.28999999999999998</v>
          </cell>
          <cell r="O237">
            <v>0</v>
          </cell>
        </row>
        <row r="238">
          <cell r="E238">
            <v>4100000000</v>
          </cell>
          <cell r="F238" t="str">
            <v>4100000000 Acreedores por prestación de serv.</v>
          </cell>
          <cell r="K238">
            <v>-630.71</v>
          </cell>
          <cell r="M238">
            <v>-12429.75</v>
          </cell>
          <cell r="O238">
            <v>11799.04</v>
          </cell>
          <cell r="Q238">
            <v>94.9</v>
          </cell>
          <cell r="R238" t="str">
            <v>*5*</v>
          </cell>
        </row>
        <row r="239">
          <cell r="E239">
            <v>4109000000</v>
          </cell>
          <cell r="F239">
            <v>4109000000</v>
          </cell>
          <cell r="I239" t="str">
            <v>ACREEDORES, FACTURAS PENDIENTES DE RECI</v>
          </cell>
          <cell r="K239">
            <v>-30284.33</v>
          </cell>
          <cell r="M239">
            <v>-26252.06</v>
          </cell>
          <cell r="O239">
            <v>-4032.27</v>
          </cell>
          <cell r="Q239">
            <v>-15.4</v>
          </cell>
        </row>
        <row r="240">
          <cell r="E240">
            <v>4109000000</v>
          </cell>
          <cell r="F240" t="str">
            <v>4109000000 Acreed. fact. pendientes de recib.</v>
          </cell>
          <cell r="K240">
            <v>-30284.33</v>
          </cell>
          <cell r="M240">
            <v>-26252.06</v>
          </cell>
          <cell r="O240">
            <v>-4032.27</v>
          </cell>
          <cell r="Q240">
            <v>-15.4</v>
          </cell>
          <cell r="R240" t="str">
            <v>*5*</v>
          </cell>
        </row>
        <row r="241">
          <cell r="E241">
            <v>4601000000</v>
          </cell>
          <cell r="F241">
            <v>4601000000</v>
          </cell>
          <cell r="I241" t="str">
            <v>OTROS ANTICIPOS AL PERSONAL</v>
          </cell>
          <cell r="K241">
            <v>0</v>
          </cell>
          <cell r="M241">
            <v>-268.58</v>
          </cell>
          <cell r="O241">
            <v>268.58</v>
          </cell>
          <cell r="Q241">
            <v>100</v>
          </cell>
        </row>
        <row r="242">
          <cell r="E242">
            <v>4601000000</v>
          </cell>
          <cell r="F242" t="str">
            <v>4601000000 Otros anticipos al personal</v>
          </cell>
          <cell r="K242">
            <v>0</v>
          </cell>
          <cell r="M242">
            <v>-268.58</v>
          </cell>
          <cell r="O242">
            <v>268.58</v>
          </cell>
          <cell r="Q242">
            <v>100</v>
          </cell>
          <cell r="R242" t="str">
            <v>*5*</v>
          </cell>
        </row>
        <row r="243">
          <cell r="E243">
            <v>4609000000</v>
          </cell>
          <cell r="F243">
            <v>4609000000</v>
          </cell>
          <cell r="I243" t="str">
            <v>EMPLEADOS, DEUDORES</v>
          </cell>
          <cell r="K243">
            <v>792.5</v>
          </cell>
          <cell r="M243">
            <v>951</v>
          </cell>
          <cell r="O243">
            <v>-158.5</v>
          </cell>
          <cell r="Q243">
            <v>-16.7</v>
          </cell>
        </row>
        <row r="244">
          <cell r="E244">
            <v>4609000000</v>
          </cell>
          <cell r="F244" t="str">
            <v>4609000000 Empleados deudores</v>
          </cell>
          <cell r="K244">
            <v>792.5</v>
          </cell>
          <cell r="M244">
            <v>951</v>
          </cell>
          <cell r="O244">
            <v>-158.5</v>
          </cell>
          <cell r="Q244">
            <v>-16.7</v>
          </cell>
          <cell r="R244" t="str">
            <v>*6*</v>
          </cell>
        </row>
        <row r="245">
          <cell r="E245">
            <v>4650105000</v>
          </cell>
          <cell r="F245">
            <v>4650105000</v>
          </cell>
          <cell r="I245" t="str">
            <v>SUELDO 13 POR PAGAR</v>
          </cell>
          <cell r="K245">
            <v>-686.41</v>
          </cell>
          <cell r="M245">
            <v>-571.74</v>
          </cell>
          <cell r="O245">
            <v>-114.67</v>
          </cell>
          <cell r="Q245">
            <v>-20.100000000000001</v>
          </cell>
        </row>
        <row r="246">
          <cell r="E246">
            <v>4650105000</v>
          </cell>
          <cell r="F246" t="str">
            <v>4650105000 Sueldo 13 por pagar</v>
          </cell>
          <cell r="K246">
            <v>-686.41</v>
          </cell>
          <cell r="M246">
            <v>-571.74</v>
          </cell>
          <cell r="O246">
            <v>-114.67</v>
          </cell>
          <cell r="Q246">
            <v>-20.100000000000001</v>
          </cell>
          <cell r="R246" t="str">
            <v>*6*</v>
          </cell>
        </row>
        <row r="247">
          <cell r="E247">
            <v>4650109000</v>
          </cell>
          <cell r="F247">
            <v>4650109000</v>
          </cell>
          <cell r="I247" t="str">
            <v>SUELDO 14 POR PAGAR</v>
          </cell>
          <cell r="K247">
            <v>-67.790000000000006</v>
          </cell>
          <cell r="M247">
            <v>-56.49</v>
          </cell>
          <cell r="O247">
            <v>-11.3</v>
          </cell>
          <cell r="Q247">
            <v>-20</v>
          </cell>
        </row>
        <row r="248">
          <cell r="E248">
            <v>4650109000</v>
          </cell>
          <cell r="F248" t="str">
            <v>4650109000 Sueldo 14 por pagar</v>
          </cell>
          <cell r="K248">
            <v>-67.790000000000006</v>
          </cell>
          <cell r="M248">
            <v>-56.49</v>
          </cell>
          <cell r="O248">
            <v>-11.3</v>
          </cell>
          <cell r="Q248">
            <v>-20</v>
          </cell>
          <cell r="R248" t="str">
            <v>*6*</v>
          </cell>
        </row>
        <row r="249">
          <cell r="E249">
            <v>4350000000</v>
          </cell>
          <cell r="F249">
            <v>4350000000</v>
          </cell>
          <cell r="I249" t="str">
            <v>CLIENTES DE DUDOSO COBRO</v>
          </cell>
          <cell r="K249">
            <v>13325.04</v>
          </cell>
          <cell r="M249">
            <v>13325.04</v>
          </cell>
          <cell r="O249">
            <v>0</v>
          </cell>
        </row>
        <row r="250">
          <cell r="E250">
            <v>4350000000</v>
          </cell>
          <cell r="F250" t="str">
            <v>4350000000 Clientes de dudoso cobro</v>
          </cell>
          <cell r="K250">
            <v>13325.04</v>
          </cell>
          <cell r="M250">
            <v>13325.04</v>
          </cell>
          <cell r="O250">
            <v>0</v>
          </cell>
          <cell r="R250" t="str">
            <v>*5*</v>
          </cell>
        </row>
        <row r="251">
          <cell r="E251" t="str">
            <v>OTROS ACREEDORES</v>
          </cell>
          <cell r="F251" t="str">
            <v>***OTROS ACREEDORES</v>
          </cell>
          <cell r="K251">
            <v>-17551.7</v>
          </cell>
          <cell r="M251">
            <v>-25302.58</v>
          </cell>
          <cell r="O251">
            <v>7750.88</v>
          </cell>
          <cell r="Q251">
            <v>30.6</v>
          </cell>
          <cell r="R251" t="str">
            <v>*3*</v>
          </cell>
        </row>
        <row r="253">
          <cell r="E253" t="str">
            <v>TOTAL DEUDAS COMECIALES C.P.</v>
          </cell>
          <cell r="F253" t="str">
            <v>**TOTAL DEUDAS COMECIALES C.P.</v>
          </cell>
          <cell r="K253">
            <v>-9940926.5500000007</v>
          </cell>
          <cell r="M253">
            <v>-9758513.1500000004</v>
          </cell>
          <cell r="O253">
            <v>-182413.4</v>
          </cell>
          <cell r="Q253">
            <v>-1.9</v>
          </cell>
          <cell r="R253" t="str">
            <v>*2*</v>
          </cell>
        </row>
        <row r="254">
          <cell r="E254" t="str">
            <v>==========</v>
          </cell>
          <cell r="F254" t="str">
            <v>=============================================</v>
          </cell>
        </row>
        <row r="256">
          <cell r="E256" t="str">
            <v>TOTAL PASIVO</v>
          </cell>
          <cell r="F256" t="str">
            <v>*TOTAL PASIVO</v>
          </cell>
          <cell r="K256">
            <v>-9922544.5</v>
          </cell>
          <cell r="M256">
            <v>-9792489.8499999996</v>
          </cell>
          <cell r="O256">
            <v>-130054.65</v>
          </cell>
          <cell r="Q256">
            <v>-1.3</v>
          </cell>
          <cell r="R256" t="str">
            <v>*1*</v>
          </cell>
        </row>
        <row r="257">
          <cell r="E257" t="str">
            <v>==========</v>
          </cell>
          <cell r="F257" t="str">
            <v>=============================================</v>
          </cell>
        </row>
        <row r="264">
          <cell r="G264" t="str">
            <v>División</v>
          </cell>
          <cell r="H264" t="str">
            <v>****</v>
          </cell>
          <cell r="N264" t="str">
            <v>Imptes en</v>
          </cell>
          <cell r="P264" t="str">
            <v>USD</v>
          </cell>
        </row>
        <row r="266">
          <cell r="E266" t="str">
            <v>Textos....</v>
          </cell>
          <cell r="F266" t="str">
            <v>Textos............................................</v>
          </cell>
          <cell r="J266" t="str">
            <v>..Interv.informe.</v>
          </cell>
          <cell r="L266" t="str">
            <v>..Comp. periodos</v>
          </cell>
          <cell r="O266" t="str">
            <v>absolutos</v>
          </cell>
          <cell r="Q266" t="str">
            <v>Rel</v>
          </cell>
          <cell r="R266" t="str">
            <v xml:space="preserve"> Tot</v>
          </cell>
        </row>
        <row r="267">
          <cell r="E267" t="str">
            <v>..........</v>
          </cell>
          <cell r="F267" t="str">
            <v>..................................................</v>
          </cell>
          <cell r="J267" t="str">
            <v>(01.2004-09.2004)</v>
          </cell>
          <cell r="L267" t="str">
            <v>(01.2004-08.2004)</v>
          </cell>
          <cell r="O267" t="str">
            <v>Desviación</v>
          </cell>
          <cell r="Q267" t="str">
            <v>Dsv</v>
          </cell>
          <cell r="R267" t="str">
            <v>Etapa</v>
          </cell>
        </row>
        <row r="269">
          <cell r="E269" t="str">
            <v>RESULTADOS</v>
          </cell>
          <cell r="F269" t="str">
            <v>RESULTADOS</v>
          </cell>
        </row>
        <row r="271">
          <cell r="E271">
            <v>7000300000</v>
          </cell>
          <cell r="F271">
            <v>7000300000</v>
          </cell>
          <cell r="I271" t="str">
            <v>VENTAS DE EXISTENCIAS COMERCIALES DE CO</v>
          </cell>
          <cell r="K271">
            <v>-30604071.41</v>
          </cell>
          <cell r="M271">
            <v>-27304154.100000001</v>
          </cell>
          <cell r="O271">
            <v>-3299917.31</v>
          </cell>
          <cell r="Q271">
            <v>-12.1</v>
          </cell>
        </row>
        <row r="272">
          <cell r="E272">
            <v>7000300000</v>
          </cell>
          <cell r="F272" t="str">
            <v>7000300000 Venta de ex. com. de combustibles</v>
          </cell>
          <cell r="K272">
            <v>-30604071.41</v>
          </cell>
          <cell r="M272">
            <v>-27304154.100000001</v>
          </cell>
          <cell r="O272">
            <v>-3299917.31</v>
          </cell>
          <cell r="Q272">
            <v>-12.1</v>
          </cell>
          <cell r="R272" t="str">
            <v>*8*</v>
          </cell>
        </row>
        <row r="273">
          <cell r="E273">
            <v>7070000000</v>
          </cell>
          <cell r="F273">
            <v>7070000000</v>
          </cell>
          <cell r="I273" t="str">
            <v>COMISIONES SOBRE VENTAS</v>
          </cell>
          <cell r="K273">
            <v>376.63</v>
          </cell>
          <cell r="M273">
            <v>376.63</v>
          </cell>
          <cell r="O273">
            <v>0</v>
          </cell>
        </row>
        <row r="274">
          <cell r="E274">
            <v>7070000000</v>
          </cell>
          <cell r="F274" t="str">
            <v>7070000000 Comisiones sobre ventas</v>
          </cell>
          <cell r="K274">
            <v>376.63</v>
          </cell>
          <cell r="M274">
            <v>376.63</v>
          </cell>
          <cell r="O274">
            <v>0</v>
          </cell>
          <cell r="R274" t="str">
            <v>*8*</v>
          </cell>
        </row>
        <row r="275">
          <cell r="E275">
            <v>7090000000</v>
          </cell>
          <cell r="F275">
            <v>7090000000</v>
          </cell>
          <cell r="I275" t="str">
            <v>RAPPELS SOBRE VENTAS DE EXISTENCIAS COM</v>
          </cell>
          <cell r="K275">
            <v>-1765.01</v>
          </cell>
          <cell r="M275">
            <v>-1609.54</v>
          </cell>
          <cell r="O275">
            <v>-155.47</v>
          </cell>
          <cell r="Q275">
            <v>-9.6999999999999993</v>
          </cell>
        </row>
        <row r="276">
          <cell r="E276">
            <v>7090000000</v>
          </cell>
          <cell r="F276" t="str">
            <v>7090000000 Rappels sobre ventas de exist. com</v>
          </cell>
          <cell r="K276">
            <v>-1765.01</v>
          </cell>
          <cell r="M276">
            <v>-1609.54</v>
          </cell>
          <cell r="O276">
            <v>-155.47</v>
          </cell>
          <cell r="Q276">
            <v>-9.6999999999999993</v>
          </cell>
          <cell r="R276" t="str">
            <v>*8*</v>
          </cell>
        </row>
        <row r="277">
          <cell r="E277" t="str">
            <v>******VENT</v>
          </cell>
          <cell r="F277" t="str">
            <v>******VENTAS</v>
          </cell>
          <cell r="K277">
            <v>-30605459.789999999</v>
          </cell>
          <cell r="M277">
            <v>-27305387.010000002</v>
          </cell>
          <cell r="O277">
            <v>-3300072.78</v>
          </cell>
          <cell r="Q277">
            <v>-12.1</v>
          </cell>
          <cell r="R277" t="str">
            <v>*6*</v>
          </cell>
        </row>
        <row r="278">
          <cell r="E278">
            <v>7130000000</v>
          </cell>
          <cell r="F278">
            <v>7130000000</v>
          </cell>
          <cell r="I278" t="str">
            <v>VARIACION EXIST. SUBPROD./RESIDUOS/MAT.</v>
          </cell>
          <cell r="K278">
            <v>-99.85</v>
          </cell>
          <cell r="M278">
            <v>-99.85</v>
          </cell>
          <cell r="O278">
            <v>0</v>
          </cell>
        </row>
        <row r="279">
          <cell r="E279">
            <v>7130000000</v>
          </cell>
          <cell r="F279" t="str">
            <v>7130000000 Variac. Exist. Subprod./residuos</v>
          </cell>
          <cell r="K279">
            <v>-99.85</v>
          </cell>
          <cell r="M279">
            <v>-99.85</v>
          </cell>
          <cell r="O279">
            <v>0</v>
          </cell>
          <cell r="R279" t="str">
            <v>*8*</v>
          </cell>
        </row>
        <row r="280">
          <cell r="E280">
            <v>7220000400</v>
          </cell>
          <cell r="F280">
            <v>7220000400</v>
          </cell>
          <cell r="I280" t="str">
            <v>RECUPERACION DE GASTOS DE TRANSPORTE</v>
          </cell>
          <cell r="K280">
            <v>-368761.04</v>
          </cell>
          <cell r="M280">
            <v>-339538.96</v>
          </cell>
          <cell r="O280">
            <v>-29222.080000000002</v>
          </cell>
          <cell r="Q280">
            <v>-8.6</v>
          </cell>
        </row>
        <row r="281">
          <cell r="E281">
            <v>7220000400</v>
          </cell>
          <cell r="F281" t="str">
            <v>7220000400 Recuperación gastos de transporte</v>
          </cell>
          <cell r="K281">
            <v>-368761.04</v>
          </cell>
          <cell r="M281">
            <v>-339538.96</v>
          </cell>
          <cell r="O281">
            <v>-29222.080000000002</v>
          </cell>
          <cell r="Q281">
            <v>-8.6</v>
          </cell>
          <cell r="R281" t="str">
            <v>*8*</v>
          </cell>
        </row>
        <row r="282">
          <cell r="E282" t="str">
            <v>******OTRO</v>
          </cell>
          <cell r="F282" t="str">
            <v>******OTROS INGRESOS</v>
          </cell>
          <cell r="K282">
            <v>-368860.89</v>
          </cell>
          <cell r="M282">
            <v>-339638.81</v>
          </cell>
          <cell r="O282">
            <v>-29222.080000000002</v>
          </cell>
          <cell r="Q282">
            <v>-8.6</v>
          </cell>
          <cell r="R282" t="str">
            <v>*6*</v>
          </cell>
        </row>
        <row r="283">
          <cell r="E283" t="str">
            <v>==========</v>
          </cell>
          <cell r="F283" t="str">
            <v>=============================================</v>
          </cell>
        </row>
        <row r="284">
          <cell r="E284" t="str">
            <v>INGRESOS OPERATIVOS</v>
          </cell>
          <cell r="F284" t="str">
            <v>*****INGRESOS OPERATIVOS</v>
          </cell>
          <cell r="K284">
            <v>-30974320.68</v>
          </cell>
          <cell r="M284">
            <v>-27645025.82</v>
          </cell>
          <cell r="O284">
            <v>-3329294.86</v>
          </cell>
          <cell r="Q284">
            <v>-12</v>
          </cell>
          <cell r="R284" t="str">
            <v>*5*</v>
          </cell>
        </row>
        <row r="285">
          <cell r="E285" t="str">
            <v>==========</v>
          </cell>
          <cell r="F285" t="str">
            <v>=============================================</v>
          </cell>
        </row>
        <row r="286">
          <cell r="E286">
            <v>6000300000</v>
          </cell>
          <cell r="F286">
            <v>6000300000</v>
          </cell>
          <cell r="I286" t="str">
            <v>COSTE DE VENTAS DE COMBUSTIBLES</v>
          </cell>
          <cell r="K286">
            <v>29970769.550000001</v>
          </cell>
          <cell r="M286">
            <v>26737194.210000001</v>
          </cell>
          <cell r="O286">
            <v>3233575.34</v>
          </cell>
          <cell r="Q286">
            <v>12.1</v>
          </cell>
        </row>
        <row r="287">
          <cell r="E287">
            <v>6000300000</v>
          </cell>
          <cell r="F287" t="str">
            <v>6000300000 Costo de ventas de combustibles</v>
          </cell>
          <cell r="K287">
            <v>29970769.550000001</v>
          </cell>
          <cell r="M287">
            <v>26737194.210000001</v>
          </cell>
          <cell r="O287">
            <v>3233575.34</v>
          </cell>
          <cell r="Q287">
            <v>12.1</v>
          </cell>
          <cell r="R287" t="str">
            <v>*8*</v>
          </cell>
        </row>
        <row r="288">
          <cell r="E288" t="str">
            <v>COSTO DE VENTAS</v>
          </cell>
          <cell r="F288" t="str">
            <v>******COSTO DE VENTAS</v>
          </cell>
          <cell r="K288">
            <v>29970769.550000001</v>
          </cell>
          <cell r="M288">
            <v>26737194.210000001</v>
          </cell>
          <cell r="O288">
            <v>3233575.34</v>
          </cell>
          <cell r="Q288">
            <v>12.1</v>
          </cell>
          <cell r="R288" t="str">
            <v>*6*</v>
          </cell>
        </row>
        <row r="289">
          <cell r="E289">
            <v>6100300000</v>
          </cell>
          <cell r="F289">
            <v>6100300000</v>
          </cell>
          <cell r="I289" t="str">
            <v>VARIACION EXISTENCIAS COMERCIALES DE CO</v>
          </cell>
          <cell r="K289">
            <v>40.799999999999997</v>
          </cell>
          <cell r="M289">
            <v>40.799999999999997</v>
          </cell>
          <cell r="O289">
            <v>0</v>
          </cell>
        </row>
        <row r="290">
          <cell r="E290">
            <v>6100300000</v>
          </cell>
          <cell r="F290" t="str">
            <v>6100300000 Variac. exist.com. combustibles</v>
          </cell>
          <cell r="K290">
            <v>40.799999999999997</v>
          </cell>
          <cell r="M290">
            <v>40.799999999999997</v>
          </cell>
          <cell r="O290">
            <v>0</v>
          </cell>
          <cell r="R290" t="str">
            <v>*8*</v>
          </cell>
        </row>
        <row r="291">
          <cell r="E291" t="str">
            <v>VARIACION DE EXISTENCIAS</v>
          </cell>
          <cell r="F291" t="str">
            <v>******VARIACION DE EXISTENCIAS</v>
          </cell>
          <cell r="K291">
            <v>40.799999999999997</v>
          </cell>
          <cell r="M291">
            <v>40.799999999999997</v>
          </cell>
          <cell r="O291">
            <v>0</v>
          </cell>
          <cell r="R291" t="str">
            <v>*6*</v>
          </cell>
        </row>
        <row r="292">
          <cell r="E292">
            <v>6400000000</v>
          </cell>
          <cell r="F292">
            <v>6400000000</v>
          </cell>
          <cell r="I292" t="str">
            <v>SALARIOS Y COMPLEMENTOS FIJOS</v>
          </cell>
          <cell r="K292">
            <v>7048.71</v>
          </cell>
          <cell r="M292">
            <v>6221.74</v>
          </cell>
          <cell r="O292">
            <v>826.97</v>
          </cell>
          <cell r="Q292">
            <v>13.3</v>
          </cell>
        </row>
        <row r="293">
          <cell r="E293">
            <v>6400000000</v>
          </cell>
          <cell r="F293" t="str">
            <v>6400000000 Salarios y complementos fijos</v>
          </cell>
          <cell r="K293">
            <v>7048.71</v>
          </cell>
          <cell r="M293">
            <v>6221.74</v>
          </cell>
          <cell r="O293">
            <v>826.97</v>
          </cell>
          <cell r="Q293">
            <v>13.3</v>
          </cell>
          <cell r="R293" t="str">
            <v>*8*</v>
          </cell>
        </row>
        <row r="294">
          <cell r="E294">
            <v>6400003000</v>
          </cell>
          <cell r="F294">
            <v>6400003000</v>
          </cell>
          <cell r="I294" t="str">
            <v>COMPLEMENTOS SOBRETIEMPO</v>
          </cell>
          <cell r="K294">
            <v>1148.1199999999999</v>
          </cell>
          <cell r="M294">
            <v>481.1</v>
          </cell>
          <cell r="O294">
            <v>667.02</v>
          </cell>
          <cell r="Q294">
            <v>138.6</v>
          </cell>
        </row>
        <row r="295">
          <cell r="E295">
            <v>6400003000</v>
          </cell>
          <cell r="F295" t="str">
            <v>6400003000 Complementos sobretiempo</v>
          </cell>
          <cell r="K295">
            <v>1148.1199999999999</v>
          </cell>
          <cell r="M295">
            <v>481.1</v>
          </cell>
          <cell r="O295">
            <v>667.02</v>
          </cell>
          <cell r="Q295">
            <v>138.6</v>
          </cell>
          <cell r="R295" t="str">
            <v>*8*</v>
          </cell>
        </row>
        <row r="296">
          <cell r="E296">
            <v>6420000000</v>
          </cell>
          <cell r="F296">
            <v>6420000000</v>
          </cell>
          <cell r="I296" t="str">
            <v>SEGURIDAD SOCIAL CARGO EMPRESA</v>
          </cell>
          <cell r="K296">
            <v>1544.26</v>
          </cell>
          <cell r="M296">
            <v>1262.4000000000001</v>
          </cell>
          <cell r="O296">
            <v>281.86</v>
          </cell>
          <cell r="Q296">
            <v>22.3</v>
          </cell>
        </row>
        <row r="297">
          <cell r="E297">
            <v>6420000000</v>
          </cell>
          <cell r="F297" t="str">
            <v>6420000000 Seguridad social cargo empresa</v>
          </cell>
          <cell r="K297">
            <v>1544.26</v>
          </cell>
          <cell r="M297">
            <v>1262.4000000000001</v>
          </cell>
          <cell r="O297">
            <v>281.86</v>
          </cell>
          <cell r="Q297">
            <v>22.3</v>
          </cell>
          <cell r="R297" t="str">
            <v>*8*</v>
          </cell>
        </row>
        <row r="298">
          <cell r="E298">
            <v>6440001000</v>
          </cell>
          <cell r="F298">
            <v>6440001000</v>
          </cell>
          <cell r="I298" t="str">
            <v>GASTOS DE VIAJE. LOCOMOCION MEDIOS AJEN</v>
          </cell>
          <cell r="K298">
            <v>463.1</v>
          </cell>
          <cell r="M298">
            <v>463.1</v>
          </cell>
          <cell r="O298">
            <v>0</v>
          </cell>
        </row>
        <row r="299">
          <cell r="E299">
            <v>6440001000</v>
          </cell>
          <cell r="F299" t="str">
            <v>6440001000 Gtos de viaje locom. medios ajenos</v>
          </cell>
          <cell r="K299">
            <v>463.1</v>
          </cell>
          <cell r="M299">
            <v>463.1</v>
          </cell>
          <cell r="O299">
            <v>0</v>
          </cell>
          <cell r="R299" t="str">
            <v>*8*</v>
          </cell>
        </row>
        <row r="300">
          <cell r="E300">
            <v>6441000000</v>
          </cell>
          <cell r="F300">
            <v>6441000000</v>
          </cell>
          <cell r="I300" t="str">
            <v>GASTOS VIAJE.ESTANCIAS,ALOJAMIENTO Y MA</v>
          </cell>
          <cell r="K300">
            <v>44.2</v>
          </cell>
          <cell r="M300">
            <v>20.62</v>
          </cell>
          <cell r="O300">
            <v>23.58</v>
          </cell>
          <cell r="Q300">
            <v>114.4</v>
          </cell>
        </row>
        <row r="301">
          <cell r="E301">
            <v>6441000000</v>
          </cell>
          <cell r="F301" t="str">
            <v>6441000000 Gtos. de viaje est.alojam.manut.</v>
          </cell>
          <cell r="K301">
            <v>44.2</v>
          </cell>
          <cell r="M301">
            <v>20.62</v>
          </cell>
          <cell r="O301">
            <v>23.58</v>
          </cell>
          <cell r="Q301">
            <v>114.4</v>
          </cell>
          <cell r="R301" t="str">
            <v>*8*</v>
          </cell>
        </row>
        <row r="302">
          <cell r="E302">
            <v>6442000000</v>
          </cell>
          <cell r="F302">
            <v>6442000000</v>
          </cell>
          <cell r="I302" t="str">
            <v>GASTOS DE VIAJE. DIETAS</v>
          </cell>
          <cell r="K302">
            <v>762.72</v>
          </cell>
          <cell r="M302">
            <v>762.72</v>
          </cell>
          <cell r="O302">
            <v>0</v>
          </cell>
        </row>
        <row r="303">
          <cell r="E303">
            <v>6442000000</v>
          </cell>
          <cell r="F303" t="str">
            <v>6442000000 Gastos de viaje dietas</v>
          </cell>
          <cell r="K303">
            <v>762.72</v>
          </cell>
          <cell r="M303">
            <v>762.72</v>
          </cell>
          <cell r="O303">
            <v>0</v>
          </cell>
          <cell r="R303" t="str">
            <v>*8*</v>
          </cell>
        </row>
        <row r="304">
          <cell r="E304">
            <v>6490002000</v>
          </cell>
          <cell r="F304">
            <v>6490002000</v>
          </cell>
          <cell r="I304" t="str">
            <v>OTROS GASTOS SOCIALES. AYUDA DE COMIDA</v>
          </cell>
          <cell r="K304">
            <v>144</v>
          </cell>
          <cell r="M304">
            <v>128</v>
          </cell>
          <cell r="O304">
            <v>16</v>
          </cell>
          <cell r="Q304">
            <v>12.5</v>
          </cell>
        </row>
        <row r="305">
          <cell r="E305">
            <v>6490002000</v>
          </cell>
          <cell r="F305" t="str">
            <v>6490002000 Otros gtos. soc. ayuda de comida</v>
          </cell>
          <cell r="K305">
            <v>144</v>
          </cell>
          <cell r="M305">
            <v>128</v>
          </cell>
          <cell r="O305">
            <v>16</v>
          </cell>
          <cell r="Q305">
            <v>12.5</v>
          </cell>
          <cell r="R305" t="str">
            <v>*8*</v>
          </cell>
        </row>
        <row r="306">
          <cell r="E306">
            <v>6490800000</v>
          </cell>
          <cell r="F306">
            <v>6490800000</v>
          </cell>
          <cell r="I306" t="str">
            <v>TRANSPORTE PERSONAL. LOCOMOCION URBANA</v>
          </cell>
          <cell r="K306">
            <v>1019.96</v>
          </cell>
          <cell r="M306">
            <v>966.46</v>
          </cell>
          <cell r="O306">
            <v>53.5</v>
          </cell>
          <cell r="Q306">
            <v>5.5</v>
          </cell>
        </row>
        <row r="307">
          <cell r="E307">
            <v>6490800000</v>
          </cell>
          <cell r="F307" t="str">
            <v>6490800000 Otros gtos. soc. locom. urbana</v>
          </cell>
          <cell r="K307">
            <v>1019.96</v>
          </cell>
          <cell r="M307">
            <v>966.46</v>
          </cell>
          <cell r="O307">
            <v>53.5</v>
          </cell>
          <cell r="Q307">
            <v>5.5</v>
          </cell>
          <cell r="R307" t="str">
            <v>*8*</v>
          </cell>
        </row>
        <row r="308">
          <cell r="E308">
            <v>6499099900</v>
          </cell>
          <cell r="F308">
            <v>6499099900</v>
          </cell>
          <cell r="I308" t="str">
            <v>OTROS GASTOS SOCIALES. OTROS</v>
          </cell>
          <cell r="K308">
            <v>175.7</v>
          </cell>
          <cell r="M308">
            <v>175.7</v>
          </cell>
          <cell r="O308">
            <v>0</v>
          </cell>
        </row>
        <row r="309">
          <cell r="E309">
            <v>6499099900</v>
          </cell>
          <cell r="F309" t="str">
            <v>6499099900 Otros gtos. soc. otros</v>
          </cell>
          <cell r="K309">
            <v>175.7</v>
          </cell>
          <cell r="M309">
            <v>175.7</v>
          </cell>
          <cell r="O309">
            <v>0</v>
          </cell>
          <cell r="R309" t="str">
            <v>*8*</v>
          </cell>
        </row>
        <row r="310">
          <cell r="E310">
            <v>6490100000</v>
          </cell>
          <cell r="F310">
            <v>6490100000</v>
          </cell>
          <cell r="I310" t="str">
            <v>OTROS GASTOS SOCIALES. TARJETAS SUPERMA</v>
          </cell>
          <cell r="K310">
            <v>40</v>
          </cell>
          <cell r="M310">
            <v>40</v>
          </cell>
          <cell r="O310">
            <v>0</v>
          </cell>
        </row>
        <row r="311">
          <cell r="E311">
            <v>6490100000</v>
          </cell>
          <cell r="F311" t="str">
            <v>6490100000 Otros gs. soc. tarjetas supermaxi</v>
          </cell>
          <cell r="K311">
            <v>40</v>
          </cell>
          <cell r="M311">
            <v>40</v>
          </cell>
          <cell r="O311">
            <v>0</v>
          </cell>
          <cell r="R311" t="str">
            <v>*8*</v>
          </cell>
        </row>
        <row r="312">
          <cell r="E312">
            <v>6490400000</v>
          </cell>
          <cell r="F312">
            <v>6490400000</v>
          </cell>
          <cell r="I312" t="str">
            <v>OTRO GASTO SOCIAL. SEGURO ACCID. Y FALL</v>
          </cell>
          <cell r="K312">
            <v>496.48</v>
          </cell>
          <cell r="M312">
            <v>416.63</v>
          </cell>
          <cell r="O312">
            <v>79.849999999999994</v>
          </cell>
          <cell r="Q312">
            <v>19.2</v>
          </cell>
        </row>
        <row r="313">
          <cell r="E313">
            <v>6490400000</v>
          </cell>
          <cell r="F313" t="str">
            <v>6490400000 Otros gs. soc. seguro acc. y fall.</v>
          </cell>
          <cell r="K313">
            <v>496.48</v>
          </cell>
          <cell r="M313">
            <v>416.63</v>
          </cell>
          <cell r="O313">
            <v>79.849999999999994</v>
          </cell>
          <cell r="Q313">
            <v>19.2</v>
          </cell>
          <cell r="R313" t="str">
            <v>*8*</v>
          </cell>
        </row>
        <row r="314">
          <cell r="E314" t="str">
            <v>GASTOS DE PERSONAL</v>
          </cell>
          <cell r="F314" t="str">
            <v>******GASTOS DE PERSONAL</v>
          </cell>
          <cell r="K314">
            <v>12887.25</v>
          </cell>
          <cell r="M314">
            <v>10938.47</v>
          </cell>
          <cell r="O314">
            <v>1948.78</v>
          </cell>
          <cell r="Q314">
            <v>17.8</v>
          </cell>
          <cell r="R314" t="str">
            <v>*6*</v>
          </cell>
        </row>
        <row r="315">
          <cell r="E315">
            <v>6310300000</v>
          </cell>
          <cell r="F315">
            <v>6310300000</v>
          </cell>
          <cell r="I315" t="str">
            <v>IMPUESTO MATRICULACION VEHICULOS</v>
          </cell>
          <cell r="K315">
            <v>223</v>
          </cell>
          <cell r="M315">
            <v>223</v>
          </cell>
          <cell r="O315">
            <v>0</v>
          </cell>
        </row>
        <row r="316">
          <cell r="E316">
            <v>6310300000</v>
          </cell>
          <cell r="F316" t="str">
            <v>6310300000 Imp. a la matriculac. de vehículos</v>
          </cell>
          <cell r="K316">
            <v>223</v>
          </cell>
          <cell r="M316">
            <v>223</v>
          </cell>
          <cell r="O316">
            <v>0</v>
          </cell>
          <cell r="R316" t="str">
            <v>*7*</v>
          </cell>
        </row>
        <row r="317">
          <cell r="E317">
            <v>6310609900</v>
          </cell>
          <cell r="F317">
            <v>6310609900</v>
          </cell>
          <cell r="I317" t="str">
            <v>TASAS MUNICIPALES Y CONTRIBUCIONES</v>
          </cell>
          <cell r="K317">
            <v>1281.3800000000001</v>
          </cell>
          <cell r="M317">
            <v>1139.27</v>
          </cell>
          <cell r="O317">
            <v>142.11000000000001</v>
          </cell>
          <cell r="Q317">
            <v>12.5</v>
          </cell>
        </row>
        <row r="318">
          <cell r="E318">
            <v>6310609900</v>
          </cell>
          <cell r="F318" t="str">
            <v>6310609900 Tasas municipales y contribuciones</v>
          </cell>
          <cell r="K318">
            <v>1281.3800000000001</v>
          </cell>
          <cell r="M318">
            <v>1139.27</v>
          </cell>
          <cell r="O318">
            <v>142.11000000000001</v>
          </cell>
          <cell r="Q318">
            <v>12.5</v>
          </cell>
          <cell r="R318" t="str">
            <v>*7*</v>
          </cell>
        </row>
        <row r="319">
          <cell r="E319">
            <v>6319900000</v>
          </cell>
          <cell r="F319">
            <v>6319900000</v>
          </cell>
          <cell r="I319" t="str">
            <v>OTROS IMPUESTOS</v>
          </cell>
          <cell r="K319">
            <v>20947.8</v>
          </cell>
          <cell r="M319">
            <v>18620.27</v>
          </cell>
          <cell r="O319">
            <v>2327.5300000000002</v>
          </cell>
          <cell r="Q319">
            <v>12.5</v>
          </cell>
        </row>
        <row r="320">
          <cell r="E320">
            <v>6319900000</v>
          </cell>
          <cell r="F320" t="str">
            <v>6319900000 Otros impuesto</v>
          </cell>
          <cell r="K320">
            <v>20947.8</v>
          </cell>
          <cell r="M320">
            <v>18620.27</v>
          </cell>
          <cell r="O320">
            <v>2327.5300000000002</v>
          </cell>
          <cell r="Q320">
            <v>12.5</v>
          </cell>
          <cell r="R320" t="str">
            <v>*7*</v>
          </cell>
        </row>
        <row r="321">
          <cell r="E321" t="str">
            <v>TRIBUTOS</v>
          </cell>
          <cell r="F321" t="str">
            <v>******TRIBUTOS</v>
          </cell>
          <cell r="K321">
            <v>22452.18</v>
          </cell>
          <cell r="M321">
            <v>19982.54</v>
          </cell>
          <cell r="O321">
            <v>2469.64</v>
          </cell>
          <cell r="Q321">
            <v>12.4</v>
          </cell>
          <cell r="R321" t="str">
            <v>*6*</v>
          </cell>
        </row>
        <row r="322">
          <cell r="E322">
            <v>6220800000</v>
          </cell>
          <cell r="F322">
            <v>6220800000</v>
          </cell>
          <cell r="I322" t="str">
            <v>REP. Y CONSERV. ELEMENTOS TRANSPORTE PO</v>
          </cell>
          <cell r="K322">
            <v>652.36</v>
          </cell>
          <cell r="M322">
            <v>646.86</v>
          </cell>
          <cell r="O322">
            <v>5.5</v>
          </cell>
          <cell r="Q322">
            <v>0.9</v>
          </cell>
        </row>
        <row r="323">
          <cell r="E323">
            <v>6220800000</v>
          </cell>
          <cell r="F323" t="str">
            <v>6220800000 Rep. y cons. de elem. de transport</v>
          </cell>
          <cell r="K323">
            <v>652.36</v>
          </cell>
          <cell r="M323">
            <v>646.86</v>
          </cell>
          <cell r="O323">
            <v>5.5</v>
          </cell>
          <cell r="Q323">
            <v>0.9</v>
          </cell>
          <cell r="R323" t="str">
            <v>*8*</v>
          </cell>
        </row>
        <row r="324">
          <cell r="E324" t="str">
            <v>MANTENIMIENTO Y REPARACION</v>
          </cell>
          <cell r="F324" t="str">
            <v>******MANTENIMIENTO Y REPARACION</v>
          </cell>
          <cell r="K324">
            <v>652.36</v>
          </cell>
          <cell r="M324">
            <v>646.86</v>
          </cell>
          <cell r="O324">
            <v>5.5</v>
          </cell>
          <cell r="Q324">
            <v>0.9</v>
          </cell>
          <cell r="R324" t="str">
            <v>*6*</v>
          </cell>
        </row>
        <row r="325">
          <cell r="E325">
            <v>6230000000</v>
          </cell>
          <cell r="F325">
            <v>6230000000</v>
          </cell>
          <cell r="I325" t="str">
            <v>SERVICIOS JURIDICOS Y CONTENCIOSOS</v>
          </cell>
          <cell r="K325">
            <v>9966.32</v>
          </cell>
          <cell r="M325">
            <v>6580.47</v>
          </cell>
          <cell r="O325">
            <v>3385.85</v>
          </cell>
          <cell r="Q325">
            <v>51.5</v>
          </cell>
        </row>
        <row r="326">
          <cell r="E326">
            <v>6230000000</v>
          </cell>
          <cell r="F326" t="str">
            <v>6230000000 Serv. jurídicos y contenciosos</v>
          </cell>
          <cell r="K326">
            <v>9966.32</v>
          </cell>
          <cell r="M326">
            <v>6580.47</v>
          </cell>
          <cell r="O326">
            <v>3385.85</v>
          </cell>
          <cell r="Q326">
            <v>51.5</v>
          </cell>
          <cell r="R326" t="str">
            <v>*8*</v>
          </cell>
        </row>
        <row r="327">
          <cell r="E327">
            <v>6230000100</v>
          </cell>
          <cell r="F327">
            <v>6230000100</v>
          </cell>
          <cell r="I327" t="str">
            <v>SERVICIOS DE AUDITORIA</v>
          </cell>
          <cell r="K327">
            <v>7234.47</v>
          </cell>
          <cell r="M327">
            <v>6455.3</v>
          </cell>
          <cell r="O327">
            <v>779.17</v>
          </cell>
          <cell r="Q327">
            <v>12.1</v>
          </cell>
        </row>
        <row r="328">
          <cell r="E328">
            <v>6230000100</v>
          </cell>
          <cell r="F328" t="str">
            <v>6230000100 Serv. de auditoría</v>
          </cell>
          <cell r="K328">
            <v>7234.47</v>
          </cell>
          <cell r="M328">
            <v>6455.3</v>
          </cell>
          <cell r="O328">
            <v>779.17</v>
          </cell>
          <cell r="Q328">
            <v>12.1</v>
          </cell>
          <cell r="R328" t="str">
            <v>*8*</v>
          </cell>
        </row>
        <row r="329">
          <cell r="E329">
            <v>6230000400</v>
          </cell>
          <cell r="F329">
            <v>6230000400</v>
          </cell>
          <cell r="I329" t="str">
            <v>CONTRATACION PERSONAL A EMPRESAS TRABAJ</v>
          </cell>
          <cell r="K329">
            <v>291.68</v>
          </cell>
          <cell r="M329">
            <v>217.24</v>
          </cell>
          <cell r="O329">
            <v>74.44</v>
          </cell>
          <cell r="Q329">
            <v>34.299999999999997</v>
          </cell>
        </row>
        <row r="330">
          <cell r="E330">
            <v>6230000400</v>
          </cell>
          <cell r="F330" t="str">
            <v>6230000400 Contrat. de pers. a empr. de trab.</v>
          </cell>
          <cell r="K330">
            <v>291.68</v>
          </cell>
          <cell r="M330">
            <v>217.24</v>
          </cell>
          <cell r="O330">
            <v>74.44</v>
          </cell>
          <cell r="Q330">
            <v>34.299999999999997</v>
          </cell>
          <cell r="R330" t="str">
            <v>*8*</v>
          </cell>
        </row>
        <row r="331">
          <cell r="E331" t="str">
            <v>SERVICIOS EXTERIORES</v>
          </cell>
          <cell r="F331" t="str">
            <v>******SERVICIOS EXTERIORES</v>
          </cell>
          <cell r="K331">
            <v>17492.47</v>
          </cell>
          <cell r="M331">
            <v>13253.01</v>
          </cell>
          <cell r="O331">
            <v>4239.46</v>
          </cell>
          <cell r="Q331">
            <v>32</v>
          </cell>
          <cell r="R331" t="str">
            <v>*7*</v>
          </cell>
        </row>
        <row r="332">
          <cell r="E332">
            <v>6250000500</v>
          </cell>
          <cell r="F332">
            <v>6250000500</v>
          </cell>
          <cell r="I332" t="str">
            <v>PRIMAS DE SEGUROS DE AUTOMOVILES</v>
          </cell>
          <cell r="K332">
            <v>456.4</v>
          </cell>
          <cell r="M332">
            <v>456.4</v>
          </cell>
          <cell r="O332">
            <v>0</v>
          </cell>
        </row>
        <row r="333">
          <cell r="E333">
            <v>6250000500</v>
          </cell>
          <cell r="F333" t="str">
            <v>6250000500 Primas de seg. de automóviles</v>
          </cell>
          <cell r="K333">
            <v>456.4</v>
          </cell>
          <cell r="M333">
            <v>456.4</v>
          </cell>
          <cell r="O333">
            <v>0</v>
          </cell>
          <cell r="R333" t="str">
            <v>*8*</v>
          </cell>
        </row>
        <row r="334">
          <cell r="E334">
            <v>6250099900</v>
          </cell>
          <cell r="F334">
            <v>6250099900</v>
          </cell>
          <cell r="I334" t="str">
            <v>PRIMAS DE OTROS SEGUROS</v>
          </cell>
          <cell r="K334">
            <v>-246</v>
          </cell>
          <cell r="M334">
            <v>-246</v>
          </cell>
          <cell r="O334">
            <v>0</v>
          </cell>
        </row>
        <row r="335">
          <cell r="E335">
            <v>6250099900</v>
          </cell>
          <cell r="F335" t="str">
            <v>6250099900 Primas de otros seguros</v>
          </cell>
          <cell r="K335">
            <v>-246</v>
          </cell>
          <cell r="M335">
            <v>-246</v>
          </cell>
          <cell r="O335">
            <v>0</v>
          </cell>
          <cell r="R335" t="str">
            <v>*8*</v>
          </cell>
        </row>
        <row r="336">
          <cell r="E336" t="str">
            <v>SEGUROS</v>
          </cell>
          <cell r="F336" t="str">
            <v>******SEGUROS</v>
          </cell>
          <cell r="K336">
            <v>210.4</v>
          </cell>
          <cell r="M336">
            <v>210.4</v>
          </cell>
          <cell r="O336">
            <v>0</v>
          </cell>
          <cell r="R336" t="str">
            <v>*7*</v>
          </cell>
        </row>
        <row r="337">
          <cell r="E337">
            <v>6260400000</v>
          </cell>
          <cell r="F337">
            <v>6260400000</v>
          </cell>
          <cell r="I337" t="str">
            <v>SERVICIOS BANCARIOS POR TRANSFERENCIAS</v>
          </cell>
          <cell r="K337">
            <v>74.709999999999994</v>
          </cell>
          <cell r="M337">
            <v>74.709999999999994</v>
          </cell>
          <cell r="O337">
            <v>0</v>
          </cell>
        </row>
        <row r="338">
          <cell r="E338">
            <v>6260400000</v>
          </cell>
          <cell r="F338" t="str">
            <v>6260400000 Serv. bcrios. x transf. y cheques</v>
          </cell>
          <cell r="K338">
            <v>74.709999999999994</v>
          </cell>
          <cell r="M338">
            <v>74.709999999999994</v>
          </cell>
          <cell r="O338">
            <v>0</v>
          </cell>
          <cell r="R338" t="str">
            <v>*8*</v>
          </cell>
        </row>
        <row r="339">
          <cell r="E339">
            <v>6260500000</v>
          </cell>
          <cell r="F339">
            <v>6260500000</v>
          </cell>
          <cell r="I339" t="str">
            <v>SERVICIOS BANCARIOS. COMISIONES SOBRE A</v>
          </cell>
          <cell r="K339">
            <v>18416.78</v>
          </cell>
          <cell r="M339">
            <v>17491.099999999999</v>
          </cell>
          <cell r="O339">
            <v>925.68</v>
          </cell>
          <cell r="Q339">
            <v>5.3</v>
          </cell>
        </row>
        <row r="340">
          <cell r="E340">
            <v>6260500000</v>
          </cell>
          <cell r="F340" t="str">
            <v>6260500000 Serv. bcrios. comis. y avales</v>
          </cell>
          <cell r="K340">
            <v>18416.78</v>
          </cell>
          <cell r="M340">
            <v>17491.099999999999</v>
          </cell>
          <cell r="O340">
            <v>925.68</v>
          </cell>
          <cell r="Q340">
            <v>5.3</v>
          </cell>
          <cell r="R340" t="str">
            <v>*8*</v>
          </cell>
        </row>
        <row r="341">
          <cell r="E341">
            <v>6269900000</v>
          </cell>
          <cell r="F341">
            <v>6269900000</v>
          </cell>
          <cell r="I341" t="str">
            <v>OTROS SERVICIOS BANCARIOS Y SIMILARES</v>
          </cell>
          <cell r="K341">
            <v>21337.52</v>
          </cell>
          <cell r="M341">
            <v>17633.02</v>
          </cell>
          <cell r="O341">
            <v>3704.5</v>
          </cell>
          <cell r="Q341">
            <v>21</v>
          </cell>
        </row>
        <row r="342">
          <cell r="E342">
            <v>6269900000</v>
          </cell>
          <cell r="F342" t="str">
            <v>6269900000 Otros serv. bcrios. y similares</v>
          </cell>
          <cell r="K342">
            <v>21337.52</v>
          </cell>
          <cell r="M342">
            <v>17633.02</v>
          </cell>
          <cell r="O342">
            <v>3704.5</v>
          </cell>
          <cell r="Q342">
            <v>21</v>
          </cell>
          <cell r="R342" t="str">
            <v>*8*</v>
          </cell>
        </row>
        <row r="343">
          <cell r="E343" t="str">
            <v>SERVICIOS BANCARIOS</v>
          </cell>
          <cell r="F343" t="str">
            <v>******SERVICIOS BANCARIOS</v>
          </cell>
          <cell r="K343">
            <v>39829.01</v>
          </cell>
          <cell r="M343">
            <v>35198.83</v>
          </cell>
          <cell r="O343">
            <v>4630.18</v>
          </cell>
          <cell r="Q343">
            <v>13.2</v>
          </cell>
          <cell r="R343" t="str">
            <v>*7*</v>
          </cell>
        </row>
        <row r="344">
          <cell r="E344">
            <v>6280000000</v>
          </cell>
          <cell r="F344">
            <v>6280000000</v>
          </cell>
          <cell r="I344" t="str">
            <v>SUMINISTROS DE ELECTRICIDAD</v>
          </cell>
          <cell r="K344">
            <v>823.73</v>
          </cell>
          <cell r="M344">
            <v>823.73</v>
          </cell>
          <cell r="O344">
            <v>0</v>
          </cell>
        </row>
        <row r="345">
          <cell r="E345">
            <v>6280000000</v>
          </cell>
          <cell r="F345" t="str">
            <v>6280000000 Suministros de electricidad</v>
          </cell>
          <cell r="K345">
            <v>823.73</v>
          </cell>
          <cell r="M345">
            <v>823.73</v>
          </cell>
          <cell r="O345">
            <v>0</v>
          </cell>
          <cell r="R345" t="str">
            <v>*9*</v>
          </cell>
        </row>
        <row r="346">
          <cell r="E346">
            <v>6280100000</v>
          </cell>
          <cell r="F346">
            <v>6280100000</v>
          </cell>
          <cell r="I346" t="str">
            <v>SUMINISTROS DE AGUA</v>
          </cell>
          <cell r="K346">
            <v>96</v>
          </cell>
          <cell r="M346">
            <v>66</v>
          </cell>
          <cell r="O346">
            <v>30</v>
          </cell>
          <cell r="Q346">
            <v>45.5</v>
          </cell>
        </row>
        <row r="347">
          <cell r="E347">
            <v>6280100000</v>
          </cell>
          <cell r="F347" t="str">
            <v>6280100000 Suministro de agua</v>
          </cell>
          <cell r="K347">
            <v>96</v>
          </cell>
          <cell r="M347">
            <v>66</v>
          </cell>
          <cell r="O347">
            <v>30</v>
          </cell>
          <cell r="Q347">
            <v>45.5</v>
          </cell>
          <cell r="R347" t="str">
            <v>*9*</v>
          </cell>
        </row>
        <row r="348">
          <cell r="E348">
            <v>6280200000</v>
          </cell>
          <cell r="F348">
            <v>6280200000</v>
          </cell>
          <cell r="I348" t="str">
            <v>TELECOMUNICACIONES</v>
          </cell>
          <cell r="K348">
            <v>8075.94</v>
          </cell>
          <cell r="M348">
            <v>7477.23</v>
          </cell>
          <cell r="O348">
            <v>598.71</v>
          </cell>
          <cell r="Q348">
            <v>8</v>
          </cell>
        </row>
        <row r="349">
          <cell r="E349">
            <v>6280200000</v>
          </cell>
          <cell r="F349" t="str">
            <v>6280200000 Telecomunicaciones</v>
          </cell>
          <cell r="K349">
            <v>8075.94</v>
          </cell>
          <cell r="M349">
            <v>7477.23</v>
          </cell>
          <cell r="O349">
            <v>598.71</v>
          </cell>
          <cell r="Q349">
            <v>8</v>
          </cell>
          <cell r="R349" t="str">
            <v>*9*</v>
          </cell>
        </row>
        <row r="350">
          <cell r="E350">
            <v>6280201000</v>
          </cell>
          <cell r="F350">
            <v>6280201000</v>
          </cell>
          <cell r="I350" t="str">
            <v>CORREOS Y MENSAJEROS</v>
          </cell>
          <cell r="K350">
            <v>128.37</v>
          </cell>
          <cell r="M350">
            <v>128.37</v>
          </cell>
          <cell r="O350">
            <v>0</v>
          </cell>
        </row>
        <row r="351">
          <cell r="E351">
            <v>6280201000</v>
          </cell>
          <cell r="F351" t="str">
            <v>6280201000 Correos y mensajeros</v>
          </cell>
          <cell r="K351">
            <v>128.37</v>
          </cell>
          <cell r="M351">
            <v>128.37</v>
          </cell>
          <cell r="O351">
            <v>0</v>
          </cell>
          <cell r="R351" t="str">
            <v>*9*</v>
          </cell>
        </row>
        <row r="352">
          <cell r="E352">
            <v>6280299000</v>
          </cell>
          <cell r="F352">
            <v>6280299000</v>
          </cell>
          <cell r="I352" t="str">
            <v>OTRAS COMUNICACIONES</v>
          </cell>
          <cell r="K352">
            <v>381.6</v>
          </cell>
          <cell r="M352">
            <v>308</v>
          </cell>
          <cell r="O352">
            <v>73.599999999999994</v>
          </cell>
          <cell r="Q352">
            <v>23.9</v>
          </cell>
        </row>
        <row r="353">
          <cell r="E353">
            <v>6280299000</v>
          </cell>
          <cell r="F353" t="str">
            <v>6280299000 Otras comunicaciones</v>
          </cell>
          <cell r="K353">
            <v>381.6</v>
          </cell>
          <cell r="M353">
            <v>308</v>
          </cell>
          <cell r="O353">
            <v>73.599999999999994</v>
          </cell>
          <cell r="Q353">
            <v>23.9</v>
          </cell>
          <cell r="R353" t="str">
            <v>*9*</v>
          </cell>
        </row>
        <row r="354">
          <cell r="E354">
            <v>6280002000</v>
          </cell>
          <cell r="F354">
            <v>6280002000</v>
          </cell>
          <cell r="I354" t="str">
            <v>SUMINISTROS DE CARBURANTES Y COMBUSTIBL</v>
          </cell>
          <cell r="K354">
            <v>5599</v>
          </cell>
          <cell r="M354">
            <v>5487.76</v>
          </cell>
          <cell r="O354">
            <v>111.24</v>
          </cell>
          <cell r="Q354">
            <v>2</v>
          </cell>
        </row>
        <row r="355">
          <cell r="E355">
            <v>6280002000</v>
          </cell>
          <cell r="F355" t="str">
            <v>6280002000 Suministro de carb. y combust.</v>
          </cell>
          <cell r="K355">
            <v>5599</v>
          </cell>
          <cell r="M355">
            <v>5487.76</v>
          </cell>
          <cell r="O355">
            <v>111.24</v>
          </cell>
          <cell r="Q355">
            <v>2</v>
          </cell>
          <cell r="R355" t="str">
            <v>*9*</v>
          </cell>
        </row>
        <row r="356">
          <cell r="E356">
            <v>6280300000</v>
          </cell>
          <cell r="F356">
            <v>6280300000</v>
          </cell>
          <cell r="I356" t="str">
            <v>MATERIAL DE OFICINA</v>
          </cell>
          <cell r="K356">
            <v>2157.46</v>
          </cell>
          <cell r="M356">
            <v>2157.46</v>
          </cell>
          <cell r="O356">
            <v>0</v>
          </cell>
        </row>
        <row r="357">
          <cell r="E357">
            <v>6280300000</v>
          </cell>
          <cell r="F357" t="str">
            <v>6280300000 Material de oficina</v>
          </cell>
          <cell r="K357">
            <v>2157.46</v>
          </cell>
          <cell r="M357">
            <v>2157.46</v>
          </cell>
          <cell r="O357">
            <v>0</v>
          </cell>
          <cell r="R357" t="str">
            <v>*9*</v>
          </cell>
        </row>
        <row r="358">
          <cell r="E358">
            <v>6280302000</v>
          </cell>
          <cell r="F358">
            <v>6280302000</v>
          </cell>
          <cell r="I358" t="str">
            <v>MATERIAL DE PROTECCION Y SEGURIDAD (NO</v>
          </cell>
          <cell r="K358">
            <v>166.29</v>
          </cell>
          <cell r="M358">
            <v>166.29</v>
          </cell>
          <cell r="O358">
            <v>0</v>
          </cell>
        </row>
        <row r="359">
          <cell r="E359">
            <v>6280302000</v>
          </cell>
          <cell r="F359" t="str">
            <v>6280302000 Mater. de protección y seguridad</v>
          </cell>
          <cell r="K359">
            <v>166.29</v>
          </cell>
          <cell r="M359">
            <v>166.29</v>
          </cell>
          <cell r="O359">
            <v>0</v>
          </cell>
          <cell r="R359" t="str">
            <v>*9*</v>
          </cell>
        </row>
        <row r="360">
          <cell r="E360" t="str">
            <v>SUMINISTROS</v>
          </cell>
          <cell r="F360" t="str">
            <v>******SUMINISTROS</v>
          </cell>
          <cell r="K360">
            <v>17428.39</v>
          </cell>
          <cell r="M360">
            <v>16614.84</v>
          </cell>
          <cell r="O360">
            <v>813.55</v>
          </cell>
          <cell r="Q360">
            <v>4.9000000000000004</v>
          </cell>
          <cell r="R360" t="str">
            <v>*7*</v>
          </cell>
        </row>
        <row r="361">
          <cell r="E361">
            <v>6240000000</v>
          </cell>
          <cell r="F361">
            <v>6240000000</v>
          </cell>
          <cell r="I361" t="str">
            <v>TRANSPORTE DE  VENTAS POR CARRETERA</v>
          </cell>
          <cell r="K361">
            <v>365425.16</v>
          </cell>
          <cell r="M361">
            <v>334190.88</v>
          </cell>
          <cell r="O361">
            <v>31234.28</v>
          </cell>
          <cell r="Q361">
            <v>9.3000000000000007</v>
          </cell>
        </row>
        <row r="362">
          <cell r="E362">
            <v>6240000000</v>
          </cell>
          <cell r="F362" t="str">
            <v>6240000000 Transporte de vtas. x carretera</v>
          </cell>
          <cell r="K362">
            <v>365425.16</v>
          </cell>
          <cell r="M362">
            <v>334190.88</v>
          </cell>
          <cell r="O362">
            <v>31234.28</v>
          </cell>
          <cell r="Q362">
            <v>9.3000000000000007</v>
          </cell>
          <cell r="R362" t="str">
            <v>*9*</v>
          </cell>
        </row>
        <row r="363">
          <cell r="E363">
            <v>6290300000</v>
          </cell>
          <cell r="F363">
            <v>6290300000</v>
          </cell>
          <cell r="I363" t="str">
            <v>SERVICIOS DE LIMPIEZA</v>
          </cell>
          <cell r="K363">
            <v>601.85</v>
          </cell>
          <cell r="M363">
            <v>594.41</v>
          </cell>
          <cell r="O363">
            <v>7.44</v>
          </cell>
          <cell r="Q363">
            <v>1.3</v>
          </cell>
        </row>
        <row r="364">
          <cell r="E364">
            <v>6290300000</v>
          </cell>
          <cell r="F364" t="str">
            <v>6290300000 Servicios de limpieza</v>
          </cell>
          <cell r="K364">
            <v>601.85</v>
          </cell>
          <cell r="M364">
            <v>594.41</v>
          </cell>
          <cell r="O364">
            <v>7.44</v>
          </cell>
          <cell r="Q364">
            <v>1.3</v>
          </cell>
          <cell r="R364" t="str">
            <v>*9*</v>
          </cell>
        </row>
        <row r="365">
          <cell r="E365">
            <v>6299900000</v>
          </cell>
          <cell r="F365">
            <v>6299900000</v>
          </cell>
          <cell r="I365" t="str">
            <v>DOCUMENTACION</v>
          </cell>
          <cell r="K365">
            <v>94.8</v>
          </cell>
          <cell r="M365">
            <v>94.8</v>
          </cell>
          <cell r="O365">
            <v>0</v>
          </cell>
        </row>
        <row r="366">
          <cell r="E366">
            <v>6299900000</v>
          </cell>
          <cell r="F366" t="str">
            <v>6299900000 Documentación</v>
          </cell>
          <cell r="K366">
            <v>94.8</v>
          </cell>
          <cell r="M366">
            <v>94.8</v>
          </cell>
          <cell r="O366">
            <v>0</v>
          </cell>
          <cell r="R366" t="str">
            <v>*10*</v>
          </cell>
        </row>
        <row r="367">
          <cell r="E367">
            <v>6299906000</v>
          </cell>
          <cell r="F367">
            <v>6299906000</v>
          </cell>
          <cell r="I367" t="str">
            <v>SERVICIOS DE SEGURIDAD Y VIGILANCIA</v>
          </cell>
          <cell r="K367">
            <v>10000</v>
          </cell>
          <cell r="M367">
            <v>8000</v>
          </cell>
          <cell r="O367">
            <v>2000</v>
          </cell>
          <cell r="Q367">
            <v>25</v>
          </cell>
        </row>
        <row r="368">
          <cell r="E368">
            <v>6299906000</v>
          </cell>
          <cell r="F368" t="str">
            <v>6299906000 Servicio de seguridad y vigilancia</v>
          </cell>
          <cell r="K368">
            <v>10000</v>
          </cell>
          <cell r="M368">
            <v>8000</v>
          </cell>
          <cell r="O368">
            <v>2000</v>
          </cell>
          <cell r="Q368">
            <v>25</v>
          </cell>
          <cell r="R368" t="str">
            <v>*10*</v>
          </cell>
        </row>
        <row r="369">
          <cell r="E369">
            <v>6299999000</v>
          </cell>
          <cell r="F369">
            <v>6299999000</v>
          </cell>
          <cell r="I369" t="str">
            <v>OTROS SERVICIOS</v>
          </cell>
          <cell r="K369">
            <v>18828.169999999998</v>
          </cell>
          <cell r="M369">
            <v>18587.68</v>
          </cell>
          <cell r="O369">
            <v>240.49</v>
          </cell>
          <cell r="Q369">
            <v>1.3</v>
          </cell>
        </row>
        <row r="370">
          <cell r="E370">
            <v>6299999000</v>
          </cell>
          <cell r="F370" t="str">
            <v>6299999000 Otros servicios</v>
          </cell>
          <cell r="K370">
            <v>18828.169999999998</v>
          </cell>
          <cell r="M370">
            <v>18587.68</v>
          </cell>
          <cell r="O370">
            <v>240.49</v>
          </cell>
          <cell r="Q370">
            <v>1.3</v>
          </cell>
          <cell r="R370" t="str">
            <v>*10*</v>
          </cell>
        </row>
        <row r="371">
          <cell r="E371" t="str">
            <v>OTROS SERVICIOS</v>
          </cell>
          <cell r="F371" t="str">
            <v>******OTROS SERVICIOS</v>
          </cell>
          <cell r="K371">
            <v>394949.98</v>
          </cell>
          <cell r="M371">
            <v>361467.77</v>
          </cell>
          <cell r="O371">
            <v>33482.21</v>
          </cell>
          <cell r="Q371">
            <v>9.3000000000000007</v>
          </cell>
          <cell r="R371" t="str">
            <v>*7*</v>
          </cell>
        </row>
        <row r="372">
          <cell r="E372">
            <v>8302681300</v>
          </cell>
          <cell r="F372">
            <v>8302681300</v>
          </cell>
          <cell r="I372" t="str">
            <v>AMORTIZACION DE FONDO DE COMERCIO (GAAP</v>
          </cell>
          <cell r="K372">
            <v>338068.59</v>
          </cell>
          <cell r="M372">
            <v>300505.32</v>
          </cell>
          <cell r="O372">
            <v>37563.269999999997</v>
          </cell>
          <cell r="Q372">
            <v>12.5</v>
          </cell>
        </row>
        <row r="373">
          <cell r="E373">
            <v>6813000000</v>
          </cell>
          <cell r="F373" t="str">
            <v>6813000000 Amortizacion fondo de comercio</v>
          </cell>
          <cell r="K373">
            <v>338068.59</v>
          </cell>
          <cell r="M373">
            <v>300505.32</v>
          </cell>
          <cell r="O373">
            <v>37563.269999999997</v>
          </cell>
          <cell r="Q373">
            <v>12.5</v>
          </cell>
          <cell r="R373" t="str">
            <v>*8*</v>
          </cell>
        </row>
        <row r="374">
          <cell r="E374">
            <v>8302682100</v>
          </cell>
          <cell r="F374">
            <v>8302682100</v>
          </cell>
          <cell r="I374" t="str">
            <v>AMORTIZACION DE EDIFICIOS EN EE.S. (GAA</v>
          </cell>
          <cell r="K374">
            <v>34381.660000000003</v>
          </cell>
          <cell r="M374">
            <v>30561.38</v>
          </cell>
          <cell r="O374">
            <v>3820.28</v>
          </cell>
          <cell r="Q374">
            <v>12.5</v>
          </cell>
        </row>
        <row r="375">
          <cell r="E375">
            <v>6821000000</v>
          </cell>
          <cell r="F375" t="str">
            <v>6821000000 Amortiz. de Edificios en EE.SS.</v>
          </cell>
          <cell r="K375">
            <v>34381.660000000003</v>
          </cell>
          <cell r="M375">
            <v>30561.38</v>
          </cell>
          <cell r="O375">
            <v>3820.28</v>
          </cell>
          <cell r="Q375">
            <v>12.5</v>
          </cell>
          <cell r="R375" t="str">
            <v>*8*</v>
          </cell>
        </row>
        <row r="376">
          <cell r="E376">
            <v>8302682200</v>
          </cell>
          <cell r="F376">
            <v>8302682200</v>
          </cell>
          <cell r="I376" t="str">
            <v>AMORTIZACION DE INSTALACIONES DE EE.S.</v>
          </cell>
          <cell r="K376">
            <v>306211.52</v>
          </cell>
          <cell r="M376">
            <v>272252.40000000002</v>
          </cell>
          <cell r="O376">
            <v>33959.120000000003</v>
          </cell>
          <cell r="Q376">
            <v>12.5</v>
          </cell>
        </row>
        <row r="377">
          <cell r="E377">
            <v>6822000000</v>
          </cell>
          <cell r="F377" t="str">
            <v>6822000000 Amortiz. de Instalac. en EE.SS.</v>
          </cell>
          <cell r="K377">
            <v>306211.52</v>
          </cell>
          <cell r="M377">
            <v>272252.40000000002</v>
          </cell>
          <cell r="O377">
            <v>33959.120000000003</v>
          </cell>
          <cell r="Q377">
            <v>12.5</v>
          </cell>
          <cell r="R377" t="str">
            <v>*8*</v>
          </cell>
        </row>
        <row r="378">
          <cell r="E378">
            <v>8302682300</v>
          </cell>
          <cell r="F378">
            <v>8302682300</v>
          </cell>
          <cell r="I378" t="str">
            <v>AMORTIZACION DE MAQUINARIA (GAAP)</v>
          </cell>
          <cell r="K378">
            <v>1846.38</v>
          </cell>
          <cell r="M378">
            <v>1673.8</v>
          </cell>
          <cell r="O378">
            <v>172.58</v>
          </cell>
          <cell r="Q378">
            <v>10.3</v>
          </cell>
        </row>
        <row r="379">
          <cell r="E379">
            <v>6823000000</v>
          </cell>
          <cell r="F379" t="str">
            <v>6823000000 Amortiz. de Maquinaria</v>
          </cell>
          <cell r="K379">
            <v>1846.38</v>
          </cell>
          <cell r="M379">
            <v>1673.8</v>
          </cell>
          <cell r="O379">
            <v>172.58</v>
          </cell>
          <cell r="Q379">
            <v>10.3</v>
          </cell>
          <cell r="R379" t="str">
            <v>*8*</v>
          </cell>
        </row>
        <row r="380">
          <cell r="E380">
            <v>8302682600</v>
          </cell>
          <cell r="F380">
            <v>8302682600</v>
          </cell>
          <cell r="I380" t="str">
            <v>AMORTIZACION DE MOBILIARIO (GAAP)</v>
          </cell>
          <cell r="K380">
            <v>3773.3</v>
          </cell>
          <cell r="M380">
            <v>3467.42</v>
          </cell>
          <cell r="O380">
            <v>305.88</v>
          </cell>
          <cell r="Q380">
            <v>8.8000000000000007</v>
          </cell>
        </row>
        <row r="381">
          <cell r="E381">
            <v>6826000000</v>
          </cell>
          <cell r="F381" t="str">
            <v>6826000000 Amortiz. de Mobiliario</v>
          </cell>
          <cell r="K381">
            <v>3773.3</v>
          </cell>
          <cell r="M381">
            <v>3467.42</v>
          </cell>
          <cell r="O381">
            <v>305.88</v>
          </cell>
          <cell r="Q381">
            <v>8.8000000000000007</v>
          </cell>
          <cell r="R381" t="str">
            <v>*8*</v>
          </cell>
        </row>
        <row r="382">
          <cell r="E382">
            <v>8302682700</v>
          </cell>
          <cell r="F382">
            <v>8302682700</v>
          </cell>
          <cell r="I382" t="str">
            <v>AMORTIZACION DE EQ. PROCESO DE DATOS (G</v>
          </cell>
          <cell r="K382">
            <v>2804.18</v>
          </cell>
          <cell r="M382">
            <v>2558.16</v>
          </cell>
          <cell r="O382">
            <v>246.02</v>
          </cell>
          <cell r="Q382">
            <v>9.6</v>
          </cell>
        </row>
        <row r="383">
          <cell r="E383">
            <v>6827000000</v>
          </cell>
          <cell r="F383" t="str">
            <v>6827000000 Amortiz. de Eq. en proceso</v>
          </cell>
          <cell r="K383">
            <v>2804.18</v>
          </cell>
          <cell r="M383">
            <v>2558.16</v>
          </cell>
          <cell r="O383">
            <v>246.02</v>
          </cell>
          <cell r="Q383">
            <v>9.6</v>
          </cell>
          <cell r="R383" t="str">
            <v>*8*</v>
          </cell>
        </row>
        <row r="384">
          <cell r="E384" t="str">
            <v>AMORTIZACIONES</v>
          </cell>
          <cell r="F384" t="str">
            <v>******AMORTIZACIONES</v>
          </cell>
          <cell r="K384">
            <v>687085.63</v>
          </cell>
          <cell r="M384">
            <v>611018.48</v>
          </cell>
          <cell r="O384">
            <v>76067.149999999994</v>
          </cell>
          <cell r="Q384">
            <v>12.4</v>
          </cell>
          <cell r="R384" t="str">
            <v>*6*</v>
          </cell>
        </row>
        <row r="385">
          <cell r="E385" t="str">
            <v>GASTOS OPERATIVOS</v>
          </cell>
          <cell r="F385" t="str">
            <v>*****GASTOS OPERATIVOS</v>
          </cell>
          <cell r="K385">
            <v>31163798.02</v>
          </cell>
          <cell r="M385">
            <v>27806566.210000001</v>
          </cell>
          <cell r="O385">
            <v>3357231.81</v>
          </cell>
          <cell r="Q385">
            <v>12.1</v>
          </cell>
          <cell r="R385" t="str">
            <v>*5*</v>
          </cell>
        </row>
        <row r="386">
          <cell r="E386" t="str">
            <v>==========</v>
          </cell>
          <cell r="F386" t="str">
            <v>=============================================</v>
          </cell>
        </row>
        <row r="387">
          <cell r="E387" t="str">
            <v>RESULTADO OPERATIVO</v>
          </cell>
          <cell r="F387" t="str">
            <v>****RESULTADO OPERATIVO</v>
          </cell>
          <cell r="K387">
            <v>189477.34</v>
          </cell>
          <cell r="M387">
            <v>161540.39000000001</v>
          </cell>
          <cell r="O387">
            <v>27936.95</v>
          </cell>
          <cell r="Q387">
            <v>17.3</v>
          </cell>
          <cell r="R387" t="str">
            <v>*4*</v>
          </cell>
        </row>
        <row r="388">
          <cell r="E388" t="str">
            <v>==========</v>
          </cell>
          <cell r="F388" t="str">
            <v>=============================================</v>
          </cell>
        </row>
        <row r="389">
          <cell r="E389">
            <v>7690300000</v>
          </cell>
          <cell r="F389">
            <v>7690300000</v>
          </cell>
          <cell r="I389" t="str">
            <v>INTERESES DE DEUDAS COMERCIALES</v>
          </cell>
          <cell r="K389">
            <v>-5166.68</v>
          </cell>
          <cell r="M389">
            <v>-4098.93</v>
          </cell>
          <cell r="O389">
            <v>-1067.75</v>
          </cell>
          <cell r="Q389">
            <v>-26</v>
          </cell>
        </row>
        <row r="390">
          <cell r="E390">
            <v>7690300000</v>
          </cell>
          <cell r="F390" t="str">
            <v>7690300000 Intereses de deudas comerciales</v>
          </cell>
          <cell r="K390">
            <v>-5166.68</v>
          </cell>
          <cell r="M390">
            <v>-4098.93</v>
          </cell>
          <cell r="O390">
            <v>-1067.75</v>
          </cell>
          <cell r="Q390">
            <v>-26</v>
          </cell>
          <cell r="R390" t="str">
            <v>*7*</v>
          </cell>
        </row>
        <row r="391">
          <cell r="E391">
            <v>7690900000</v>
          </cell>
          <cell r="F391">
            <v>7690900000</v>
          </cell>
          <cell r="I391" t="str">
            <v>OTROS INGRESOS FINANCIEROS</v>
          </cell>
          <cell r="K391">
            <v>-12240.38</v>
          </cell>
          <cell r="M391">
            <v>-10940.93</v>
          </cell>
          <cell r="O391">
            <v>-1299.45</v>
          </cell>
          <cell r="Q391">
            <v>-11.9</v>
          </cell>
        </row>
        <row r="392">
          <cell r="E392">
            <v>7690900000</v>
          </cell>
          <cell r="F392" t="str">
            <v>7690900000 Otros ingresos financieros</v>
          </cell>
          <cell r="K392">
            <v>-12240.38</v>
          </cell>
          <cell r="M392">
            <v>-10940.93</v>
          </cell>
          <cell r="O392">
            <v>-1299.45</v>
          </cell>
          <cell r="Q392">
            <v>-11.9</v>
          </cell>
          <cell r="R392" t="str">
            <v>*7*</v>
          </cell>
        </row>
        <row r="393">
          <cell r="E393" t="str">
            <v>INGRESOS FINANCIEROS</v>
          </cell>
          <cell r="F393" t="str">
            <v>*****INGRESOS FINANCIEROS</v>
          </cell>
          <cell r="K393">
            <v>-17407.060000000001</v>
          </cell>
          <cell r="M393">
            <v>-15039.86</v>
          </cell>
          <cell r="O393">
            <v>-2367.1999999999998</v>
          </cell>
          <cell r="Q393">
            <v>-15.7</v>
          </cell>
          <cell r="R393" t="str">
            <v>*5*</v>
          </cell>
        </row>
        <row r="394">
          <cell r="E394">
            <v>6633900000</v>
          </cell>
          <cell r="F394">
            <v>6633900000</v>
          </cell>
          <cell r="I394" t="str">
            <v>INTERESES DE OTRAS DEUDAS A CORTO PLAZO</v>
          </cell>
          <cell r="K394">
            <v>122.91</v>
          </cell>
          <cell r="M394">
            <v>122.91</v>
          </cell>
          <cell r="O394">
            <v>0</v>
          </cell>
        </row>
        <row r="395">
          <cell r="E395">
            <v>6633900000</v>
          </cell>
          <cell r="F395" t="str">
            <v>6633900000 Inter. de otras deudas a cp</v>
          </cell>
          <cell r="K395">
            <v>122.91</v>
          </cell>
          <cell r="M395">
            <v>122.91</v>
          </cell>
          <cell r="O395">
            <v>0</v>
          </cell>
          <cell r="R395" t="str">
            <v>*7*</v>
          </cell>
        </row>
        <row r="396">
          <cell r="E396">
            <v>6653000000</v>
          </cell>
          <cell r="F396">
            <v>6653000000</v>
          </cell>
          <cell r="I396" t="str">
            <v>DESCUENTO S/ VENTAS POR PRONTO PAGO A O</v>
          </cell>
          <cell r="K396">
            <v>15.84</v>
          </cell>
          <cell r="M396">
            <v>15.84</v>
          </cell>
          <cell r="O396">
            <v>0</v>
          </cell>
        </row>
        <row r="397">
          <cell r="E397">
            <v>6653000000</v>
          </cell>
          <cell r="F397" t="str">
            <v>6653000000 Descto. s/vtas. pronto pago OE</v>
          </cell>
          <cell r="K397">
            <v>15.84</v>
          </cell>
          <cell r="M397">
            <v>15.84</v>
          </cell>
          <cell r="O397">
            <v>0</v>
          </cell>
          <cell r="R397" t="str">
            <v>*7*</v>
          </cell>
        </row>
        <row r="398">
          <cell r="E398">
            <v>6699000000</v>
          </cell>
          <cell r="F398">
            <v>6699000000</v>
          </cell>
          <cell r="I398" t="str">
            <v>OTROS GASTOS FINANCIEROS</v>
          </cell>
          <cell r="K398">
            <v>5.86</v>
          </cell>
          <cell r="M398">
            <v>5.86</v>
          </cell>
          <cell r="O398">
            <v>0</v>
          </cell>
        </row>
        <row r="399">
          <cell r="E399">
            <v>6699000000</v>
          </cell>
          <cell r="F399" t="str">
            <v>6699000000 Otros gastos financieros</v>
          </cell>
          <cell r="K399">
            <v>5.86</v>
          </cell>
          <cell r="M399">
            <v>5.86</v>
          </cell>
          <cell r="O399">
            <v>0</v>
          </cell>
          <cell r="R399" t="str">
            <v>*7*</v>
          </cell>
        </row>
        <row r="400">
          <cell r="E400">
            <v>6940000000</v>
          </cell>
          <cell r="F400">
            <v>6940000000</v>
          </cell>
          <cell r="I400" t="str">
            <v>DOTACION A LA PROVISION P/INSOLVENCIAS</v>
          </cell>
          <cell r="K400">
            <v>19588.32</v>
          </cell>
          <cell r="M400">
            <v>4799.32</v>
          </cell>
          <cell r="O400">
            <v>14789</v>
          </cell>
          <cell r="Q400">
            <v>308.10000000000002</v>
          </cell>
        </row>
        <row r="401">
          <cell r="E401">
            <v>6940000000</v>
          </cell>
          <cell r="F401" t="str">
            <v>6940000000 Dot. prov. p/insolvencia de client</v>
          </cell>
          <cell r="K401">
            <v>19588.32</v>
          </cell>
          <cell r="M401">
            <v>4799.32</v>
          </cell>
          <cell r="O401">
            <v>14789</v>
          </cell>
          <cell r="Q401">
            <v>308.10000000000002</v>
          </cell>
          <cell r="R401" t="str">
            <v>*7*</v>
          </cell>
        </row>
        <row r="402">
          <cell r="E402" t="str">
            <v>GASTOS FINANCIEROS</v>
          </cell>
          <cell r="F402" t="str">
            <v>*****GASTOS FINANCIEROS</v>
          </cell>
          <cell r="K402">
            <v>19732.93</v>
          </cell>
          <cell r="M402">
            <v>4943.93</v>
          </cell>
          <cell r="O402">
            <v>14789</v>
          </cell>
          <cell r="Q402">
            <v>299.10000000000002</v>
          </cell>
          <cell r="R402" t="str">
            <v>*5*</v>
          </cell>
        </row>
        <row r="403">
          <cell r="E403" t="str">
            <v>RESULTADO FINANCIERO</v>
          </cell>
          <cell r="F403" t="str">
            <v>****RESULTADO FINANCIERO</v>
          </cell>
          <cell r="K403">
            <v>2325.87</v>
          </cell>
          <cell r="M403">
            <v>-10095.93</v>
          </cell>
          <cell r="O403">
            <v>12421.8</v>
          </cell>
          <cell r="Q403">
            <v>123</v>
          </cell>
          <cell r="R403" t="str">
            <v>*4*</v>
          </cell>
        </row>
        <row r="404">
          <cell r="E404" t="str">
            <v>==========</v>
          </cell>
          <cell r="F404" t="str">
            <v>=============================================</v>
          </cell>
        </row>
        <row r="405">
          <cell r="E405">
            <v>6789900000</v>
          </cell>
          <cell r="F405">
            <v>6789900000</v>
          </cell>
          <cell r="I405" t="str">
            <v>OTROS GASTOS EXTRAORDINARIOS</v>
          </cell>
          <cell r="K405">
            <v>23.71</v>
          </cell>
          <cell r="M405">
            <v>23.71</v>
          </cell>
          <cell r="O405">
            <v>0</v>
          </cell>
        </row>
        <row r="406">
          <cell r="E406">
            <v>6789900000</v>
          </cell>
          <cell r="F406" t="str">
            <v>6789900000 Otros gastos extraordinarios</v>
          </cell>
          <cell r="K406">
            <v>23.71</v>
          </cell>
          <cell r="M406">
            <v>23.71</v>
          </cell>
          <cell r="O406">
            <v>0</v>
          </cell>
          <cell r="R406" t="str">
            <v>*7*</v>
          </cell>
        </row>
        <row r="407">
          <cell r="E407">
            <v>6790000000</v>
          </cell>
          <cell r="F407">
            <v>6790000000</v>
          </cell>
          <cell r="I407" t="str">
            <v>GASTOS Y PERDIDAS DE EJERCICIOS ANTERIO</v>
          </cell>
          <cell r="K407">
            <v>58514</v>
          </cell>
          <cell r="M407">
            <v>46514</v>
          </cell>
          <cell r="O407">
            <v>12000</v>
          </cell>
          <cell r="Q407">
            <v>25.8</v>
          </cell>
        </row>
        <row r="408">
          <cell r="E408">
            <v>6790000000</v>
          </cell>
          <cell r="F408" t="str">
            <v>6790000000 Gastos y perdidas de ejerc. anter.</v>
          </cell>
          <cell r="K408">
            <v>58514</v>
          </cell>
          <cell r="M408">
            <v>46514</v>
          </cell>
          <cell r="O408">
            <v>12000</v>
          </cell>
          <cell r="Q408">
            <v>25.8</v>
          </cell>
          <cell r="R408" t="str">
            <v>*7*</v>
          </cell>
        </row>
        <row r="409">
          <cell r="E409">
            <v>7940000000</v>
          </cell>
          <cell r="F409">
            <v>7940000000</v>
          </cell>
          <cell r="I409" t="str">
            <v>PROVISION PARA INSOLVENCIAS DE CLIENTES</v>
          </cell>
          <cell r="K409">
            <v>-55652.639999999999</v>
          </cell>
          <cell r="M409">
            <v>-55652.639999999999</v>
          </cell>
          <cell r="O409">
            <v>0</v>
          </cell>
        </row>
        <row r="410">
          <cell r="E410">
            <v>7940000000</v>
          </cell>
          <cell r="F410" t="str">
            <v>7940000000 Provis. p/insolv. clientes aplic.</v>
          </cell>
          <cell r="K410">
            <v>-55652.639999999999</v>
          </cell>
          <cell r="M410">
            <v>-55652.639999999999</v>
          </cell>
          <cell r="O410">
            <v>0</v>
          </cell>
          <cell r="R410" t="str">
            <v>*7*</v>
          </cell>
        </row>
        <row r="411">
          <cell r="E411">
            <v>7780099900</v>
          </cell>
          <cell r="F411">
            <v>7780099900</v>
          </cell>
          <cell r="I411" t="str">
            <v>OTROS INGRESOS EXTRAORDINARIOS</v>
          </cell>
          <cell r="K411">
            <v>-566.80999999999995</v>
          </cell>
          <cell r="M411">
            <v>-566.80999999999995</v>
          </cell>
          <cell r="O411">
            <v>0</v>
          </cell>
        </row>
        <row r="412">
          <cell r="E412">
            <v>7780099900</v>
          </cell>
          <cell r="F412" t="str">
            <v>7780099900 Otros ingresos extraordinarios</v>
          </cell>
          <cell r="K412">
            <v>-566.80999999999995</v>
          </cell>
          <cell r="M412">
            <v>-566.80999999999995</v>
          </cell>
          <cell r="O412">
            <v>0</v>
          </cell>
          <cell r="R412" t="str">
            <v>*7*</v>
          </cell>
        </row>
        <row r="413">
          <cell r="E413">
            <v>7790000000</v>
          </cell>
          <cell r="F413">
            <v>7790000000</v>
          </cell>
          <cell r="I413" t="str">
            <v>INGRESOS Y BENEFICIOS DE EJERCICIOS ANT</v>
          </cell>
          <cell r="K413">
            <v>-1062.6199999999999</v>
          </cell>
          <cell r="M413">
            <v>-1062.6199999999999</v>
          </cell>
          <cell r="O413">
            <v>0</v>
          </cell>
        </row>
        <row r="414">
          <cell r="E414">
            <v>7790000000</v>
          </cell>
          <cell r="F414" t="str">
            <v>7790000000 Ingr. y benef. de ejerc. anter.</v>
          </cell>
          <cell r="K414">
            <v>-1062.6199999999999</v>
          </cell>
          <cell r="M414">
            <v>-1062.6199999999999</v>
          </cell>
          <cell r="O414">
            <v>0</v>
          </cell>
          <cell r="R414" t="str">
            <v>*7*</v>
          </cell>
        </row>
        <row r="415">
          <cell r="E415" t="str">
            <v>RESULTADOS EXTRAORDINARIOS</v>
          </cell>
          <cell r="F415" t="str">
            <v>****RESULTADOS EXTRAORDINARIOS</v>
          </cell>
          <cell r="K415">
            <v>1255.6400000000001</v>
          </cell>
          <cell r="M415">
            <v>-10744.36</v>
          </cell>
          <cell r="O415">
            <v>12000</v>
          </cell>
          <cell r="Q415">
            <v>111.7</v>
          </cell>
          <cell r="R415" t="str">
            <v>*4*</v>
          </cell>
        </row>
        <row r="416">
          <cell r="E416" t="str">
            <v>==========</v>
          </cell>
          <cell r="F416" t="str">
            <v>=============================================</v>
          </cell>
        </row>
        <row r="417">
          <cell r="E417" t="str">
            <v>BENEFICIOS ANTES DE IMPUESTOS</v>
          </cell>
          <cell r="F417" t="str">
            <v>***BENEFICIOS ANTES DE IMPUESTOS</v>
          </cell>
          <cell r="K417">
            <v>193058.85</v>
          </cell>
          <cell r="M417">
            <v>140700.1</v>
          </cell>
          <cell r="O417">
            <v>52358.75</v>
          </cell>
          <cell r="Q417">
            <v>37.200000000000003</v>
          </cell>
          <cell r="R417" t="str">
            <v>*3*</v>
          </cell>
        </row>
        <row r="418">
          <cell r="E418" t="str">
            <v>==========</v>
          </cell>
          <cell r="F418" t="str">
            <v>=============================================</v>
          </cell>
        </row>
        <row r="420">
          <cell r="E420" t="str">
            <v>TOTAL BENEFICIOS D.D.I. Y ANTES SOC. EXTER.</v>
          </cell>
          <cell r="F420" t="str">
            <v>**TOTAL BENEFICIOS D.D.I. Y ANTES SOC. EXTER.</v>
          </cell>
          <cell r="K420">
            <v>193058.85</v>
          </cell>
          <cell r="M420">
            <v>140700.1</v>
          </cell>
          <cell r="O420">
            <v>52358.75</v>
          </cell>
          <cell r="Q420">
            <v>37.200000000000003</v>
          </cell>
          <cell r="R420" t="str">
            <v>*2*</v>
          </cell>
        </row>
        <row r="422">
          <cell r="E422" t="str">
            <v>TOTAL BENEFICIO NETO DEL PERIODO</v>
          </cell>
          <cell r="F422" t="str">
            <v>*TOTAL BENEFICIO NETO DEL PERIODO</v>
          </cell>
          <cell r="K422">
            <v>193058.85</v>
          </cell>
          <cell r="M422">
            <v>140700.1</v>
          </cell>
          <cell r="O422">
            <v>52358.75</v>
          </cell>
          <cell r="Q422">
            <v>37.200000000000003</v>
          </cell>
          <cell r="R422" t="str">
            <v>*1*</v>
          </cell>
        </row>
        <row r="423">
          <cell r="E423" t="str">
            <v>==========</v>
          </cell>
          <cell r="F423" t="str">
            <v>=============================================</v>
          </cell>
        </row>
        <row r="430">
          <cell r="G430" t="str">
            <v>División</v>
          </cell>
          <cell r="H430" t="str">
            <v>****</v>
          </cell>
          <cell r="N430" t="str">
            <v>Imptes en</v>
          </cell>
          <cell r="P430" t="str">
            <v>USD</v>
          </cell>
        </row>
        <row r="432">
          <cell r="E432" t="str">
            <v>Textos....</v>
          </cell>
          <cell r="F432" t="str">
            <v>Textos............................................</v>
          </cell>
          <cell r="J432" t="str">
            <v>..Interv.informe.</v>
          </cell>
          <cell r="L432" t="str">
            <v>..Comp. periodos</v>
          </cell>
          <cell r="O432" t="str">
            <v>absolutos</v>
          </cell>
          <cell r="Q432" t="str">
            <v>Rel</v>
          </cell>
          <cell r="R432" t="str">
            <v xml:space="preserve"> Tot</v>
          </cell>
        </row>
        <row r="433">
          <cell r="E433" t="str">
            <v>..........</v>
          </cell>
          <cell r="F433" t="str">
            <v>..................................................</v>
          </cell>
          <cell r="J433" t="str">
            <v>(01.2004-09.2004)</v>
          </cell>
          <cell r="L433" t="str">
            <v>(01.2004-08.2004)</v>
          </cell>
          <cell r="O433" t="str">
            <v>Desviación</v>
          </cell>
          <cell r="Q433" t="str">
            <v>Dsv</v>
          </cell>
          <cell r="R433" t="str">
            <v>Etapa</v>
          </cell>
        </row>
        <row r="435">
          <cell r="K435">
            <v>-193058.85</v>
          </cell>
          <cell r="M435">
            <v>-140700.1</v>
          </cell>
          <cell r="O435">
            <v>-52358.75</v>
          </cell>
          <cell r="Q435">
            <v>-37.200000000000003</v>
          </cell>
          <cell r="R435" t="str">
            <v>*1*</v>
          </cell>
        </row>
        <row r="440">
          <cell r="G440" t="str">
            <v>División</v>
          </cell>
          <cell r="H440" t="str">
            <v>****</v>
          </cell>
          <cell r="N440" t="str">
            <v>Imptes en</v>
          </cell>
          <cell r="P440" t="str">
            <v>USD</v>
          </cell>
        </row>
        <row r="442">
          <cell r="E442" t="str">
            <v>Textos....</v>
          </cell>
          <cell r="F442" t="str">
            <v>Textos............................................</v>
          </cell>
          <cell r="J442" t="str">
            <v>..Interv.informe.</v>
          </cell>
          <cell r="L442" t="str">
            <v>..Comp. periodos</v>
          </cell>
          <cell r="O442" t="str">
            <v>absolutos</v>
          </cell>
          <cell r="Q442" t="str">
            <v>Rel</v>
          </cell>
          <cell r="R442" t="str">
            <v xml:space="preserve"> Tot</v>
          </cell>
        </row>
        <row r="443">
          <cell r="E443" t="str">
            <v>..........</v>
          </cell>
          <cell r="F443" t="str">
            <v>..................................................</v>
          </cell>
          <cell r="J443" t="str">
            <v>(01.2004-09.2004)</v>
          </cell>
          <cell r="L443" t="str">
            <v>(01.2004-08.2004)</v>
          </cell>
          <cell r="O443" t="str">
            <v>Desviación</v>
          </cell>
          <cell r="Q443" t="str">
            <v>Dsv</v>
          </cell>
          <cell r="R443" t="str">
            <v>Etapa</v>
          </cell>
        </row>
        <row r="445">
          <cell r="E445" t="str">
            <v>CUENTAS NO</v>
          </cell>
          <cell r="F445" t="str">
            <v>CUENTAS NO ASIGNADAS</v>
          </cell>
        </row>
        <row r="447">
          <cell r="E447">
            <v>2800000000</v>
          </cell>
          <cell r="F447">
            <v>2800000000</v>
          </cell>
          <cell r="I447" t="str">
            <v>AMZ. ACUMULADA DE GASTOS DE CONSTITUCIO</v>
          </cell>
          <cell r="K447">
            <v>-5621.67</v>
          </cell>
          <cell r="M447">
            <v>-5621.67</v>
          </cell>
          <cell r="O447">
            <v>0</v>
          </cell>
        </row>
        <row r="448">
          <cell r="E448">
            <v>2813000000</v>
          </cell>
          <cell r="F448">
            <v>2813000000</v>
          </cell>
          <cell r="I448" t="str">
            <v>AMZ. ACUMULADA DEL FONDO DE COMERCIO. C</v>
          </cell>
          <cell r="K448">
            <v>-1464587.1</v>
          </cell>
          <cell r="M448">
            <v>-1427341.95</v>
          </cell>
          <cell r="O448">
            <v>-37245.15</v>
          </cell>
          <cell r="Q448">
            <v>-2.6</v>
          </cell>
        </row>
        <row r="449">
          <cell r="E449">
            <v>2815000000</v>
          </cell>
          <cell r="F449">
            <v>2815000000</v>
          </cell>
          <cell r="I449" t="str">
            <v>AMZ. ACUMULADA APLICACIONES INFORMATICA</v>
          </cell>
          <cell r="K449">
            <v>-8579.98</v>
          </cell>
          <cell r="M449">
            <v>-8261.86</v>
          </cell>
          <cell r="O449">
            <v>-318.12</v>
          </cell>
          <cell r="Q449">
            <v>-3.9</v>
          </cell>
        </row>
        <row r="450">
          <cell r="E450">
            <v>2821002000</v>
          </cell>
          <cell r="F450">
            <v>2821002000</v>
          </cell>
          <cell r="I450" t="str">
            <v>AMORTIZACION ACUMULADA DE EDIFICIOS EN</v>
          </cell>
          <cell r="K450">
            <v>-17278.86</v>
          </cell>
          <cell r="M450">
            <v>-16832.810000000001</v>
          </cell>
          <cell r="O450">
            <v>-446.05</v>
          </cell>
          <cell r="Q450">
            <v>-2.6</v>
          </cell>
        </row>
        <row r="451">
          <cell r="E451">
            <v>2822002000</v>
          </cell>
          <cell r="F451">
            <v>2822002000</v>
          </cell>
          <cell r="I451" t="str">
            <v>AMZ. AC. DE INSTAL. DE CARGADEROS Y DES</v>
          </cell>
          <cell r="K451">
            <v>-71547.990000000005</v>
          </cell>
          <cell r="M451">
            <v>-68173.759999999995</v>
          </cell>
          <cell r="O451">
            <v>-3374.23</v>
          </cell>
          <cell r="Q451">
            <v>-4.9000000000000004</v>
          </cell>
        </row>
        <row r="452">
          <cell r="E452">
            <v>2822006000</v>
          </cell>
          <cell r="F452">
            <v>2822006000</v>
          </cell>
          <cell r="I452" t="str">
            <v>AMZ. ACUMULADA DE INSTALACIONES DE EE.S</v>
          </cell>
          <cell r="K452">
            <v>-1306797.48</v>
          </cell>
          <cell r="M452">
            <v>-1272838.3600000001</v>
          </cell>
          <cell r="O452">
            <v>-33959.120000000003</v>
          </cell>
          <cell r="Q452">
            <v>-2.7</v>
          </cell>
        </row>
        <row r="453">
          <cell r="E453">
            <v>2826000000</v>
          </cell>
          <cell r="F453">
            <v>2826000000</v>
          </cell>
          <cell r="I453" t="str">
            <v>AMORTIZACION ACUMULADA DE MOBILIARIO</v>
          </cell>
          <cell r="K453">
            <v>-10208.17</v>
          </cell>
          <cell r="M453">
            <v>-10035.59</v>
          </cell>
          <cell r="O453">
            <v>-172.58</v>
          </cell>
          <cell r="Q453">
            <v>-1.7</v>
          </cell>
        </row>
        <row r="454">
          <cell r="E454">
            <v>2826001000</v>
          </cell>
          <cell r="F454">
            <v>2826001000</v>
          </cell>
          <cell r="I454" t="str">
            <v>AMORTIZACION ACUMULADA DE EQUIPOS DE OF</v>
          </cell>
          <cell r="K454">
            <v>-8299.4699999999993</v>
          </cell>
          <cell r="M454">
            <v>-8173.63</v>
          </cell>
          <cell r="O454">
            <v>-125.84</v>
          </cell>
          <cell r="Q454">
            <v>-1.5</v>
          </cell>
        </row>
        <row r="455">
          <cell r="E455">
            <v>2826002000</v>
          </cell>
          <cell r="F455">
            <v>2826002000</v>
          </cell>
          <cell r="I455" t="str">
            <v>AMORTIZACION ACUMULADA DE ENSERES DIVER</v>
          </cell>
          <cell r="K455">
            <v>-199.51</v>
          </cell>
          <cell r="M455">
            <v>-194.53</v>
          </cell>
          <cell r="O455">
            <v>-4.9800000000000004</v>
          </cell>
          <cell r="Q455">
            <v>-2.6</v>
          </cell>
        </row>
        <row r="456">
          <cell r="E456">
            <v>2827000000</v>
          </cell>
          <cell r="F456">
            <v>2827000000</v>
          </cell>
          <cell r="I456" t="str">
            <v>AMZ. ACUMULADA DE EQUIPOS PARA PROCESO</v>
          </cell>
          <cell r="K456">
            <v>-16536.95</v>
          </cell>
          <cell r="M456">
            <v>-16361.89</v>
          </cell>
          <cell r="O456">
            <v>-175.06</v>
          </cell>
          <cell r="Q456">
            <v>-1.1000000000000001</v>
          </cell>
        </row>
        <row r="457">
          <cell r="E457">
            <v>2828000000</v>
          </cell>
          <cell r="F457">
            <v>2828000000</v>
          </cell>
          <cell r="I457" t="str">
            <v>AMZ.AC. ELEMENTOS TRANSPORTE POR CARRET</v>
          </cell>
          <cell r="K457">
            <v>-9408.84</v>
          </cell>
          <cell r="M457">
            <v>-9162.82</v>
          </cell>
          <cell r="O457">
            <v>-246.02</v>
          </cell>
          <cell r="Q457">
            <v>-2.7</v>
          </cell>
        </row>
        <row r="458">
          <cell r="E458">
            <v>6813000000</v>
          </cell>
          <cell r="F458">
            <v>6813000000</v>
          </cell>
          <cell r="I458" t="str">
            <v>AMORTIZACION DE FONDO DE COMERCIO</v>
          </cell>
          <cell r="K458">
            <v>335205.84000000003</v>
          </cell>
          <cell r="M458">
            <v>297960.69</v>
          </cell>
          <cell r="O458">
            <v>37245.15</v>
          </cell>
          <cell r="Q458">
            <v>12.5</v>
          </cell>
        </row>
        <row r="459">
          <cell r="E459">
            <v>6815000000</v>
          </cell>
          <cell r="F459">
            <v>6815000000</v>
          </cell>
          <cell r="I459" t="str">
            <v>AMORTIZACION DE APLICACIONES INFORMATIC</v>
          </cell>
          <cell r="K459">
            <v>2862.75</v>
          </cell>
          <cell r="M459">
            <v>2544.63</v>
          </cell>
          <cell r="O459">
            <v>318.12</v>
          </cell>
          <cell r="Q459">
            <v>12.5</v>
          </cell>
        </row>
        <row r="460">
          <cell r="E460">
            <v>6821002000</v>
          </cell>
          <cell r="F460">
            <v>6821002000</v>
          </cell>
          <cell r="I460" t="str">
            <v>AMORTIZACION DE EDIFICIOS EN ESTACIONES</v>
          </cell>
          <cell r="K460">
            <v>4014.23</v>
          </cell>
          <cell r="M460">
            <v>3568.18</v>
          </cell>
          <cell r="O460">
            <v>446.05</v>
          </cell>
          <cell r="Q460">
            <v>12.5</v>
          </cell>
        </row>
        <row r="461">
          <cell r="E461">
            <v>6822002000</v>
          </cell>
          <cell r="F461">
            <v>6822002000</v>
          </cell>
          <cell r="I461" t="str">
            <v>AMZ. DE INSTAL. DE CARGADEROS Y DESCARG</v>
          </cell>
          <cell r="K461">
            <v>30367.43</v>
          </cell>
          <cell r="M461">
            <v>26993.200000000001</v>
          </cell>
          <cell r="O461">
            <v>3374.23</v>
          </cell>
          <cell r="Q461">
            <v>12.5</v>
          </cell>
        </row>
        <row r="462">
          <cell r="E462">
            <v>6822006000</v>
          </cell>
          <cell r="F462">
            <v>6822006000</v>
          </cell>
          <cell r="I462" t="str">
            <v>AMORTIZACION DE INSTALACIONES DE EE.S.</v>
          </cell>
          <cell r="K462">
            <v>306211.52</v>
          </cell>
          <cell r="M462">
            <v>272252.40000000002</v>
          </cell>
          <cell r="O462">
            <v>33959.120000000003</v>
          </cell>
          <cell r="Q462">
            <v>12.5</v>
          </cell>
        </row>
        <row r="463">
          <cell r="E463">
            <v>6826000000</v>
          </cell>
          <cell r="F463">
            <v>6826000000</v>
          </cell>
          <cell r="I463" t="str">
            <v>AMORTIZACION DE MOBILIARIO</v>
          </cell>
          <cell r="K463">
            <v>1552</v>
          </cell>
          <cell r="M463">
            <v>1379.42</v>
          </cell>
          <cell r="O463">
            <v>172.58</v>
          </cell>
          <cell r="Q463">
            <v>12.5</v>
          </cell>
        </row>
        <row r="464">
          <cell r="E464">
            <v>6826001000</v>
          </cell>
          <cell r="F464">
            <v>6826001000</v>
          </cell>
          <cell r="I464" t="str">
            <v>AMORTIZACION DE EQUIPOS DE OFICINA</v>
          </cell>
          <cell r="K464">
            <v>1716.7</v>
          </cell>
          <cell r="M464">
            <v>1590.86</v>
          </cell>
          <cell r="O464">
            <v>125.84</v>
          </cell>
          <cell r="Q464">
            <v>7.9</v>
          </cell>
        </row>
        <row r="465">
          <cell r="E465">
            <v>6826002000</v>
          </cell>
          <cell r="F465">
            <v>6826002000</v>
          </cell>
          <cell r="I465" t="str">
            <v>AMORTIZACION DE ENSERES DIVERSOS</v>
          </cell>
          <cell r="K465">
            <v>44.79</v>
          </cell>
          <cell r="M465">
            <v>39.81</v>
          </cell>
          <cell r="O465">
            <v>4.9800000000000004</v>
          </cell>
          <cell r="Q465">
            <v>12.5</v>
          </cell>
        </row>
        <row r="466">
          <cell r="E466">
            <v>6827000000</v>
          </cell>
          <cell r="F466">
            <v>6827000000</v>
          </cell>
          <cell r="I466" t="str">
            <v>AMORTIZACION DE EQUIPOS PARA PROCESO DE</v>
          </cell>
          <cell r="K466">
            <v>2896.2</v>
          </cell>
          <cell r="M466">
            <v>2721.14</v>
          </cell>
          <cell r="O466">
            <v>175.06</v>
          </cell>
          <cell r="Q466">
            <v>6.4</v>
          </cell>
        </row>
        <row r="467">
          <cell r="E467">
            <v>6828000000</v>
          </cell>
          <cell r="F467">
            <v>6828000000</v>
          </cell>
          <cell r="I467" t="str">
            <v>AMORTIZACION DE ELEMENTOS TRANSPORTE PO</v>
          </cell>
          <cell r="K467">
            <v>2214.17</v>
          </cell>
          <cell r="M467">
            <v>1968.15</v>
          </cell>
          <cell r="O467">
            <v>246.02</v>
          </cell>
          <cell r="Q467">
            <v>12.5</v>
          </cell>
        </row>
        <row r="468">
          <cell r="E468">
            <v>8888888888</v>
          </cell>
          <cell r="F468">
            <v>8888888888</v>
          </cell>
          <cell r="I468" t="str">
            <v>Cuenta de mayor para la carga inicial.</v>
          </cell>
          <cell r="K468">
            <v>2231980.39</v>
          </cell>
          <cell r="M468">
            <v>2231980.39</v>
          </cell>
          <cell r="O468">
            <v>0</v>
          </cell>
        </row>
        <row r="469">
          <cell r="E469" t="str">
            <v>*TOTAL CUE</v>
          </cell>
          <cell r="F469" t="str">
            <v>*TOTAL CUENTAS NO ASIGNADAS</v>
          </cell>
          <cell r="K469">
            <v>0</v>
          </cell>
          <cell r="M469">
            <v>0</v>
          </cell>
          <cell r="O469">
            <v>0</v>
          </cell>
          <cell r="R469" t="str">
            <v>*1*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718"/>
      <sheetName val="Sheet1"/>
    </sheetNames>
    <sheetDataSet>
      <sheetData sheetId="0" refreshError="1">
        <row r="2">
          <cell r="A2" t="str">
            <v>P99085</v>
          </cell>
          <cell r="B2" t="str">
            <v>220000B701</v>
          </cell>
          <cell r="C2">
            <v>38597</v>
          </cell>
          <cell r="D2">
            <v>-3.84</v>
          </cell>
          <cell r="E2" t="str">
            <v>USD</v>
          </cell>
        </row>
        <row r="3">
          <cell r="A3" t="str">
            <v>R37205</v>
          </cell>
          <cell r="B3" t="str">
            <v>220000B701</v>
          </cell>
          <cell r="C3">
            <v>38597</v>
          </cell>
          <cell r="D3">
            <v>-24.19</v>
          </cell>
          <cell r="E3" t="str">
            <v>USD</v>
          </cell>
        </row>
        <row r="4">
          <cell r="A4" t="str">
            <v>R35425</v>
          </cell>
          <cell r="B4" t="str">
            <v>220000B701</v>
          </cell>
          <cell r="C4">
            <v>38597</v>
          </cell>
          <cell r="D4">
            <v>-37.85</v>
          </cell>
          <cell r="E4" t="str">
            <v>USD</v>
          </cell>
        </row>
        <row r="5">
          <cell r="A5" t="str">
            <v>R40885</v>
          </cell>
          <cell r="B5" t="str">
            <v>220000B701</v>
          </cell>
          <cell r="C5">
            <v>38629</v>
          </cell>
          <cell r="D5">
            <v>-39.64</v>
          </cell>
          <cell r="E5" t="str">
            <v>USD</v>
          </cell>
        </row>
        <row r="6">
          <cell r="A6" t="str">
            <v>R33715</v>
          </cell>
          <cell r="B6" t="str">
            <v>220000B701</v>
          </cell>
          <cell r="C6">
            <v>38597</v>
          </cell>
          <cell r="D6">
            <v>-44.35</v>
          </cell>
          <cell r="E6" t="str">
            <v>USD</v>
          </cell>
        </row>
        <row r="7">
          <cell r="A7" t="str">
            <v>P01705</v>
          </cell>
          <cell r="B7" t="str">
            <v>220000B701</v>
          </cell>
          <cell r="C7">
            <v>38629</v>
          </cell>
          <cell r="D7">
            <v>-45.24</v>
          </cell>
          <cell r="E7" t="str">
            <v>USD</v>
          </cell>
        </row>
        <row r="8">
          <cell r="A8" t="str">
            <v>R40045</v>
          </cell>
          <cell r="B8" t="str">
            <v>220000B701</v>
          </cell>
          <cell r="C8">
            <v>38629</v>
          </cell>
          <cell r="D8">
            <v>-50.7</v>
          </cell>
          <cell r="E8" t="str">
            <v>USD</v>
          </cell>
        </row>
        <row r="9">
          <cell r="A9" t="str">
            <v>R36845</v>
          </cell>
          <cell r="B9" t="str">
            <v>220000B701</v>
          </cell>
          <cell r="C9">
            <v>38597</v>
          </cell>
          <cell r="D9">
            <v>-54.98</v>
          </cell>
          <cell r="E9" t="str">
            <v>USD</v>
          </cell>
        </row>
        <row r="10">
          <cell r="A10" t="str">
            <v>R35035</v>
          </cell>
          <cell r="B10" t="str">
            <v>220000B701</v>
          </cell>
          <cell r="C10">
            <v>38597</v>
          </cell>
          <cell r="D10">
            <v>-79.319999999999993</v>
          </cell>
          <cell r="E10" t="str">
            <v>USD</v>
          </cell>
        </row>
        <row r="11">
          <cell r="A11" t="str">
            <v>R41795</v>
          </cell>
          <cell r="B11" t="str">
            <v>220000B701</v>
          </cell>
          <cell r="C11">
            <v>38629</v>
          </cell>
          <cell r="D11">
            <v>-86.71</v>
          </cell>
          <cell r="E11" t="str">
            <v>USD</v>
          </cell>
        </row>
        <row r="12">
          <cell r="A12" t="str">
            <v>R33455</v>
          </cell>
          <cell r="B12" t="str">
            <v>220000B701</v>
          </cell>
          <cell r="C12">
            <v>38597</v>
          </cell>
          <cell r="D12">
            <v>-109.29</v>
          </cell>
          <cell r="E12" t="str">
            <v>USD</v>
          </cell>
        </row>
        <row r="13">
          <cell r="A13" t="str">
            <v>R40875</v>
          </cell>
          <cell r="B13" t="str">
            <v>220000B701</v>
          </cell>
          <cell r="C13">
            <v>38629</v>
          </cell>
          <cell r="D13">
            <v>-123.88</v>
          </cell>
          <cell r="E13" t="str">
            <v>USD</v>
          </cell>
        </row>
        <row r="14">
          <cell r="A14" t="str">
            <v>R37735</v>
          </cell>
          <cell r="B14" t="str">
            <v>220000B701</v>
          </cell>
          <cell r="C14">
            <v>38597</v>
          </cell>
          <cell r="D14">
            <v>-124.25</v>
          </cell>
          <cell r="E14" t="str">
            <v>USD</v>
          </cell>
        </row>
        <row r="15">
          <cell r="A15" t="str">
            <v>R43665</v>
          </cell>
          <cell r="B15" t="str">
            <v>220000B701</v>
          </cell>
          <cell r="C15">
            <v>38629</v>
          </cell>
          <cell r="D15">
            <v>-128.32</v>
          </cell>
          <cell r="E15" t="str">
            <v>USD</v>
          </cell>
        </row>
        <row r="16">
          <cell r="A16" t="str">
            <v>R42065</v>
          </cell>
          <cell r="B16" t="str">
            <v>220000B701</v>
          </cell>
          <cell r="C16">
            <v>38629</v>
          </cell>
          <cell r="D16">
            <v>-153.84</v>
          </cell>
          <cell r="E16" t="str">
            <v>USD</v>
          </cell>
        </row>
        <row r="17">
          <cell r="A17" t="str">
            <v>P96045</v>
          </cell>
          <cell r="B17" t="str">
            <v>220000B701</v>
          </cell>
          <cell r="C17">
            <v>38597</v>
          </cell>
          <cell r="D17">
            <v>-154</v>
          </cell>
          <cell r="E17" t="str">
            <v>USD</v>
          </cell>
        </row>
        <row r="18">
          <cell r="A18" t="str">
            <v>R35605</v>
          </cell>
          <cell r="B18" t="str">
            <v>220000B701</v>
          </cell>
          <cell r="C18">
            <v>38597</v>
          </cell>
          <cell r="D18">
            <v>-175.38</v>
          </cell>
          <cell r="E18" t="str">
            <v>USD</v>
          </cell>
        </row>
        <row r="19">
          <cell r="A19" t="str">
            <v>R34735</v>
          </cell>
          <cell r="B19" t="str">
            <v>220000B701</v>
          </cell>
          <cell r="C19">
            <v>38597</v>
          </cell>
          <cell r="D19">
            <v>-178.76</v>
          </cell>
          <cell r="E19" t="str">
            <v>USD</v>
          </cell>
        </row>
        <row r="20">
          <cell r="A20" t="str">
            <v>R33705</v>
          </cell>
          <cell r="B20" t="str">
            <v>220000B701</v>
          </cell>
          <cell r="C20">
            <v>38597</v>
          </cell>
          <cell r="D20">
            <v>-238.17</v>
          </cell>
          <cell r="E20" t="str">
            <v>USD</v>
          </cell>
        </row>
        <row r="21">
          <cell r="A21" t="str">
            <v>R41505</v>
          </cell>
          <cell r="B21" t="str">
            <v>220000B701</v>
          </cell>
          <cell r="C21">
            <v>38629</v>
          </cell>
          <cell r="D21">
            <v>-263.48</v>
          </cell>
          <cell r="E21" t="str">
            <v>USD</v>
          </cell>
        </row>
        <row r="22">
          <cell r="A22" t="str">
            <v>R34485</v>
          </cell>
          <cell r="B22" t="str">
            <v>220000B701</v>
          </cell>
          <cell r="C22">
            <v>38597</v>
          </cell>
          <cell r="D22">
            <v>-268.87</v>
          </cell>
          <cell r="E22" t="str">
            <v>USD</v>
          </cell>
        </row>
        <row r="23">
          <cell r="A23" t="str">
            <v>R36595</v>
          </cell>
          <cell r="B23" t="str">
            <v>220000B701</v>
          </cell>
          <cell r="C23">
            <v>38597</v>
          </cell>
          <cell r="D23">
            <v>-298.14</v>
          </cell>
          <cell r="E23" t="str">
            <v>USD</v>
          </cell>
        </row>
        <row r="24">
          <cell r="A24" t="str">
            <v>R39055</v>
          </cell>
          <cell r="B24" t="str">
            <v>220000B701</v>
          </cell>
          <cell r="C24">
            <v>38597</v>
          </cell>
          <cell r="D24">
            <v>-300.95</v>
          </cell>
          <cell r="E24" t="str">
            <v>USD</v>
          </cell>
        </row>
        <row r="25">
          <cell r="A25" t="str">
            <v>P00515</v>
          </cell>
          <cell r="B25" t="str">
            <v>220000B701</v>
          </cell>
          <cell r="C25">
            <v>38629</v>
          </cell>
          <cell r="D25">
            <v>-330</v>
          </cell>
          <cell r="E25" t="str">
            <v>USD</v>
          </cell>
        </row>
        <row r="26">
          <cell r="A26" t="str">
            <v>R40405</v>
          </cell>
          <cell r="B26" t="str">
            <v>220000B701</v>
          </cell>
          <cell r="C26">
            <v>38629</v>
          </cell>
          <cell r="D26">
            <v>-783.61</v>
          </cell>
          <cell r="E26" t="str">
            <v>USD</v>
          </cell>
        </row>
        <row r="27">
          <cell r="A27" t="str">
            <v>R33465</v>
          </cell>
          <cell r="B27" t="str">
            <v>220000B701</v>
          </cell>
          <cell r="C27">
            <v>38597</v>
          </cell>
          <cell r="D27">
            <v>-862.86</v>
          </cell>
          <cell r="E27" t="str">
            <v>USD</v>
          </cell>
        </row>
        <row r="28">
          <cell r="A28" t="str">
            <v>R38695</v>
          </cell>
          <cell r="B28" t="str">
            <v>220000B701</v>
          </cell>
          <cell r="C28">
            <v>38629</v>
          </cell>
          <cell r="D28">
            <v>-1449.79</v>
          </cell>
          <cell r="E28" t="str">
            <v>USD</v>
          </cell>
        </row>
        <row r="29">
          <cell r="A29" t="str">
            <v>R30365</v>
          </cell>
          <cell r="B29" t="str">
            <v>220000B701</v>
          </cell>
          <cell r="C29">
            <v>38597</v>
          </cell>
          <cell r="D29">
            <v>-3346.97</v>
          </cell>
          <cell r="E29" t="str">
            <v>USD</v>
          </cell>
        </row>
        <row r="30">
          <cell r="A30" t="str">
            <v>R30665</v>
          </cell>
          <cell r="B30" t="str">
            <v>220000B701</v>
          </cell>
          <cell r="C30">
            <v>38597</v>
          </cell>
          <cell r="D30">
            <v>-3726.81</v>
          </cell>
          <cell r="E30" t="str">
            <v>USD</v>
          </cell>
        </row>
        <row r="31">
          <cell r="A31" t="str">
            <v>R32055</v>
          </cell>
          <cell r="B31" t="str">
            <v>220000B701</v>
          </cell>
          <cell r="C31">
            <v>38597</v>
          </cell>
          <cell r="D31">
            <v>-4360.07</v>
          </cell>
          <cell r="E31" t="str">
            <v>USD</v>
          </cell>
        </row>
        <row r="32">
          <cell r="A32" t="str">
            <v>R34095</v>
          </cell>
          <cell r="B32" t="str">
            <v>220000B701</v>
          </cell>
          <cell r="C32">
            <v>38597</v>
          </cell>
          <cell r="D32">
            <v>-4423.13</v>
          </cell>
          <cell r="E32" t="str">
            <v>USD</v>
          </cell>
        </row>
        <row r="33">
          <cell r="A33" t="str">
            <v>R30185</v>
          </cell>
          <cell r="B33" t="str">
            <v>220000B701</v>
          </cell>
          <cell r="C33">
            <v>38597</v>
          </cell>
          <cell r="D33">
            <v>-4810.99</v>
          </cell>
          <cell r="E33" t="str">
            <v>USD</v>
          </cell>
        </row>
        <row r="34">
          <cell r="A34" t="str">
            <v>P97335</v>
          </cell>
          <cell r="B34" t="str">
            <v>220000B701</v>
          </cell>
          <cell r="C34">
            <v>38597</v>
          </cell>
          <cell r="D34">
            <v>-5081.2</v>
          </cell>
          <cell r="E34" t="str">
            <v>USD</v>
          </cell>
        </row>
        <row r="35">
          <cell r="A35" t="str">
            <v>P98595</v>
          </cell>
          <cell r="B35" t="str">
            <v>220000B701</v>
          </cell>
          <cell r="C35">
            <v>38597</v>
          </cell>
          <cell r="D35">
            <v>-8424.36</v>
          </cell>
          <cell r="E35" t="str">
            <v>USD</v>
          </cell>
        </row>
        <row r="36">
          <cell r="A36" t="str">
            <v>R35345</v>
          </cell>
          <cell r="B36" t="str">
            <v>220000B701</v>
          </cell>
          <cell r="C36">
            <v>38629</v>
          </cell>
          <cell r="D36">
            <v>-8454.33</v>
          </cell>
          <cell r="E36" t="str">
            <v>USD</v>
          </cell>
        </row>
        <row r="37">
          <cell r="A37" t="str">
            <v>R34415</v>
          </cell>
          <cell r="B37" t="str">
            <v>220000B701</v>
          </cell>
          <cell r="C37">
            <v>38597</v>
          </cell>
          <cell r="D37">
            <v>-8609.51</v>
          </cell>
          <cell r="E37" t="str">
            <v>USD</v>
          </cell>
        </row>
        <row r="38">
          <cell r="A38" t="str">
            <v>P99675</v>
          </cell>
          <cell r="B38" t="str">
            <v>220000B701</v>
          </cell>
          <cell r="C38">
            <v>38629</v>
          </cell>
          <cell r="D38">
            <v>-21719.040000000001</v>
          </cell>
          <cell r="E38" t="str">
            <v>USD</v>
          </cell>
        </row>
        <row r="39">
          <cell r="A39" t="str">
            <v>B04075</v>
          </cell>
          <cell r="B39" t="str">
            <v>220000B701</v>
          </cell>
          <cell r="C39">
            <v>38597</v>
          </cell>
          <cell r="D39">
            <v>-23093.279999999999</v>
          </cell>
          <cell r="E39" t="str">
            <v>USD</v>
          </cell>
        </row>
        <row r="40">
          <cell r="A40" t="str">
            <v>B03965</v>
          </cell>
          <cell r="B40" t="str">
            <v>220000B701</v>
          </cell>
          <cell r="C40">
            <v>38597</v>
          </cell>
          <cell r="D40">
            <v>-23153.759999999998</v>
          </cell>
          <cell r="E40" t="str">
            <v>USD</v>
          </cell>
        </row>
        <row r="41">
          <cell r="A41" t="str">
            <v>R37355</v>
          </cell>
          <cell r="B41" t="str">
            <v>220000B701</v>
          </cell>
          <cell r="C41">
            <v>38629</v>
          </cell>
          <cell r="D41">
            <v>-23756.32</v>
          </cell>
          <cell r="E41" t="str">
            <v>USD</v>
          </cell>
        </row>
        <row r="42">
          <cell r="A42" t="str">
            <v>R30555</v>
          </cell>
          <cell r="B42" t="str">
            <v>220000B701</v>
          </cell>
          <cell r="C42">
            <v>38597</v>
          </cell>
          <cell r="D42">
            <v>-33352.199999999997</v>
          </cell>
          <cell r="E42" t="str">
            <v>USD</v>
          </cell>
        </row>
        <row r="43">
          <cell r="A43" t="str">
            <v>R39845</v>
          </cell>
          <cell r="B43" t="str">
            <v>220000B701</v>
          </cell>
          <cell r="C43">
            <v>38629</v>
          </cell>
          <cell r="D43">
            <v>-36825.769999999997</v>
          </cell>
          <cell r="E43" t="str">
            <v>USD</v>
          </cell>
        </row>
        <row r="44">
          <cell r="A44" t="str">
            <v>R34175</v>
          </cell>
          <cell r="B44" t="str">
            <v>220000B701</v>
          </cell>
          <cell r="C44">
            <v>38597</v>
          </cell>
          <cell r="D44">
            <v>-69331.429999999993</v>
          </cell>
          <cell r="E44" t="str">
            <v>USD</v>
          </cell>
        </row>
        <row r="45">
          <cell r="A45" t="str">
            <v>C50445</v>
          </cell>
          <cell r="B45" t="str">
            <v>220000B701</v>
          </cell>
          <cell r="C45">
            <v>38629</v>
          </cell>
          <cell r="D45">
            <v>-81899.039999999994</v>
          </cell>
          <cell r="E45" t="str">
            <v>USD</v>
          </cell>
        </row>
        <row r="46">
          <cell r="A46" t="str">
            <v>C49265</v>
          </cell>
          <cell r="B46" t="str">
            <v>220000B701</v>
          </cell>
          <cell r="C46">
            <v>38597</v>
          </cell>
          <cell r="D46">
            <v>-81935.520000000004</v>
          </cell>
          <cell r="E46" t="str">
            <v>USD</v>
          </cell>
        </row>
        <row r="47">
          <cell r="A47" t="str">
            <v>C49295</v>
          </cell>
          <cell r="B47" t="str">
            <v>220000B701</v>
          </cell>
          <cell r="C47">
            <v>38597</v>
          </cell>
          <cell r="D47">
            <v>-81935.520000000004</v>
          </cell>
          <cell r="E47" t="str">
            <v>USD</v>
          </cell>
        </row>
        <row r="48">
          <cell r="A48" t="str">
            <v>C49805</v>
          </cell>
          <cell r="B48" t="str">
            <v>220000B701</v>
          </cell>
          <cell r="C48">
            <v>38597</v>
          </cell>
          <cell r="D48">
            <v>-82083.12</v>
          </cell>
          <cell r="E48" t="str">
            <v>USD</v>
          </cell>
        </row>
        <row r="49">
          <cell r="A49" t="str">
            <v>C50055</v>
          </cell>
          <cell r="B49" t="str">
            <v>220000B701</v>
          </cell>
          <cell r="C49">
            <v>38597</v>
          </cell>
          <cell r="D49">
            <v>-82083.12</v>
          </cell>
          <cell r="E49" t="str">
            <v>USD</v>
          </cell>
        </row>
        <row r="50">
          <cell r="A50" t="str">
            <v>C49235</v>
          </cell>
          <cell r="B50" t="str">
            <v>220000B701</v>
          </cell>
          <cell r="C50">
            <v>38597</v>
          </cell>
          <cell r="D50">
            <v>-82119.600000000006</v>
          </cell>
          <cell r="E50" t="str">
            <v>USD</v>
          </cell>
        </row>
        <row r="51">
          <cell r="A51" t="str">
            <v>C49455</v>
          </cell>
          <cell r="B51" t="str">
            <v>220000B701</v>
          </cell>
          <cell r="C51">
            <v>38597</v>
          </cell>
          <cell r="D51">
            <v>-82119.600000000006</v>
          </cell>
          <cell r="E51" t="str">
            <v>USD</v>
          </cell>
        </row>
        <row r="52">
          <cell r="A52" t="str">
            <v>C50585</v>
          </cell>
          <cell r="B52" t="str">
            <v>220000B701</v>
          </cell>
          <cell r="C52">
            <v>38629</v>
          </cell>
          <cell r="D52">
            <v>-82309.679999999993</v>
          </cell>
          <cell r="E52" t="str">
            <v>USD</v>
          </cell>
        </row>
        <row r="53">
          <cell r="A53" t="str">
            <v>C50045</v>
          </cell>
          <cell r="B53" t="str">
            <v>220000B701</v>
          </cell>
          <cell r="C53">
            <v>38597</v>
          </cell>
          <cell r="D53">
            <v>-90948.479999999996</v>
          </cell>
          <cell r="E53" t="str">
            <v>USD</v>
          </cell>
        </row>
        <row r="54">
          <cell r="A54" t="str">
            <v>C50315</v>
          </cell>
          <cell r="B54" t="str">
            <v>220000B701</v>
          </cell>
          <cell r="C54">
            <v>38629</v>
          </cell>
          <cell r="D54">
            <v>-90948.479999999996</v>
          </cell>
          <cell r="E54" t="str">
            <v>USD</v>
          </cell>
        </row>
        <row r="55">
          <cell r="A55" t="str">
            <v>C49095</v>
          </cell>
          <cell r="B55" t="str">
            <v>220000B701</v>
          </cell>
          <cell r="C55">
            <v>38597</v>
          </cell>
          <cell r="D55">
            <v>-94046.88</v>
          </cell>
          <cell r="E55" t="str">
            <v>USD</v>
          </cell>
        </row>
        <row r="56">
          <cell r="A56" t="str">
            <v>C49495</v>
          </cell>
          <cell r="B56" t="str">
            <v>220000B701</v>
          </cell>
          <cell r="C56">
            <v>38597</v>
          </cell>
          <cell r="D56">
            <v>-94046.88</v>
          </cell>
          <cell r="E56" t="str">
            <v>USD</v>
          </cell>
        </row>
        <row r="57">
          <cell r="A57" t="str">
            <v>C49685</v>
          </cell>
          <cell r="B57" t="str">
            <v>220000B701</v>
          </cell>
          <cell r="C57">
            <v>38597</v>
          </cell>
          <cell r="D57">
            <v>-96664.08</v>
          </cell>
          <cell r="E57" t="str">
            <v>USD</v>
          </cell>
        </row>
        <row r="58">
          <cell r="A58" t="str">
            <v>C49485</v>
          </cell>
          <cell r="B58" t="str">
            <v>220000B701</v>
          </cell>
          <cell r="C58">
            <v>38597</v>
          </cell>
          <cell r="D58">
            <v>-96700.56</v>
          </cell>
          <cell r="E58" t="str">
            <v>USD</v>
          </cell>
        </row>
        <row r="59">
          <cell r="A59" t="str">
            <v>C50305</v>
          </cell>
          <cell r="B59" t="str">
            <v>220000B701</v>
          </cell>
          <cell r="C59">
            <v>38629</v>
          </cell>
          <cell r="D59">
            <v>-99872.88</v>
          </cell>
          <cell r="E59" t="str">
            <v>USD</v>
          </cell>
        </row>
        <row r="60">
          <cell r="A60" t="str">
            <v>C49465</v>
          </cell>
          <cell r="B60" t="str">
            <v>220000B701</v>
          </cell>
          <cell r="C60">
            <v>38597</v>
          </cell>
          <cell r="D60">
            <v>-99909.36</v>
          </cell>
          <cell r="E60" t="str">
            <v>USD</v>
          </cell>
        </row>
        <row r="61">
          <cell r="A61" t="str">
            <v>V13545</v>
          </cell>
          <cell r="B61" t="str">
            <v>220000B701</v>
          </cell>
          <cell r="C61">
            <v>38597</v>
          </cell>
          <cell r="D61">
            <v>-103693</v>
          </cell>
          <cell r="E61" t="str">
            <v>USD</v>
          </cell>
        </row>
        <row r="62">
          <cell r="A62" t="str">
            <v>C49475</v>
          </cell>
          <cell r="B62" t="str">
            <v>220000B701</v>
          </cell>
          <cell r="C62">
            <v>38597</v>
          </cell>
          <cell r="D62">
            <v>-108777.12</v>
          </cell>
          <cell r="E62" t="str">
            <v>USD</v>
          </cell>
        </row>
        <row r="63">
          <cell r="A63" t="str">
            <v>C50605</v>
          </cell>
          <cell r="B63" t="str">
            <v>220000B701</v>
          </cell>
          <cell r="C63">
            <v>38629</v>
          </cell>
          <cell r="D63">
            <v>-108777.12</v>
          </cell>
          <cell r="E63" t="str">
            <v>USD</v>
          </cell>
        </row>
        <row r="64">
          <cell r="A64" t="str">
            <v>C50065</v>
          </cell>
          <cell r="B64" t="str">
            <v>220000B701</v>
          </cell>
          <cell r="C64">
            <v>38597</v>
          </cell>
          <cell r="D64">
            <v>-115911.6</v>
          </cell>
          <cell r="E64" t="str">
            <v>USD</v>
          </cell>
        </row>
        <row r="65">
          <cell r="A65" t="str">
            <v>C50325</v>
          </cell>
          <cell r="B65" t="str">
            <v>220000B701</v>
          </cell>
          <cell r="C65">
            <v>38629</v>
          </cell>
          <cell r="D65">
            <v>-115911.6</v>
          </cell>
          <cell r="E65" t="str">
            <v>USD</v>
          </cell>
        </row>
        <row r="66">
          <cell r="A66" t="str">
            <v>C49255</v>
          </cell>
          <cell r="B66" t="str">
            <v>220000B701</v>
          </cell>
          <cell r="C66">
            <v>38597</v>
          </cell>
          <cell r="D66">
            <v>-115948.08</v>
          </cell>
          <cell r="E66" t="str">
            <v>USD</v>
          </cell>
        </row>
        <row r="67">
          <cell r="A67" t="str">
            <v>C49585</v>
          </cell>
          <cell r="B67" t="str">
            <v>220000B701</v>
          </cell>
          <cell r="C67">
            <v>38597</v>
          </cell>
          <cell r="D67">
            <v>-163798.07999999999</v>
          </cell>
          <cell r="E67" t="str">
            <v>USD</v>
          </cell>
        </row>
        <row r="68">
          <cell r="A68" t="str">
            <v>C49865</v>
          </cell>
          <cell r="B68" t="str">
            <v>220000B701</v>
          </cell>
          <cell r="C68">
            <v>38597</v>
          </cell>
          <cell r="D68">
            <v>-163798.07999999999</v>
          </cell>
          <cell r="E68" t="str">
            <v>USD</v>
          </cell>
        </row>
        <row r="69">
          <cell r="A69" t="str">
            <v>C50335</v>
          </cell>
          <cell r="B69" t="str">
            <v>220000B701</v>
          </cell>
          <cell r="C69">
            <v>38629</v>
          </cell>
          <cell r="D69">
            <v>-163798.07999999999</v>
          </cell>
          <cell r="E69" t="str">
            <v>USD</v>
          </cell>
        </row>
        <row r="70">
          <cell r="A70" t="str">
            <v>C50455</v>
          </cell>
          <cell r="B70" t="str">
            <v>220000B701</v>
          </cell>
          <cell r="C70">
            <v>38629</v>
          </cell>
          <cell r="D70">
            <v>-163798.07999999999</v>
          </cell>
          <cell r="E70" t="str">
            <v>USD</v>
          </cell>
        </row>
        <row r="71">
          <cell r="A71" t="str">
            <v>C49365</v>
          </cell>
          <cell r="B71" t="str">
            <v>220000B701</v>
          </cell>
          <cell r="C71">
            <v>38597</v>
          </cell>
          <cell r="D71">
            <v>-163871.04000000001</v>
          </cell>
          <cell r="E71" t="str">
            <v>USD</v>
          </cell>
        </row>
        <row r="72">
          <cell r="A72" t="str">
            <v>C49575</v>
          </cell>
          <cell r="B72" t="str">
            <v>220000B701</v>
          </cell>
          <cell r="C72">
            <v>38597</v>
          </cell>
          <cell r="D72">
            <v>-164166.24</v>
          </cell>
          <cell r="E72" t="str">
            <v>USD</v>
          </cell>
        </row>
        <row r="73">
          <cell r="A73" t="str">
            <v>V13555</v>
          </cell>
          <cell r="B73" t="str">
            <v>220000B701</v>
          </cell>
          <cell r="C73">
            <v>38597</v>
          </cell>
          <cell r="D73">
            <v>-170838</v>
          </cell>
          <cell r="E73" t="str">
            <v>USD</v>
          </cell>
        </row>
        <row r="74">
          <cell r="A74" t="str">
            <v>C50465</v>
          </cell>
          <cell r="B74" t="str">
            <v>220000B701</v>
          </cell>
          <cell r="C74">
            <v>38629</v>
          </cell>
          <cell r="D74">
            <v>-188020.8</v>
          </cell>
          <cell r="E74" t="str">
            <v>USD</v>
          </cell>
        </row>
        <row r="75">
          <cell r="A75" t="str">
            <v>C48965</v>
          </cell>
          <cell r="B75" t="str">
            <v>220000B701</v>
          </cell>
          <cell r="C75">
            <v>38597</v>
          </cell>
          <cell r="D75">
            <v>-188093.76</v>
          </cell>
          <cell r="E75" t="str">
            <v>USD</v>
          </cell>
        </row>
        <row r="76">
          <cell r="A76" t="str">
            <v>C49085</v>
          </cell>
          <cell r="B76" t="str">
            <v>220000B701</v>
          </cell>
          <cell r="C76">
            <v>38597</v>
          </cell>
          <cell r="D76">
            <v>-188093.76</v>
          </cell>
          <cell r="E76" t="str">
            <v>USD</v>
          </cell>
        </row>
        <row r="77">
          <cell r="A77" t="str">
            <v>C50615</v>
          </cell>
          <cell r="B77" t="str">
            <v>220000B701</v>
          </cell>
          <cell r="C77">
            <v>38629</v>
          </cell>
          <cell r="D77">
            <v>-188093.76</v>
          </cell>
          <cell r="E77" t="str">
            <v>USD</v>
          </cell>
        </row>
        <row r="78">
          <cell r="A78" t="str">
            <v>C50965</v>
          </cell>
          <cell r="B78" t="str">
            <v>220000B701</v>
          </cell>
          <cell r="C78">
            <v>38629</v>
          </cell>
          <cell r="D78">
            <v>-188093.76</v>
          </cell>
          <cell r="E78" t="str">
            <v>USD</v>
          </cell>
        </row>
        <row r="79">
          <cell r="A79" t="str">
            <v>C49245</v>
          </cell>
          <cell r="B79" t="str">
            <v>220000B701</v>
          </cell>
          <cell r="C79">
            <v>38597</v>
          </cell>
          <cell r="D79">
            <v>-193401.12</v>
          </cell>
          <cell r="E79" t="str">
            <v>USD</v>
          </cell>
        </row>
        <row r="80">
          <cell r="A80" t="str">
            <v>C50355</v>
          </cell>
          <cell r="B80" t="str">
            <v>220000B701</v>
          </cell>
          <cell r="C80">
            <v>38629</v>
          </cell>
          <cell r="D80">
            <v>-199745.76</v>
          </cell>
          <cell r="E80" t="str">
            <v>USD</v>
          </cell>
        </row>
        <row r="81">
          <cell r="A81" t="str">
            <v>C49695</v>
          </cell>
          <cell r="B81" t="str">
            <v>220000B701</v>
          </cell>
          <cell r="C81">
            <v>38597</v>
          </cell>
          <cell r="D81">
            <v>-231823.2</v>
          </cell>
          <cell r="E81" t="str">
            <v>USD</v>
          </cell>
        </row>
        <row r="82">
          <cell r="A82" t="str">
            <v>C49815</v>
          </cell>
          <cell r="B82" t="str">
            <v>220000B701</v>
          </cell>
          <cell r="C82">
            <v>38597</v>
          </cell>
          <cell r="D82">
            <v>-231823.2</v>
          </cell>
          <cell r="E82" t="str">
            <v>USD</v>
          </cell>
        </row>
        <row r="83">
          <cell r="A83" t="str">
            <v>C50075</v>
          </cell>
          <cell r="B83" t="str">
            <v>220000B701</v>
          </cell>
          <cell r="C83">
            <v>38597</v>
          </cell>
          <cell r="D83">
            <v>-231823.2</v>
          </cell>
          <cell r="E83" t="str">
            <v>USD</v>
          </cell>
        </row>
        <row r="84">
          <cell r="A84" t="str">
            <v>C49355</v>
          </cell>
          <cell r="B84" t="str">
            <v>220000B701</v>
          </cell>
          <cell r="C84">
            <v>38597</v>
          </cell>
          <cell r="D84">
            <v>-231896.16</v>
          </cell>
          <cell r="E84" t="str">
            <v>USD</v>
          </cell>
        </row>
        <row r="86">
          <cell r="A86" t="str">
            <v>BTB278/05</v>
          </cell>
          <cell r="B86" t="str">
            <v>220000B701</v>
          </cell>
          <cell r="C86">
            <v>38629</v>
          </cell>
          <cell r="D86">
            <v>-9799</v>
          </cell>
          <cell r="E86" t="str">
            <v>USD</v>
          </cell>
        </row>
        <row r="87">
          <cell r="A87" t="str">
            <v>PO1105</v>
          </cell>
          <cell r="B87" t="str">
            <v>220000B701</v>
          </cell>
          <cell r="C87">
            <v>38629</v>
          </cell>
          <cell r="D87">
            <v>-2476.58</v>
          </cell>
          <cell r="E87" t="str">
            <v>USD</v>
          </cell>
        </row>
        <row r="88">
          <cell r="A88" t="str">
            <v>R33095</v>
          </cell>
          <cell r="B88" t="str">
            <v>220000B701</v>
          </cell>
          <cell r="C88">
            <v>38597</v>
          </cell>
          <cell r="D88">
            <v>-41.13</v>
          </cell>
          <cell r="E88" t="str">
            <v>USD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alc. Global Sueldos"/>
      <sheetName val="MMA"/>
      <sheetName val="APT"/>
      <sheetName val="Cálc. Global Varios"/>
      <sheetName val="XREF"/>
      <sheetName val="Tickmarks"/>
      <sheetName val="Límite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Ad.Vta"/>
      <sheetName val="MMA FINAL"/>
      <sheetName val="MMA"/>
      <sheetName val="APT Gastos"/>
      <sheetName val="Cálculo sueldos"/>
      <sheetName val="Calc.Arriendos"/>
      <sheetName val="Leasing"/>
      <sheetName val="Leasing gasto 2005"/>
      <sheetName val="Calc.Global Honorarios"/>
      <sheetName val="Determinación del Límite"/>
      <sheetName val="Límites"/>
      <sheetName val="XREF"/>
      <sheetName val="Tickmarks"/>
      <sheetName val="MMA G.Operación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de Costos"/>
      <sheetName val="MMA"/>
      <sheetName val="APT Costo de Ventas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F)"/>
      <sheetName val="APT Gtos. (F)"/>
      <sheetName val="Cálculo sueldos"/>
      <sheetName val="MMA"/>
      <sheetName val="APT Gtos."/>
      <sheetName val="Honorarios"/>
      <sheetName val="Seguros"/>
      <sheetName val="S. de Vida"/>
      <sheetName val="Leasing"/>
      <sheetName val="Arriendos"/>
      <sheetName val="Límite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 (2)"/>
      <sheetName val="Detalle"/>
      <sheetName val="APT"/>
      <sheetName val="Cálculo sueldos"/>
      <sheetName val="Honorarios"/>
      <sheetName val="Análisis Honorarios"/>
      <sheetName val="XREF"/>
      <sheetName val="Tickmarks"/>
      <sheetName val="Analisis - APT"/>
      <sheetName val="Nómina"/>
      <sheetName val="Recálculo Nómina"/>
      <sheetName val="Regalías"/>
      <sheetName val="#REF"/>
      <sheetName val="MMA"/>
      <sheetName val="MMA Preliminar"/>
      <sheetName val="CG Sueldos"/>
      <sheetName val="Gastos Employes "/>
      <sheetName val="Cálculo del umbral Prel"/>
      <sheetName val="Cálculo del umbral Final"/>
      <sheetName val="Análisis APT Prelim"/>
      <sheetName val="Nota"/>
      <sheetName val="Analisis APT Gastos"/>
      <sheetName val="Análisis Arriendos"/>
      <sheetName val="Indemniz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imientos"/>
      <sheetName val="Comentarios"/>
      <sheetName val="Nota a los EEFF"/>
      <sheetName val="Detalle"/>
      <sheetName val="APT"/>
      <sheetName val="Mantenimiento"/>
      <sheetName val="XREF"/>
      <sheetName val="Tickmarks"/>
      <sheetName val="Nómina"/>
      <sheetName val="Outsourcing"/>
      <sheetName val="Alquileres"/>
      <sheetName val="APT de Gastos"/>
      <sheetName val="#REF"/>
      <sheetName val="Honorarios Admnistrativos"/>
      <sheetName val="CMA Calculations"/>
      <sheetName val="CMA Selections"/>
      <sheetName val="Gastos APT"/>
      <sheetName val="Seleccion gastos y costos"/>
      <sheetName val="Regalías"/>
      <sheetName val="Bonos"/>
      <sheetName val="MMA Final"/>
      <sheetName val="MMA Preliminar"/>
      <sheetName val="Remuneraciones"/>
      <sheetName val="Arriendos"/>
      <sheetName val="MMA"/>
      <sheetName val="CG Sueldos"/>
      <sheetName val="MMA  "/>
      <sheetName val="Análisis-pre"/>
      <sheetName val="C.G Sueldos"/>
      <sheetName val="Análisis"/>
      <sheetName val="Arriendos y Asesoría"/>
      <sheetName val="Detalle UIO"/>
      <sheetName val="Analisis de gastos"/>
      <sheetName val="Sueldos UIO"/>
      <sheetName val="Gto. Provisión"/>
      <sheetName val="Detalle Gastos"/>
      <sheetName val="Rol"/>
      <sheetName val="Cal.Global de Sueldos"/>
      <sheetName val="Planillas IESS"/>
      <sheetName val="MMA Gastos"/>
      <sheetName val="Revisión Analítica"/>
      <sheetName val="Seleccion APT"/>
      <sheetName val="Análisis APT"/>
      <sheetName val="Calculo Sueldos"/>
      <sheetName val="Cálculo Global Hon."/>
      <sheetName val="Selección APT Preliminar"/>
      <sheetName val="APT Preliminar"/>
      <sheetName val="Remuneraciones "/>
      <sheetName val="Pago a TCN"/>
      <sheetName val="Calc. Límites "/>
      <sheetName val="MMA(p)"/>
      <sheetName val="APT "/>
      <sheetName val="MMA "/>
      <sheetName val="CG Sueldo"/>
      <sheetName val="CG Arriendos"/>
      <sheetName val="Determinación del Límite"/>
      <sheetName val="Aná R"/>
      <sheetName val="CG GC"/>
      <sheetName val="Tabla Dinámica"/>
      <sheetName val="Base Dic 05"/>
      <sheetName val="Límite"/>
      <sheetName val="Tabla"/>
      <sheetName val="Detalle G. Op."/>
      <sheetName val="Rev. Analítica"/>
      <sheetName val="C. Globales"/>
      <sheetName val="MMA APT"/>
      <sheetName val="APT Gastos"/>
      <sheetName val="Asistencia Tec. VW"/>
      <sheetName val="Costos producción"/>
      <sheetName val="Seguros"/>
      <sheetName val="Honorarios"/>
      <sheetName val="Honorarios-Mayores"/>
      <sheetName val="Indemnizaciones"/>
      <sheetName val="Sueldos"/>
      <sheetName val="Com Tarj Créd"/>
      <sheetName val="Otros Impuestos"/>
      <sheetName val="Arriendos y Cond."/>
      <sheetName val="Ints Proveedores"/>
      <sheetName val="Calc. Límites"/>
      <sheetName val="Tabla Límites"/>
      <sheetName val="Bonificaciones"/>
      <sheetName val="Comisiones TC"/>
      <sheetName val="Detalle2002"/>
      <sheetName val="Electricidad"/>
      <sheetName val="Int. Proveed."/>
      <sheetName val="I. Municipales"/>
      <sheetName val="Imp. Municipales"/>
      <sheetName val="Otras Bonificaciones"/>
      <sheetName val="Bonif. Ventas"/>
      <sheetName val="Otras Bonifs."/>
      <sheetName val="Comisiones"/>
      <sheetName val="Estadísticas Comis."/>
      <sheetName val="Comisiones por ventas"/>
      <sheetName val="Sheet1"/>
      <sheetName val="Detalle01"/>
      <sheetName val="Guardianía"/>
      <sheetName val="Dietas"/>
      <sheetName val="Selección APT"/>
      <sheetName val="Cálc Glob Sueldos"/>
      <sheetName val="C.Global Benef Soc"/>
      <sheetName val="Marcas Estándar"/>
      <sheetName val="Detalle (Final)"/>
      <sheetName val="Analisis de gastos 2003"/>
      <sheetName val="Leasing Computadora"/>
      <sheetName val="Cobertura de Seguros"/>
      <sheetName val="Sueldos 2003"/>
      <sheetName val="Sheet2"/>
      <sheetName val="C. Global Sueldos"/>
      <sheetName val="MMA Gastos Nuevos locales"/>
      <sheetName val="Serv. Cobranza"/>
      <sheetName val="Diciembre"/>
      <sheetName val="Selección para APT"/>
      <sheetName val="Arriendo Mercantil"/>
      <sheetName val="Cómputo Beneficios Sociales"/>
      <sheetName val="NOMINA"/>
      <sheetName val="Leasing"/>
      <sheetName val="Diciembre03"/>
      <sheetName val="Análisis Honorarios Aud. Intern"/>
      <sheetName val="Servicios Básicos"/>
      <sheetName val="Gtos Adm"/>
      <sheetName val="Gtos Ventas"/>
      <sheetName val="Cal Suel 2003"/>
      <sheetName val="Cálculo Sueldos"/>
      <sheetName val="Detalle "/>
      <sheetName val="Revisión Analítica 2002"/>
      <sheetName val="Análisis de Gastos"/>
      <sheetName val="Revisión Analítica 2001"/>
      <sheetName val="Arriendo de Oficinas"/>
      <sheetName val="Arr Merc final"/>
      <sheetName val="Comisiones Broker indiv."/>
      <sheetName val="Comisiones Broker indiv. (2)"/>
      <sheetName val="Comisiones Broker Corpor."/>
      <sheetName val="Comisiones Broker Corpor. (2)"/>
      <sheetName val="Comisiones Broker Interhealth"/>
      <sheetName val="cruce PPC"/>
      <sheetName val="MMA Prel"/>
      <sheetName val="APT Gastos Pre."/>
      <sheetName val="Cálc. Glob. Arriendos"/>
      <sheetName val="Cálc. Comisiones"/>
      <sheetName val="MMA APT Jun"/>
      <sheetName val="MMA APT Oct."/>
      <sheetName val="MMA APT Dic"/>
      <sheetName val="Publicidad"/>
      <sheetName val="Premios"/>
      <sheetName val="Gstos Vta"/>
      <sheetName val="Calc. Global Sueldos"/>
      <sheetName val="Cálc. Global Arriendo"/>
      <sheetName val="Selección Final"/>
      <sheetName val="Selección Preliminar"/>
      <sheetName val="Aporte patronal"/>
      <sheetName val="Detalle de sueldos"/>
      <sheetName val="A. ct. alquiler"/>
      <sheetName val="Tabla del Limite"/>
      <sheetName val="Costo ventas"/>
      <sheetName val="Cálculo Global"/>
      <sheetName val="IESS"/>
      <sheetName val="Links"/>
      <sheetName val="MANAGEMENT FEE"/>
      <sheetName val="Cuenta APT"/>
      <sheetName val="Subselección"/>
      <sheetName val="Controles"/>
      <sheetName val="Cálculo Global Sueldos"/>
      <sheetName val="Beneficios Sociales"/>
      <sheetName val="otros"/>
      <sheetName val="Preliminar"/>
      <sheetName val="MMA (2)"/>
      <sheetName val="Sueldos y Comisiones"/>
      <sheetName val="Manten. Spider"/>
      <sheetName val="Gastos x CC"/>
      <sheetName val="APT Gtos."/>
      <sheetName val="APT Transporte"/>
      <sheetName val="Benef. Sociales"/>
      <sheetName val="Gtos apt final"/>
      <sheetName val="APT (2)"/>
      <sheetName val="Resumen Arriendos"/>
      <sheetName val="Resumen de Roles"/>
      <sheetName val="Riesgo crediticio"/>
      <sheetName val="Recojo"/>
      <sheetName val="Const. Tiendas"/>
      <sheetName val="Hoja 1"/>
      <sheetName val="Arriendos Dic"/>
      <sheetName val="Detalle a Final"/>
      <sheetName val="Detalle-Hugo"/>
      <sheetName val="Revision analítica"/>
      <sheetName val="Nomina Terceros"/>
      <sheetName val="Resumen"/>
      <sheetName val="MMA Garan. Banc."/>
      <sheetName val="Balance Mensual"/>
      <sheetName val="Chart1"/>
      <sheetName val="Detalle a Dic-07"/>
      <sheetName val="MMA Pre Sep-07"/>
      <sheetName val="Para graficos"/>
      <sheetName val="An. Honorarios Dic"/>
      <sheetName val="Analisis APT"/>
      <sheetName val="Asistencia Medica"/>
      <sheetName val="Arriendo"/>
      <sheetName val="CMA Calculations- R Factor (2)"/>
      <sheetName val="CMA_Selections"/>
      <sheetName val="Honor. Agente Manejo"/>
      <sheetName val="Comi. Administración Cartera"/>
      <sheetName val="Selección Gastos"/>
      <sheetName val="Sueldos-fin"/>
      <sheetName val="Detalle por C.Costos)"/>
      <sheetName val="Det. Otros"/>
      <sheetName val="En. Elec."/>
      <sheetName val="MMA APT "/>
      <sheetName val="Cálculo de Exceso"/>
      <sheetName val="Cálculo del Límite"/>
      <sheetName val="Detalle sueldos"/>
      <sheetName val="Cálculo del umbral"/>
      <sheetName val="MMA APT (prel)"/>
      <sheetName val="MMA APT (final)"/>
      <sheetName val="Fee"/>
      <sheetName val="Calc. Global Sueldos "/>
      <sheetName val="Límite Sueldos"/>
      <sheetName val="Gastos médicos"/>
      <sheetName val="Seleccion Gastos"/>
      <sheetName val="Muestra Gastos"/>
      <sheetName val="Muestras Adicione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C.G.Sueldos"/>
      <sheetName val="C.G.Beneficios sociales"/>
      <sheetName val="Cálculo Vacaciones"/>
      <sheetName val="Tercerizados"/>
      <sheetName val="Bono Rendimientos"/>
      <sheetName val="Nota"/>
      <sheetName val="Sueldos y Salarios"/>
      <sheetName val="Límites"/>
      <sheetName val="Tabla del Límite"/>
      <sheetName val="Costos"/>
      <sheetName val="Energia Electrica"/>
      <sheetName val="MMA Manten"/>
      <sheetName val="APT Mantemiento"/>
      <sheetName val="Vigilancia"/>
      <sheetName val="Excess Calc"/>
      <sheetName val="TCalc"/>
      <sheetName val="APT Comunicaciones"/>
      <sheetName val="Prov Jub Patronal"/>
      <sheetName val="Sheet4"/>
      <sheetName val="Nota EEFF"/>
      <sheetName val="Gastos ADC"/>
      <sheetName val="Corpaq"/>
      <sheetName val="O&amp;M Manag. Fee "/>
      <sheetName val="Contabilidad Asesoria Otros"/>
      <sheetName val="Honorarios Dic"/>
      <sheetName val="Off Shore Operator"/>
      <sheetName val="O&amp;M Management Fee"/>
      <sheetName val="O&amp;M JUNIO &amp; Diciembre"/>
      <sheetName val="Misceláneos"/>
      <sheetName val="Límite Honorarios"/>
      <sheetName val="Gastos"/>
      <sheetName val="Sueldos y Benef."/>
      <sheetName val="MMA Gtos. y Ctos."/>
      <sheetName val="APT Gtos. y Ctos."/>
      <sheetName val="MMA Mantenim."/>
      <sheetName val="APT Mantenim."/>
      <sheetName val="Cálc. Glob. Nómina"/>
      <sheetName val="Personas Jurídicas"/>
      <sheetName val="Management  Fee"/>
      <sheetName val="Provisional"/>
      <sheetName val="Base"/>
      <sheetName val="Fábrica"/>
      <sheetName val="Cesantía"/>
      <sheetName val="Detalle de gastos"/>
      <sheetName val="Fletes"/>
      <sheetName val="Detalle de gastos por APT"/>
      <sheetName val="Mov. I.Rta y Part.Trab"/>
      <sheetName val="Composición"/>
      <sheetName val="Ventas-Comisiones"/>
      <sheetName val="C.Global Sueldos"/>
      <sheetName val="Otros C.Global Hono."/>
      <sheetName val="C.Global Hono."/>
      <sheetName val="Apt Gtos Operación"/>
      <sheetName val="Comisiones Tarj. Crédito"/>
      <sheetName val="Selección empleados"/>
      <sheetName val="Servicios"/>
      <sheetName val="Motorizados"/>
      <sheetName val="Limpieza"/>
      <sheetName val="Marca"/>
      <sheetName val="Dundell Corp."/>
      <sheetName val="indega"/>
      <sheetName val="Análisis Gastos"/>
      <sheetName val="Ingeniería"/>
      <sheetName val="MMA Ingeniería"/>
      <sheetName val="Análisis de Ingeniera"/>
      <sheetName val="SEMAD"/>
      <sheetName val="Facturas Honorarios"/>
      <sheetName val="Facturas Asistencia Técnica"/>
      <sheetName val="MMA (Diciembre)"/>
      <sheetName val="Análisis Rol de Pagos"/>
      <sheetName val="Horas Extras"/>
      <sheetName val="Tercerización (Dic)"/>
      <sheetName val="Análisis Remunerativo"/>
      <sheetName val="Asesoría Técnica"/>
      <sheetName val="MMA Premiliminar"/>
      <sheetName val="Reasignaciones"/>
      <sheetName val="Análisis Reasign"/>
      <sheetName val="Jubilación"/>
      <sheetName val="Fletes de Producto"/>
      <sheetName val="Fletes de Distribución"/>
      <sheetName val="Muestra de Gastos"/>
      <sheetName val="Análisis Sueldos"/>
      <sheetName val="Bono de Trabajo"/>
      <sheetName val="Cálculos Globales"/>
      <sheetName val="CMA H.CONTR. Prelim"/>
      <sheetName val="CMA H. Contr Final"/>
      <sheetName val="CMA H.PROF. Prelim"/>
      <sheetName val="CMA H Prof Final"/>
      <sheetName val="Movimiento"/>
      <sheetName val="Selección Adiciones Prel"/>
      <sheetName val="Muestra Adiciones Prel"/>
      <sheetName val="Adiciones"/>
      <sheetName val="PAMV"/>
      <sheetName val="Detalle de rubros rol de pagos"/>
      <sheetName val="Detalle Arriendos Bienes Inm."/>
      <sheetName val="Arriendo Bienes Inmuebles"/>
      <sheetName val="Detalle Arr. Mer."/>
      <sheetName val="Com. Distrib."/>
      <sheetName val="Cálglobal sueldos"/>
      <sheetName val="C. global Benef."/>
      <sheetName val="MMA Prel."/>
      <sheetName val="Análisis de APT"/>
      <sheetName val="Cál. Regalias"/>
      <sheetName val="Detalle Regalias"/>
      <sheetName val="Transferencias"/>
      <sheetName val="Análisis Transferencias"/>
      <sheetName val="Gastos APT "/>
      <sheetName val="Gastos de operación"/>
      <sheetName val="CMA Calculations APT"/>
      <sheetName val="CMA Selection APT"/>
      <sheetName val="Cálculo Limite Nomina"/>
      <sheetName val="Fedepal"/>
      <sheetName val="Servicios Administrativos"/>
      <sheetName val="Fedapal"/>
      <sheetName val="Ancupa"/>
      <sheetName val="Cal. Global Beneficios"/>
      <sheetName val="Impuestos"/>
      <sheetName val="Calc. Límite"/>
      <sheetName val="Cálculo Honorarios"/>
      <sheetName val="MMA (F)"/>
      <sheetName val="MMA (P)"/>
      <sheetName val="Leasing "/>
      <sheetName val="Pivot Sueldos"/>
      <sheetName val="Movimiento Benef.Sociales"/>
      <sheetName val="Actas de Finiquito"/>
      <sheetName val="Tercerizadoras"/>
      <sheetName val="Contratos-Maquila"/>
      <sheetName val="MMA Gtos-Costos"/>
      <sheetName val="APT Gtos-Costos"/>
      <sheetName val="Asistencia Tec."/>
      <sheetName val="G. Administrativo"/>
      <sheetName val="APT Costos"/>
      <sheetName val="Serv. Comerc."/>
      <sheetName val="Sheet3"/>
      <sheetName val="Detalle G.A."/>
      <sheetName val="Detalle G.O."/>
      <sheetName val="MMA GA"/>
      <sheetName val="MMA GO"/>
      <sheetName val="Análisis de Nómina"/>
      <sheetName val="Nom. vs Bancos"/>
      <sheetName val="Conazul"/>
      <sheetName val="GO"/>
      <sheetName val="Gastos Fiduciario"/>
      <sheetName val="leasing Vehículos"/>
      <sheetName val="Asistencia técnica"/>
      <sheetName val="Análisis Gastos APT"/>
      <sheetName val="Seguridad y Vigilancia"/>
      <sheetName val="Salección APT-Final"/>
      <sheetName val="Anal. Fletes"/>
      <sheetName val="Anal. Comisi."/>
      <sheetName val="CMA APT"/>
      <sheetName val="Selecc. APT-Prel"/>
      <sheetName val="Selecc. Fletes-Prel"/>
      <sheetName val="Selecc. Comisiones-Prel"/>
      <sheetName val="MMA Final Gtos. Operac."/>
      <sheetName val="APT GASTOS OPE."/>
      <sheetName val="MMA GASTOS OPE."/>
      <sheetName val="MMA COMI."/>
      <sheetName val="MMA HONO"/>
      <sheetName val="APT.COMI"/>
      <sheetName val="APT.HONO"/>
      <sheetName val="Base de Subseleccion"/>
      <sheetName val="Subseleccion ACL"/>
      <sheetName val="Reclasificación "/>
      <sheetName val="APT Final"/>
      <sheetName val="Arriendos de concesiones"/>
      <sheetName val="SA Procedures"/>
      <sheetName val="Expectation"/>
      <sheetName val="Cálc. Global Mant. Repar."/>
      <sheetName val="Análisis Fletes Vs. Ingresos"/>
      <sheetName val="Seleccion APT Final"/>
      <sheetName val="Bajas"/>
      <sheetName val="Comisión Brokers"/>
      <sheetName val="Comisión Nova"/>
      <sheetName val="Contratos Nova"/>
      <sheetName val="APT Gastos y Costos"/>
      <sheetName val="Arrendamiento"/>
      <sheetName val="Análisis APT "/>
      <sheetName val="MMA Prelim."/>
      <sheetName val="Seguros del Personal"/>
      <sheetName val="Fact-Alloc-Asignac.-Final"/>
      <sheetName val="Allocations- Final"/>
      <sheetName val="Allocations"/>
      <sheetName val="Transporte OCP"/>
      <sheetName val="Cálculo Selección APT"/>
      <sheetName val="Revis. Fact. Trans. OCP"/>
      <sheetName val="Seguro"/>
      <sheetName val="C.Despidos Intemp."/>
      <sheetName val="APT Sueldos"/>
      <sheetName val="Cal. Benef. Social Final"/>
      <sheetName val="Cal.Benef.Social."/>
      <sheetName val="CMA Base"/>
      <sheetName val="CMA Selecc."/>
      <sheetName val="Anal. APT"/>
      <sheetName val="Gasto Arriendo"/>
      <sheetName val="APT Arriendo"/>
      <sheetName val="Gto. Arriendo Equipos"/>
      <sheetName val="APT de Arriendo Equipos"/>
      <sheetName val="Imp. Ambiente"/>
      <sheetName val="Arriendo-Vigilancia"/>
      <sheetName val="Arriendo de Equipos"/>
      <sheetName val="Servicios Especializados"/>
      <sheetName val="Servicios Computación"/>
      <sheetName val="Uso marcas"/>
      <sheetName val="Movimiento Arriendos"/>
      <sheetName val="Honorarios Farmaceuticos"/>
      <sheetName val="Cal Glob Sueldos"/>
      <sheetName val="Global Honorarios"/>
      <sheetName val="Recálculo Nómina"/>
      <sheetName val=" APT Gtos Op"/>
      <sheetName val="Calculo Global Nomina"/>
      <sheetName val="Liquidaciones Emp."/>
      <sheetName val="Gasto Combustible."/>
      <sheetName val="Análisis Empleados"/>
      <sheetName val="Gasto Sueldos"/>
      <sheetName val="Transp."/>
      <sheetName val="Servicios Adm"/>
      <sheetName val="Reembolsos"/>
      <sheetName val="OrgControl"/>
      <sheetName val="SaldosCruceInv"/>
      <sheetName val="Cálculo actuarial"/>
      <sheetName val="VerNóm"/>
      <sheetName val="AnálisisGtosAPT"/>
      <sheetName val="AguaPot"/>
      <sheetName val="Análisis APT Final"/>
      <sheetName val="Selección de Cuentas"/>
      <sheetName val="Selección de Gastos"/>
      <sheetName val="Análisis APT Prelim"/>
      <sheetName val="Análisis Arriendos"/>
      <sheetName val="Comisión a Distribuidores"/>
      <sheetName val="Mantenimiento de Bienes"/>
      <sheetName val="Arrendamiento Mercantil"/>
      <sheetName val="Arriendo Inmuebles"/>
      <sheetName val="Serv. Comercialización"/>
      <sheetName val="Selec ACL"/>
      <sheetName val="Cálculo de Honorarios"/>
      <sheetName val="Presupuesto"/>
      <sheetName val="Guardia y Seguridad"/>
      <sheetName val="Central Telef."/>
      <sheetName val="Mant. Jardines"/>
      <sheetName val="Bonif. Ventas(Prel) (2)"/>
      <sheetName val="Determinación de Límites"/>
      <sheetName val="Jub.Patr."/>
      <sheetName val="Costo de Garantía"/>
      <sheetName val="Asis. Tec."/>
      <sheetName val="Selec. APT"/>
      <sheetName val="An. APT"/>
      <sheetName val="Cálculo Nómina"/>
      <sheetName val="Bonos de desempeño"/>
      <sheetName val="Movimiento Inventario Propio"/>
      <sheetName val="Análisis Hon. Contractuales"/>
      <sheetName val="Análisis Hon Profesionales"/>
      <sheetName val="Análisis Reaseguros"/>
      <sheetName val="Análisis de Inventario Propio"/>
      <sheetName val="Análisis de Sum. Consignación"/>
      <sheetName val="NOTAS E.E.F.F."/>
      <sheetName val="Pruebas Sustantivas"/>
      <sheetName val="Mov Jubilación y Desahucio"/>
      <sheetName val="Calc. Arriendos"/>
      <sheetName val="Plantilla de límites Fecha Fi"/>
      <sheetName val="Det. cargas soc. y sueldos"/>
      <sheetName val="Límites Gasto Nómina"/>
      <sheetName val="Límites provisiones"/>
      <sheetName val="Prueb.Calc.Actur"/>
      <sheetName val="Revisión de Factura-Honor."/>
      <sheetName val="Nomina final"/>
      <sheetName val="CG. Distribución Portrans"/>
      <sheetName val="CG Impuesto Salida de Divisas"/>
      <sheetName val="Gastos APT-Final"/>
      <sheetName val="Análisis de Gastos APT-Prel."/>
      <sheetName val="Cálculo Globla Nómina Final"/>
      <sheetName val="Rol de Pagos"/>
      <sheetName val="Honorarios Gerencia"/>
      <sheetName val="Cost-Sharing"/>
      <sheetName val="Servicio Relacionadas"/>
      <sheetName val="Costos APT"/>
      <sheetName val="Contratos Casa Matriz"/>
      <sheetName val="Cálculo Globla Nómina"/>
      <sheetName val="Cierre de Gastos"/>
      <sheetName val="Contribuciones"/>
      <sheetName val="Bonif. Ventas(Prel)"/>
      <sheetName val="Bonif. Ventas (Final)"/>
      <sheetName val="Otras Bonifs. (Prel)"/>
      <sheetName val="Otras Bonifs. (Final)"/>
      <sheetName val="Arriendos y Cond. (Prel)"/>
      <sheetName val="Arriendos y Cond. (Final)"/>
      <sheetName val="Comisiones (Prel)"/>
      <sheetName val="Comisiones (Final)"/>
      <sheetName val="Análisis de Gastos APT"/>
      <sheetName val="Sheet1 (2)"/>
      <sheetName val="Detalle gtos"/>
      <sheetName val="MMA Ago-05"/>
      <sheetName val="# Empleados"/>
      <sheetName val="Serv. Exter"/>
      <sheetName val="APT Gastos Honorarios"/>
      <sheetName val="Análisis nómina"/>
      <sheetName val="Límites Final"/>
      <sheetName val="Límites Preliminar"/>
      <sheetName val="Muestra Final"/>
      <sheetName val="APT 2008"/>
      <sheetName val="Comisiones en Ventas"/>
      <sheetName val="Análisis Seguros"/>
      <sheetName val="Variaciones Gastos APT"/>
      <sheetName val="CG Nómina"/>
      <sheetName val="Gtos No ded Dec08"/>
      <sheetName val="Gtos No deducibles"/>
      <sheetName val="Bonificaciones y PT Jun"/>
      <sheetName val="Bonificaciones y PT Dec"/>
      <sheetName val="Bonificaciones prel"/>
      <sheetName val="Bonificaciones Final"/>
      <sheetName val="Entrega PT"/>
      <sheetName val="CG Seguros"/>
      <sheetName val="Análisis variaciones"/>
      <sheetName val="Beneficios"/>
      <sheetName val="Serv Contrat"/>
      <sheetName val="CMA_Calculations"/>
      <sheetName val="Detalle (2)"/>
      <sheetName val="Imp. y Contrib."/>
      <sheetName val="Provisiones"/>
      <sheetName val="Serv. Contr"/>
      <sheetName val="APT Suministros"/>
      <sheetName val="Gastos Operacion"/>
      <sheetName val="Dietas y Honorarios"/>
      <sheetName val="Impuestos y Contrib y Camara"/>
      <sheetName val="Funcionarios"/>
      <sheetName val="Impuestos y Contribuciones"/>
      <sheetName val="Bono Navideño"/>
      <sheetName val="Nómina Final"/>
      <sheetName val="Arriendos Final"/>
      <sheetName val="NOTA EF"/>
      <sheetName val="Cálculo Global Seguros"/>
      <sheetName val="Arriendo de Bodegas"/>
      <sheetName val="Hon Ots"/>
      <sheetName val="Arr Of"/>
      <sheetName val="Arr Bod"/>
      <sheetName val="Com FEE"/>
      <sheetName val="Compañías Relacionadas"/>
      <sheetName val="Nota a los EE FF"/>
      <sheetName val="Cálculo Global de Nómina"/>
      <sheetName val="Análsisi de Gastos APT"/>
      <sheetName val="Salarios y Beneficios Sociales"/>
      <sheetName val="Conectividad"/>
      <sheetName val="Alquiler de Licencias"/>
      <sheetName val="Alquiler de Edificios"/>
      <sheetName val="Incentivos de Agencias"/>
      <sheetName val="Cálculo Global-Nómina"/>
      <sheetName val="Procedimientos Gastos Operacion"/>
      <sheetName val="Calculo de Nomina"/>
      <sheetName val="Hoja de límites"/>
      <sheetName val="Nuevo Enfoque APT"/>
      <sheetName val="APT Ctas Seleccionadas"/>
      <sheetName val="Analisis - APT"/>
      <sheetName val="Detalle 10"/>
      <sheetName val="Vacaciones"/>
      <sheetName val="Planillas"/>
      <sheetName val="APT de Costos"/>
      <sheetName val="NOTAs EEFF"/>
      <sheetName val="Límites Nomina"/>
      <sheetName val="Detalle de arriendos"/>
      <sheetName val="Límites "/>
      <sheetName val="Comisión Tarjetas"/>
      <sheetName val="Amortización Final"/>
      <sheetName val="Amortización"/>
      <sheetName val="Análisis variación G.Pubicidad"/>
      <sheetName val="APT Gastos "/>
      <sheetName val="Gtos. Operación"/>
      <sheetName val="Anális Leasing"/>
      <sheetName val="Jubilación patronal"/>
      <sheetName val="Publicidad "/>
      <sheetName val="Det.Dic."/>
      <sheetName val="Det.Oct."/>
      <sheetName val="Rev.Analít."/>
      <sheetName val="Arr. Mer."/>
      <sheetName val="Ener. Elec."/>
      <sheetName val="Asig. Adm"/>
      <sheetName val="Variaciones"/>
      <sheetName val="XREF1"/>
      <sheetName val="Det. Dic."/>
      <sheetName val="Det. Oct."/>
      <sheetName val="APT Servicio Transp."/>
      <sheetName val="Servicios de Distribución"/>
      <sheetName val="Patentes"/>
      <sheetName val="Validación Nómina"/>
      <sheetName val="Sel APT"/>
      <sheetName val="Ana. APT"/>
      <sheetName val="Otros Impuestos Sep"/>
      <sheetName val="Cálculo Global Beneficios Socia"/>
      <sheetName val="Ctas. Consumo Inv."/>
      <sheetName val="Limites  Nuevo Enfoque"/>
      <sheetName val="Análisis Gto. Patrocinio"/>
      <sheetName val="Notas EF"/>
      <sheetName val="Cont. Selec"/>
      <sheetName val="Indem. selec"/>
      <sheetName val="Analisis APT Preliminar"/>
      <sheetName val="Cálculo marketing FEE"/>
      <sheetName val="Sheet% Mk Fee."/>
      <sheetName val="Mano de Obra"/>
      <sheetName val="Procedimiento"/>
      <sheetName val="Observaciones"/>
      <sheetName val="Muestras Medicas"/>
      <sheetName val="Comisión Radioshack"/>
      <sheetName val="Tarjetas Créd. final"/>
      <sheetName val="Tarjetas Créd."/>
      <sheetName val="Cál. Global Arriendos Final"/>
      <sheetName val="Comisión Tarjeta"/>
      <sheetName val="Anál. Gastos APT"/>
      <sheetName val="Gastos Operacionales"/>
      <sheetName val="Gasto de administ y ventas"/>
      <sheetName val="Cálculo Royalities"/>
      <sheetName val="Nómina Dec."/>
      <sheetName val="Nómina Nov."/>
      <sheetName val="Cálculo Seguro de Vida"/>
      <sheetName val="Cálculo ley 42"/>
      <sheetName val="Cálculo de transporte"/>
      <sheetName val="Análisis Allocation"/>
      <sheetName val="External"/>
      <sheetName val="Analisis Gastos"/>
      <sheetName val="Detalle M.O."/>
      <sheetName val="Detalle cons. Inv"/>
      <sheetName val="CMA Calculations- R Factor"/>
      <sheetName val="Gastos liquidación Haberes"/>
      <sheetName val="Cálculo Global sueldos y benef."/>
      <sheetName val="Servicios Gerenciales"/>
      <sheetName val="Servic. Externos"/>
      <sheetName val="Serv.Externos final"/>
      <sheetName val="Tercerización"/>
      <sheetName val="Saldos Neg"/>
      <sheetName val="mayores "/>
      <sheetName val="Servicio Com.- Asist. Técnica"/>
      <sheetName val="Personal Discapac."/>
      <sheetName val="Gastos APT Final"/>
      <sheetName val="Gastos APT Prlim."/>
      <sheetName val="Gto fin"/>
      <sheetName val="APTfinal"/>
      <sheetName val="Fusión"/>
      <sheetName val="APTFusión"/>
      <sheetName val="ADC &amp; HAS Gtos"/>
      <sheetName val="Análisis Honorarios"/>
      <sheetName val="APT Costos y Gastos"/>
      <sheetName val="No Deducibles"/>
      <sheetName val="Provisiones No deducibles"/>
      <sheetName val="Cálculo de Arriendos"/>
      <sheetName val="Calculo de Nómina"/>
      <sheetName val="Gastos APT(P)"/>
      <sheetName val="Gastos APT (F)"/>
      <sheetName val="Regalias(P)"/>
      <sheetName val="Regalias (F)"/>
      <sheetName val="Incentivo Agencias final"/>
      <sheetName val="Cálculo Global de Incentivos"/>
      <sheetName val="Base Para el cálculo de Incenti"/>
      <sheetName val="Gastos APT Prelim."/>
      <sheetName val="Mov Juvilación y Desahucio"/>
      <sheetName val="Plantilla de límites"/>
      <sheetName val="Movimiento Jubilación Patronal"/>
      <sheetName val="Costo de Garantías"/>
      <sheetName val="Subdetalles de gastos"/>
      <sheetName val="Selección bono retiro"/>
      <sheetName val="Cál Glob Nómina"/>
      <sheetName val="Muestras médicas"/>
      <sheetName val="APT liquidaciones"/>
      <sheetName val="Notas EE.FF."/>
      <sheetName val="APT Mantenimiento"/>
      <sheetName val="Gasto APT  Preliminar"/>
      <sheetName val="APT Mantenimiento Preliminar "/>
      <sheetName val="APT  Preliminar"/>
      <sheetName val="Análisis Bono Cumplimiento (2)"/>
      <sheetName val="Detalle Sound &amp; Booth"/>
      <sheetName val="CxP Royalty"/>
      <sheetName val="Selección Sound &amp; Bolth"/>
      <sheetName val="Análisis Sound&amp;Bouth"/>
      <sheetName val="APT Seguros"/>
      <sheetName val="Límites sugeridos"/>
      <sheetName val="Cál. Global Nómina"/>
      <sheetName val="Participación Trabajadores"/>
      <sheetName val="Sueldos y Beneficios Sociales"/>
      <sheetName val="F_Dinamizacion"/>
      <sheetName val="Limites"/>
      <sheetName val="Analisis APT Gastos"/>
      <sheetName val="Análisi APT"/>
      <sheetName val="Análisi Arriendos"/>
      <sheetName val="Análisis_Var_Mens_Gtos"/>
      <sheetName val="Cálculo Globla 5 meses"/>
      <sheetName val="Matriz"/>
      <sheetName val="Integridad Base"/>
      <sheetName val="Res Contrato Colectivo"/>
      <sheetName val="Confirmaciones"/>
      <sheetName val="Contratos Matriz"/>
      <sheetName val="Cálculo Globla Nómina Final "/>
      <sheetName val="Comisiones Tarjetas "/>
      <sheetName val="Análisis de Tendencias"/>
      <sheetName val="Corte"/>
      <sheetName val="Consumos de Inventario"/>
      <sheetName val="Cal. Global seguros"/>
      <sheetName val="Limites Sugeridos"/>
      <sheetName val="APT Gastos Final"/>
      <sheetName val="APT Dic"/>
      <sheetName val="Overcomision"/>
      <sheetName val="Comisiones Tarjetas"/>
      <sheetName val="Prueba de Detalle de Nómina"/>
      <sheetName val="gto atp"/>
      <sheetName val="Mestra APT"/>
      <sheetName val="Límites pre"/>
      <sheetName val="Límites fin"/>
      <sheetName val="Gasto Jub. Pat y Desahuc"/>
      <sheetName val="Pagos "/>
      <sheetName val="8330.1 Detalle"/>
      <sheetName val="8330.1a Revisión Analítica"/>
      <sheetName val="8330.2 APT Gastos de Operación"/>
      <sheetName val="8330.3 Cálculo Global Nómina"/>
      <sheetName val="8330.4 Arriendos"/>
      <sheetName val="8330.5 Telecenter"/>
      <sheetName val="8330.6a Límites"/>
      <sheetName val="8330.6b Límites Final"/>
      <sheetName val="Sheet8"/>
      <sheetName val="Calc. Glob Arriend"/>
      <sheetName val="Gastos APT (Nov)"/>
      <sheetName val="Gastos APT Dic"/>
      <sheetName val=" CG Nómina"/>
      <sheetName val="CG Prov. Beneficios Sociales"/>
      <sheetName val="Otros gtos adminis y vtas"/>
      <sheetName val="CMA Calculations- Figure 54 (2)"/>
      <sheetName val="CMA Calculations- Figure 54 (3)"/>
      <sheetName val="Analisis Gastos APT"/>
      <sheetName val="Calculo Global de Sueldos"/>
      <sheetName val="CNT"/>
      <sheetName val="APT_CNT"/>
      <sheetName val="Revisión APT"/>
      <sheetName val="P.1. Detalle"/>
      <sheetName val="P.2. Calculo de Nómina (P)"/>
      <sheetName val="Gastos APT(F)"/>
      <sheetName val="Cálculo Nómina final "/>
      <sheetName val="Cálculo Nómina prel"/>
      <sheetName val="Gastos APT 2 NIIF"/>
      <sheetName val="Gasto Seg Vida"/>
      <sheetName val="Intercompany"/>
      <sheetName val="Detalle de Desahucio"/>
      <sheetName val="Cálculo Nómina final"/>
      <sheetName val="Análisis de Apt "/>
      <sheetName val="Prov.Inv.Lento Movto."/>
      <sheetName val="Gastos No Deducibles"/>
      <sheetName val="Desahucio"/>
      <sheetName val="Mov.Inv.Lento Mov."/>
      <sheetName val="Mov.Provisión"/>
      <sheetName val="Cálculo Global Nómina"/>
      <sheetName val="Comparación Sueldos 11-12"/>
      <sheetName val="APT Otros Gastos"/>
      <sheetName val="Rev. de Doc. soporte"/>
      <sheetName val="Cálculo Global de Arriendos"/>
      <sheetName val="Calculo Global"/>
      <sheetName val="Serv Cobranza"/>
      <sheetName val="Analisis Serv. Cobranza"/>
      <sheetName val="Análsis Mensajes de Producción"/>
      <sheetName val="Res. Confirmac."/>
      <sheetName val="Notas"/>
      <sheetName val="8330.1 Nómina"/>
      <sheetName val="Luz Eléctrica"/>
      <sheetName val="APT Gostos"/>
      <sheetName val="Transferencia de costos"/>
      <sheetName val="Nómina "/>
      <sheetName val="Feb"/>
    </sheetNames>
    <sheetDataSet>
      <sheetData sheetId="0">
        <row r="299">
          <cell r="E299">
            <v>295674</v>
          </cell>
        </row>
      </sheetData>
      <sheetData sheetId="1"/>
      <sheetData sheetId="2"/>
      <sheetData sheetId="3" refreshError="1">
        <row r="10">
          <cell r="A10" t="str">
            <v>6.1.1.01.01.01</v>
          </cell>
        </row>
        <row r="299">
          <cell r="E299">
            <v>295674</v>
          </cell>
        </row>
      </sheetData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>
        <row r="6">
          <cell r="B6">
            <v>321405</v>
          </cell>
        </row>
      </sheetData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321405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/>
      <sheetData sheetId="209" refreshError="1"/>
      <sheetData sheetId="210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6">
          <cell r="B6">
            <v>321405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>
        <row r="299">
          <cell r="E299">
            <v>295674</v>
          </cell>
        </row>
      </sheetData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/>
      <sheetData sheetId="360"/>
      <sheetData sheetId="361" refreshError="1"/>
      <sheetData sheetId="362" refreshError="1"/>
      <sheetData sheetId="363"/>
      <sheetData sheetId="364" refreshError="1"/>
      <sheetData sheetId="365"/>
      <sheetData sheetId="366" refreshError="1"/>
      <sheetData sheetId="367"/>
      <sheetData sheetId="368"/>
      <sheetData sheetId="369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/>
      <sheetData sheetId="484"/>
      <sheetData sheetId="485" refreshError="1"/>
      <sheetData sheetId="486"/>
      <sheetData sheetId="487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/>
      <sheetData sheetId="78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Desembolsos 2010"/>
      <sheetName val="Contratos Préstamo"/>
      <sheetName val="Cálculo Interes Prestamos"/>
      <sheetName val="Cálculo Interes Sponsors"/>
      <sheetName val="Determinación de Límites"/>
      <sheetName val="XREF"/>
      <sheetName val="Tickmarks"/>
      <sheetName val="#REF"/>
    </sheetNames>
    <sheetDataSet>
      <sheetData sheetId="0" refreshError="1"/>
      <sheetData sheetId="1" refreshError="1">
        <row r="1">
          <cell r="A1" t="str">
            <v>Detalle de Deuda a Largo Plazo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APT Gastos"/>
      <sheetName val="Leasing"/>
      <sheetName val="Nomina"/>
      <sheetName val="Mov.Honor.Profe"/>
      <sheetName val="Mayores"/>
      <sheetName val="XREF"/>
      <sheetName val="Tickmarks"/>
      <sheetName val="Detalle G. Adm."/>
      <sheetName val="Detalle G. Ventas"/>
      <sheetName val="Detalle de Interesés"/>
      <sheetName val="SUELDOS"/>
      <sheetName val="Selección "/>
      <sheetName val="Cálculo de Interesés"/>
      <sheetName val="Variación Gtos "/>
      <sheetName val="MMA Final"/>
      <sheetName val="MMA Prel."/>
      <sheetName val="APT Final"/>
      <sheetName val="Selecc"/>
      <sheetName val="Determinación del Límite"/>
      <sheetName val="Tabla del Lími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Costo"/>
      <sheetName val="Amort. Acumulada"/>
      <sheetName val="Cal. Amort."/>
      <sheetName val="MMA"/>
      <sheetName val="Análisis"/>
      <sheetName val="Límite"/>
      <sheetName val="XREF"/>
      <sheetName val="Tickmarks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Análisis adiciones"/>
      <sheetName val="Mov."/>
      <sheetName val="Mov. Amort."/>
      <sheetName val="Cál. Amort."/>
      <sheetName val="Adic.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ayores"/>
      <sheetName val="NEC 17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Récalculo Amortización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>
        <row r="46">
          <cell r="F46" t="str">
            <v>!</v>
          </cell>
        </row>
      </sheetData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Ant comp terr"/>
      <sheetName val=" D.Antic Prov MP"/>
      <sheetName val="D.Antic gtos import &amp; exp"/>
      <sheetName val="D. impto anticip"/>
      <sheetName val="Til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imite"/>
      <sheetName val="Hoja de datos"/>
      <sheetName val="Tabla del Limite"/>
      <sheetName val="Tickmarks"/>
      <sheetName val="Module1"/>
      <sheetName val="Worksheet in     Revisión Analí"/>
      <sheetName val="template"/>
      <sheetName val="Tango AN 31-12-02"/>
      <sheetName val="BANDA A"/>
      <sheetName val="Cotizaciones-Bancos"/>
      <sheetName val="Busqueda Pasivos"/>
      <sheetName val="Fact. vs Rec."/>
      <sheetName val="N° RCS"/>
      <sheetName val="Base Vs 30-11-01 (2)"/>
      <sheetName val="2.Préstamos 31.05.05"/>
      <sheetName val="3.Cargo a resultados Intereses"/>
      <sheetName val="XREF"/>
      <sheetName val="BS"/>
      <sheetName val="MASL94"/>
      <sheetName val="balance 30112003"/>
      <sheetName val="F1-F2"/>
      <sheetName val="I-02.01"/>
      <sheetName val="Detalle"/>
      <sheetName val="BASE TOTAL"/>
      <sheetName val="ctas_cri"/>
      <sheetName val="ctas axi"/>
      <sheetName val="Análisis de Ventas"/>
    </sheetNames>
    <sheetDataSet>
      <sheetData sheetId="0" refreshError="1">
        <row r="3">
          <cell r="B3">
            <v>93905</v>
          </cell>
        </row>
        <row r="4">
          <cell r="B4">
            <v>117103</v>
          </cell>
        </row>
        <row r="15">
          <cell r="B15" t="e">
            <v>#N/A</v>
          </cell>
        </row>
      </sheetData>
      <sheetData sheetId="1"/>
      <sheetData sheetId="2">
        <row r="6">
          <cell r="A6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to. Costo"/>
      <sheetName val="Mvto. Depreciación"/>
      <sheetName val="Gasto"/>
      <sheetName val="Detalle de Ventas"/>
      <sheetName val="MMA Prelim. Vts."/>
      <sheetName val="Análisis Vts."/>
      <sheetName val="Detalle adiciones"/>
      <sheetName val="MMA Prelim. Ad."/>
      <sheetName val="Análisis Ad."/>
      <sheetName val="IMP. TRAN"/>
      <sheetName val="MMA Preli"/>
      <sheetName val="APT Imp.Tran.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Agosto04)"/>
      <sheetName val="APT(Agosto04)"/>
      <sheetName val="MMA (mayo04)"/>
      <sheetName val="APT (Mayo04)"/>
      <sheetName val="Op. Provisiones"/>
      <sheetName val="XREF"/>
      <sheetName val="Tickmarks"/>
      <sheetName val="MMA"/>
      <sheetName val="Hoja1"/>
      <sheetName val="Tildes"/>
      <sheetName val="Detalle 01 "/>
      <sheetName val="Revisión analítica gastos"/>
      <sheetName val="Gastos"/>
      <sheetName val="APT"/>
      <sheetName val="base de datos"/>
      <sheetName val="Detalle fin01"/>
      <sheetName val="Detalle gastos (2)"/>
      <sheetName val="Detalle gastos"/>
      <sheetName val="Costos fabric"/>
      <sheetName val="Depreciación"/>
      <sheetName val="Amortización"/>
      <sheetName val="Nómina Terceros"/>
      <sheetName val="MMA (2)"/>
      <sheetName val="Sheet1"/>
      <sheetName val="Tercerizados"/>
      <sheetName val="Análisis"/>
      <sheetName val="Honorarios 2001"/>
      <sheetName val="Honorarios 2000"/>
      <sheetName val="APT Gastos"/>
      <sheetName val="Marcas Estándar"/>
      <sheetName val="Nómin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Gastos"/>
      <sheetName val="APT Gastos"/>
      <sheetName val="MMA Subcont."/>
      <sheetName val="APT Subcont."/>
      <sheetName val="Indemnizaciones"/>
      <sheetName val="Arriendos"/>
      <sheetName val="Transf. Negocios"/>
      <sheetName val="Bonos"/>
      <sheetName val="Sueldos"/>
      <sheetName val="XREF"/>
      <sheetName val="Tickmark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heet2"/>
      <sheetName val="Sheet1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MMA"/>
      <sheetName val="APT"/>
      <sheetName val="Cálc. Glob. Arrend."/>
      <sheetName val="Cálculo Glb. Sueldo"/>
      <sheetName val="Protocolos"/>
      <sheetName val="Reemb. Grunenthal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Seleccion Gastos"/>
      <sheetName val="Sheet1"/>
      <sheetName val="Nómina"/>
      <sheetName val="Gastos médicos"/>
      <sheetName val="Muestras Adiciones"/>
      <sheetName val="Muestra Gastos"/>
      <sheetName val="APT Gastos"/>
      <sheetName val="CMA H.CONTR."/>
      <sheetName val="Seleccion Honorarios Contractua"/>
      <sheetName val="CMA H.PROF."/>
      <sheetName val="Honorarios profesionales"/>
      <sheetName val="APT HONORARIOS"/>
      <sheetName val="XREF"/>
      <sheetName val="Tickmarks"/>
      <sheetName val="Limite"/>
      <sheetName val="CMA Calculations"/>
      <sheetName val="CMA Selections"/>
      <sheetName val="#REF"/>
      <sheetName val="Calc. Global Sueldos "/>
      <sheetName val="MMA APT"/>
      <sheetName val="APT Suministros"/>
      <sheetName val="Límite Sueldos"/>
      <sheetName val="Indemnizaciones"/>
      <sheetName val="Gastos Operacion"/>
      <sheetName val="Sueldos"/>
      <sheetName val="MMA"/>
      <sheetName val="Dietas y Honorarios"/>
      <sheetName val="Arriendos"/>
      <sheetName val="Impuestos y Contrib y Camara"/>
      <sheetName val="Funcionarios"/>
      <sheetName val="Beneficios Sociales"/>
      <sheetName val="Honorarios"/>
      <sheetName val="Fletes de Distribución"/>
      <sheetName val="Fletes de Producto"/>
      <sheetName val="Muestra de Gastos"/>
      <sheetName val="Bajas"/>
      <sheetName val="Facturas Asistencia Técnica"/>
      <sheetName val="MMA (Dic)"/>
      <sheetName val="Análisis Rol de Pagos"/>
      <sheetName val="Horas Extras"/>
      <sheetName val="Análisis Remunerativo"/>
      <sheetName val="Asesoría Técnica"/>
      <sheetName val="Tercerización (Dic)"/>
      <sheetName val="Tercerizados"/>
      <sheetName val="Límite"/>
      <sheetName val="Tercerizasción (Dic)"/>
      <sheetName val="Revisión Analítica"/>
      <sheetName val="APT"/>
      <sheetName val="Calc. Global Sueldos"/>
      <sheetName val="Determinación del Límite"/>
      <sheetName val="Tabla del Límite"/>
      <sheetName val="Detalle Gastos"/>
      <sheetName val="Costos producción"/>
      <sheetName val="Seguros"/>
      <sheetName val="Seguro Vida"/>
      <sheetName val="Rancho"/>
      <sheetName val="Sueldos y Beneficios"/>
      <sheetName val="MMA (F)"/>
      <sheetName val="Leasing"/>
      <sheetName val="Tercerizadora Nexos"/>
      <sheetName val="Tabla"/>
      <sheetName val="Detalle Gtos"/>
      <sheetName val="CG Sueldos"/>
      <sheetName val="Dietas"/>
      <sheetName val="Bono Navideño"/>
      <sheetName val="Arriendos y Cond."/>
      <sheetName val="Ints Proveedores"/>
      <sheetName val="Electricidad"/>
      <sheetName val="I. Municipales"/>
      <sheetName val="Comisiones TC"/>
      <sheetName val="Bonificaciones"/>
      <sheetName val="Calc. Límites"/>
      <sheetName val="Tabla Límites"/>
      <sheetName val="Guardianía"/>
      <sheetName val="MMA Garan. Banc."/>
      <sheetName val="Links"/>
      <sheetName val="Detalle Bon. y Publ."/>
      <sheetName val="Planillas IESS"/>
      <sheetName val="Gasto Publicidad"/>
      <sheetName val="T. Límite"/>
      <sheetName val="Tickmarks (2)"/>
      <sheetName val="MMA Premiliminar"/>
      <sheetName val="MMA Final"/>
      <sheetName val="Reasignaciones"/>
      <sheetName val="Análisis Reasign"/>
      <sheetName val="Jubilación"/>
      <sheetName val="Cálculo de la Nómina"/>
      <sheetName val="MZO-04"/>
      <sheetName val="Análisis"/>
      <sheetName val="Com Tarj Créd"/>
      <sheetName val="Otros Impuestos"/>
      <sheetName val="Excess Calc"/>
      <sheetName val="TCalc"/>
      <sheetName val="Personas Jurídicas"/>
      <sheetName val="Nomina Terceros"/>
      <sheetName val="Cálculo Limite Nomina"/>
      <sheetName val="Fedepal"/>
      <sheetName val="Servicios Administrativos"/>
      <sheetName val="Asistencia Tec."/>
      <sheetName val="G. Administrativo"/>
      <sheetName val="Fedapal"/>
      <sheetName val="Ancupa"/>
      <sheetName val="Detalle por concepto"/>
      <sheetName val="Reembolsos "/>
      <sheetName val="Bonif. Voluntaria"/>
      <sheetName val="G. Representación"/>
      <sheetName val="Sueldos "/>
      <sheetName val="Comisiones"/>
      <sheetName val="Telefonos Fijos"/>
      <sheetName val="Telefonía Celular"/>
      <sheetName val="Arriendo Mercantil"/>
      <sheetName val="Detalle a Final"/>
      <sheetName val="Cálculo Honorarios"/>
      <sheetName val="MMA (P)"/>
      <sheetName val="Leasing "/>
      <sheetName val="Detalle-Hugo"/>
      <sheetName val="Cálculo Sueldos"/>
      <sheetName val="APT Gtos."/>
      <sheetName val="Comisiones Tarj. Crédito"/>
      <sheetName val="Gastos x CC"/>
      <sheetName val="MMA Prel"/>
      <sheetName val="APT Transporte"/>
      <sheetName val="Regalías"/>
      <sheetName val="Benef. Sociales"/>
      <sheetName val="Gtos apt final"/>
      <sheetName val="Arriendos de concesiones"/>
      <sheetName val="SA Procedures"/>
      <sheetName val="Expectation"/>
      <sheetName val="Compañías Relacionadas"/>
      <sheetName val="Seleccion APT"/>
      <sheetName val="Reembolsos de gastos"/>
      <sheetName val="Gasto Fletes"/>
      <sheetName val="Ctas. Consumo Inv."/>
      <sheetName val="Nota EEFF"/>
      <sheetName val="Gastos ADC"/>
      <sheetName val="Corpaq"/>
      <sheetName val="O&amp;M Manag. Fee "/>
      <sheetName val="Contabilidad Asesoria Otros"/>
      <sheetName val="Notas EE.FF."/>
      <sheetName val="Gasto APT  Preliminar"/>
      <sheetName val="APT Mantenimiento Preliminar "/>
      <sheetName val="Seleccion gastos y costos"/>
      <sheetName val="Bonos"/>
      <sheetName val="Honorarios Admnistrativos"/>
      <sheetName val="Gastos APT"/>
      <sheetName val="Cálculo Global de Nómina"/>
      <sheetName val="Cálculo ley 42"/>
      <sheetName val="Cálculo de transporte"/>
      <sheetName val="Análisis Allocation"/>
      <sheetName val="CMA_Selections Allocation"/>
      <sheetName val="Cálculo allocation Jan-08"/>
      <sheetName val="Cálculo allocation Sep-08"/>
      <sheetName val="Analisis APT Allocation"/>
      <sheetName val="Reclasifi Allocation"/>
      <sheetName val="Ley 10 y 40"/>
      <sheetName val="Provisión Casa Matriz"/>
      <sheetName val="Analisis APT"/>
      <sheetName val="CMA_Calculations"/>
      <sheetName val="CMA_Selections"/>
      <sheetName val="Directorio"/>
      <sheetName val="MMA (APT Fianl)"/>
      <sheetName val="MMA (APT)"/>
      <sheetName val="Cálculo de sueldos final"/>
      <sheetName val="Cálculo Global Bonos"/>
      <sheetName val="CG Comisiones"/>
      <sheetName val="Cálculo Global Ryalties"/>
      <sheetName val="Asesoria tecnica"/>
      <sheetName val="MMA Gastos APT"/>
      <sheetName val="Ley 42"/>
      <sheetName val="Mayor ley 42"/>
      <sheetName val="Límite Ley 42"/>
      <sheetName val="Transporte"/>
      <sheetName val="Límite Transp."/>
      <sheetName val="Imp. M Ambiente"/>
      <sheetName val="Límite M Ambiente"/>
      <sheetName val="Prov. C. Matriz"/>
      <sheetName val="Allocations"/>
      <sheetName val="Límite Allocations"/>
      <sheetName val="Sobrelevantes"/>
      <sheetName val="MMA Gastos APT (Final)"/>
      <sheetName val="CG Nómina"/>
      <sheetName val="Gtos No deducibles"/>
      <sheetName val="Bonificaciones y PT"/>
      <sheetName val="Entrega PT"/>
      <sheetName val="Corte Tardío "/>
      <sheetName val="Análisis de Tendencias"/>
      <sheetName val="Análisis APT"/>
      <sheetName val="Jub.Patr."/>
      <sheetName val="Costo de Garantía"/>
      <sheetName val="Asis. Tec."/>
      <sheetName val="Selec. APT"/>
      <sheetName val="An. APT"/>
      <sheetName val="Detalle "/>
      <sheetName val="Calculo Global Nomina"/>
      <sheetName val="Gastos APT "/>
      <sheetName val="Cálculo Global"/>
      <sheetName val="Impuestos"/>
      <sheetName val="Sheet2"/>
      <sheetName val="Resumen"/>
      <sheetName val="Detalles"/>
      <sheetName val="Análisis de pólizas"/>
      <sheetName val="Limites sueldos"/>
      <sheetName val="Nota a los EE FF"/>
      <sheetName val="Pruebas Sustantivas"/>
      <sheetName val="Selección empleados"/>
      <sheetName val="Motorizados"/>
      <sheetName val="Limpieza"/>
      <sheetName val="Marca"/>
      <sheetName val="Mantenimiento"/>
      <sheetName val="Vigilancia"/>
      <sheetName val="Det. cargas soc. y sueldos"/>
      <sheetName val="Límites Gasto Nómina"/>
      <sheetName val="Límites provisiones"/>
      <sheetName val="Calc. Arriendos"/>
      <sheetName val="Nómina "/>
      <sheetName val="Honorarios Prof."/>
      <sheetName val="Análisis Honor. Prof."/>
      <sheetName val="Pagos a terceros"/>
      <sheetName val="Arriendos Edif."/>
      <sheetName val="Análisis Arr. Edif."/>
      <sheetName val="Asistencia técnica"/>
      <sheetName val="Determinación de Límites"/>
      <sheetName val="Arriendo"/>
      <sheetName val="Cálculo Globla Nómina"/>
      <sheetName val="Nómina Final"/>
      <sheetName val="Servicio Relacionadas"/>
      <sheetName val="APT Final"/>
      <sheetName val="Cálculo Global Nómina"/>
      <sheetName val="Resumen_ROL"/>
      <sheetName val="Límites"/>
      <sheetName val="Procedimientos Gastos Operacion"/>
      <sheetName val="Calculo de Nomina"/>
      <sheetName val="Res. Confirmac."/>
      <sheetName val="Análsis Mensajes de Producción"/>
      <sheetName val="Nomina"/>
      <sheetName val="Serv Cobranza"/>
      <sheetName val="Analisis Serv. Cobranza"/>
      <sheetName val="Gtos. Operación"/>
      <sheetName val="Anális Leasing"/>
      <sheetName val="Jubilación patronal"/>
      <sheetName val="Publicidad "/>
      <sheetName val="Hoja de límites"/>
      <sheetName val="Servicios"/>
      <sheetName val="Serguros"/>
      <sheetName val="Arriendo de Equipos"/>
      <sheetName val="Servicios Especializados"/>
      <sheetName val="Servicios Computación"/>
      <sheetName val="Uso marcas"/>
      <sheetName val="Movimiento Arriendos"/>
      <sheetName val="Serv. Comercialización"/>
      <sheetName val="CálcGlobHonoPer"/>
      <sheetName val="APT de Gastos"/>
      <sheetName val="MMA APT Preliminar"/>
      <sheetName val="MMA Calculation Final"/>
      <sheetName val="MMA APT Final"/>
      <sheetName val="Ctas. signo. contra."/>
      <sheetName val="Cálculo Allocation Dic-08"/>
      <sheetName val="CMA Calculations Final"/>
      <sheetName val="CMA Selections Final"/>
      <sheetName val="MMA Gtos Oper APT"/>
      <sheetName val="Selecc Gtos Oper APT"/>
      <sheetName val="Análisis Gtos APT"/>
      <sheetName val="APT "/>
      <sheetName val="Servicios Adm"/>
      <sheetName val="Reembolsos"/>
      <sheetName val="Sheet3"/>
      <sheetName val="Subdetalles de gastos"/>
      <sheetName val="Selección bono retiro"/>
      <sheetName val="Cál Glob Nómina"/>
      <sheetName val="Muestras médicas"/>
      <sheetName val="CMA Calculations- R Factor"/>
      <sheetName val="APT liquidaciones"/>
      <sheetName val="Asesorías y Honorarios"/>
      <sheetName val="Otros benef."/>
      <sheetName val="CMA Calculations- R Factor (2)"/>
      <sheetName val="Gastos APT (Nov)"/>
      <sheetName val=" CG Nómina"/>
      <sheetName val="CG Prov. Beneficios Sociales"/>
      <sheetName val="CMA Calculations- Figure 54 (2)"/>
      <sheetName val="CMA Calculations- Figure 54 (3)"/>
      <sheetName val="Otros gtos adminis y vtas"/>
      <sheetName val="Comis"/>
      <sheetName val="Selección"/>
      <sheetName val="Arriend"/>
      <sheetName val="APT Costos"/>
      <sheetName val="Honorarios Terceros"/>
      <sheetName val="Hoja 1"/>
      <sheetName val="Cálculo Nómina"/>
      <sheetName val="&gt;Nómina"/>
      <sheetName val="Costo Sueldos"/>
      <sheetName val="Gastos"/>
      <sheetName val="TD"/>
      <sheetName val="COPIA"/>
      <sheetName val="Gastos No Deducibles"/>
      <sheetName val="Calculo Global de Nomina"/>
      <sheetName val="Glosas del SRI"/>
      <sheetName val="Cálculo Límites"/>
      <sheetName val="Cargos Legales"/>
      <sheetName val="Nota"/>
      <sheetName val="BONOS HPC"/>
      <sheetName val="Detalle de Faturación Allocati"/>
      <sheetName val="Recálculo Allocation"/>
      <sheetName val="Cálculo de Límites B.S. "/>
      <sheetName val="Cálculo de Límites"/>
      <sheetName val="Desahucio"/>
      <sheetName val="Detalle Provisión Vacaciones "/>
      <sheetName val="Detalle de Nómina"/>
      <sheetName val="Comisiones en ventas"/>
      <sheetName val="Cálculos Globales"/>
      <sheetName val="Serv Contrat"/>
      <sheetName val="Cómputo Beneficios Sociales"/>
      <sheetName val="Detalle (Final)"/>
      <sheetName val="Analisis de gastos 2003"/>
      <sheetName val="Leasing Computadora"/>
      <sheetName val="Cobertura de Seguros"/>
      <sheetName val="Sueldos 2003"/>
      <sheetName val="Detalle UIO"/>
      <sheetName val="Diciembre03"/>
      <sheetName val="Analisis de gastos"/>
      <sheetName val="Sueldos UIO"/>
      <sheetName val="Gto. Provisión"/>
      <sheetName val="Imp. y Contrib."/>
      <sheetName val="Detalle M.O."/>
      <sheetName val="APT - Gastos"/>
      <sheetName val="Benef.Soci Prel"/>
      <sheetName val="Det del Límite"/>
      <sheetName val="Análisis Sueldos"/>
      <sheetName val="Cal. Global Beneficios"/>
      <sheetName val="MMA Gastos"/>
      <sheetName val="Análisis Gastos"/>
      <sheetName val="Calc. Límite"/>
      <sheetName val=" Límite"/>
      <sheetName val="Detalle nómina"/>
      <sheetName val="Analisis Gastos"/>
      <sheetName val="Cálculo global sueldos y benef"/>
      <sheetName val="Detalle M.O.(F)"/>
      <sheetName val="CMA Calculations- Figure 5440.1"/>
      <sheetName val="Analisis de Otros Ing y Gtos"/>
      <sheetName val="Detalle M.O.(P)"/>
      <sheetName val="Detalle cons. Inv"/>
      <sheetName val="CMA Calculations(F)"/>
      <sheetName val="APT Preliminar"/>
      <sheetName val="CMA Calculations-(P)"/>
      <sheetName val="Gastos liquidación Haberes"/>
      <sheetName val="Cálculo Global sueldos y benef."/>
      <sheetName val="Detalle Nómina (F)"/>
      <sheetName val="Detalle nómina(P)"/>
      <sheetName val="Gatos APT Final"/>
      <sheetName val="Cálculo Global Base Datos"/>
      <sheetName val="Base de Datos"/>
      <sheetName val="Gatos APT Preliminar"/>
      <sheetName val="Cálculo Globla Nómina Final"/>
      <sheetName val="Honorarios Gerencia"/>
      <sheetName val="Cost-Sharing"/>
      <sheetName val="Leasing eliminar"/>
      <sheetName val="Detalle CNT"/>
      <sheetName val="Detalle CNT a Dec"/>
      <sheetName val="Application Information"/>
      <sheetName val="Record Layout for Filename"/>
      <sheetName val="CMA Reconciliation"/>
      <sheetName val="Selección ACL"/>
      <sheetName val="Selección APT"/>
      <sheetName val="Gastos de operación"/>
      <sheetName val="CMA Calculations APT"/>
      <sheetName val="CMA Selection APT"/>
      <sheetName val="Base de Subseleccion"/>
      <sheetName val="Subseleccion ACL"/>
      <sheetName val="Serv. Comerc."/>
      <sheetName val="Gasto Combustible."/>
      <sheetName val="C.Global Sueldos"/>
      <sheetName val="Otros C.Global Hono."/>
      <sheetName val="C.Global Hono."/>
      <sheetName val="Cál. Global Nómina"/>
      <sheetName val="APT Seguros"/>
      <sheetName val="Límites sugeridos"/>
      <sheetName val="Comisiones Tarjetas"/>
      <sheetName val="Cal. Global seguros"/>
      <sheetName val="Limites Sugeridos"/>
      <sheetName val="Arriendo-Vigilancia"/>
      <sheetName val="Transferencias"/>
      <sheetName val="Comisiones Tarjetas "/>
      <sheetName val="Análisis Transferencias"/>
      <sheetName val="Comisión Brokers"/>
      <sheetName val="Comisión Nova"/>
      <sheetName val="Contratos Nova"/>
      <sheetName val="Sueldos y Beneficios Sociales"/>
      <sheetName val="F_Dinamizacion"/>
      <sheetName val="Limites"/>
      <sheetName val="Contratos Casa Matriz"/>
      <sheetName val="NOTAS-borrar"/>
      <sheetName val="Transferencia de costos"/>
      <sheetName val="Selección de Cuentas"/>
      <sheetName val="Selección de Gastos"/>
      <sheetName val="Análisis Arriendos"/>
      <sheetName val="Publicidad"/>
      <sheetName val="APT Servicio Transp."/>
      <sheetName val="Servicios de Distribución"/>
      <sheetName val="Patentes"/>
      <sheetName val="Validación Nómina"/>
      <sheetName val="Cálculos Globales."/>
      <sheetName val="APT Arriendos"/>
      <sheetName val="Otros Impuestos Sep"/>
      <sheetName val="Cálculo Global Sueldos"/>
      <sheetName val="Cálculo Global Beneficios Socia"/>
      <sheetName val="Limites  Nuevo Enfoque"/>
      <sheetName val="Cálculo Nómina prel"/>
      <sheetName val="Cálculo Nómina final"/>
      <sheetName val="APT Gastos final"/>
      <sheetName val="Gasto Seg Vida"/>
      <sheetName val="Servic. Externos"/>
      <sheetName val="Tercerización"/>
      <sheetName val="Saldos negativos"/>
      <sheetName val="Detalle de gastos "/>
      <sheetName val="mayores "/>
      <sheetName val="Producipon Proye. Llama"/>
      <sheetName val="Cálculo de Honorarios"/>
      <sheetName val="Base"/>
      <sheetName val="Notas EF"/>
      <sheetName val="Gto fin"/>
      <sheetName val="Int ext"/>
      <sheetName val="Análisis Gastos APT"/>
      <sheetName val="Impuestos y Otros"/>
      <sheetName val="Imp. Rta. Ejec."/>
      <sheetName val="ISD"/>
      <sheetName val="Dif Camb"/>
      <sheetName val="Luz Eléctrica"/>
      <sheetName val="CORPORATIV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/>
      <sheetData sheetId="127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Resumen"/>
      <sheetName val="Detalle"/>
      <sheetName val="XREF"/>
      <sheetName val="Tickmarks"/>
      <sheetName val="Ant. Prov."/>
      <sheetName val="Dep. Garantía"/>
      <sheetName val="Ptmos y Anticpos"/>
      <sheetName val="Detalle de Otras CxC"/>
      <sheetName val="Pasajes Prepag."/>
      <sheetName val="Publ. Prep. "/>
      <sheetName val="Arriend.Prep."/>
      <sheetName val="Adecuac.Prepag"/>
      <sheetName val="Mantenim.Prepag"/>
      <sheetName val="Segur.Prepag"/>
      <sheetName val="Límite Seguros Análisis Final"/>
      <sheetName val="Análisis de Seguros (Final)"/>
      <sheetName val="Impuest.Prepag"/>
      <sheetName val="CxC Bancos"/>
      <sheetName val="Anti. Utilidades"/>
      <sheetName val="Ant. Viajes Locales UIO"/>
      <sheetName val="Seguros"/>
      <sheetName val="Cargos Diferidos"/>
      <sheetName val="Servicios Anticipados"/>
      <sheetName val="Anticipos"/>
      <sheetName val="Empleados"/>
      <sheetName val="#REF"/>
      <sheetName val="Detalle Ant. Viajes"/>
      <sheetName val="Análisis ant. viajes"/>
      <sheetName val="Detalle cta. 361090"/>
      <sheetName val="Emp Rel Dep "/>
      <sheetName val="Antic Prov Auxil"/>
      <sheetName val="Dep. Garantia"/>
      <sheetName val="CxC Prov Vtas Metro"/>
      <sheetName val="Análisis Prov.Metro"/>
      <sheetName val="Retenciones"/>
      <sheetName val="Mov Ret. Fuente"/>
      <sheetName val="Cálculo Seguros"/>
      <sheetName val="Préstamos"/>
      <sheetName val="Otras CxC"/>
      <sheetName val="MMA Anticipos"/>
      <sheetName val="MMM Otras CxC"/>
      <sheetName val="Anticipos y Otras CxC"/>
      <sheetName val="Anticipos a Proveedores"/>
      <sheetName val="Tarjetas de crédito"/>
      <sheetName val="MMA Tarjetas de Crédito"/>
      <sheetName val="Anticipo Sueldo"/>
      <sheetName val="Garantías"/>
      <sheetName val="APT Anticipo Prov"/>
      <sheetName val="Retención 1%"/>
      <sheetName val="MMA Final"/>
      <sheetName val="MMA TC"/>
      <sheetName val="Analisis TC"/>
      <sheetName val="Copagos"/>
      <sheetName val="Prést. Empleados"/>
      <sheetName val="Varios Final"/>
      <sheetName val="Ant. Proveed."/>
      <sheetName val="Reservas"/>
      <sheetName val="Nova"/>
      <sheetName val="Gtos. Diferidos"/>
      <sheetName val="Ant. Empleados"/>
      <sheetName val="Ch. Protestados Prelim"/>
      <sheetName val="Varios Prel."/>
      <sheetName val="Análisis MMA"/>
      <sheetName val="Otras Cuentas Varias"/>
      <sheetName val="Anticipo Proveedores "/>
      <sheetName val="Conclina"/>
      <sheetName val="Seguros "/>
      <sheetName val="Análisis Gtos. Anticipados"/>
      <sheetName val="Limites"/>
      <sheetName val="Cheques Protestados"/>
      <sheetName val="Anticipo Proveedores"/>
      <sheetName val="Alcance 31-Dec-08"/>
      <sheetName val="Seleccion Gtos anticipados"/>
      <sheetName val="Muestra"/>
      <sheetName val="Análisis de muestra"/>
      <sheetName val="Relacionadas"/>
      <sheetName val="Muestra Gastos Anticipados"/>
      <sheetName val="Reclamos"/>
      <sheetName val="Prestamos Empleados"/>
      <sheetName val="Muestra Prestamos Personal"/>
      <sheetName val="Cuentas x Cobrar Proveedores"/>
      <sheetName val="Préstamos de Fleteros"/>
      <sheetName val="Límite"/>
      <sheetName val="CMA Calculations"/>
      <sheetName val="CMA Selections"/>
      <sheetName val="Muestra de Gtos Anticipados"/>
      <sheetName val="APT Gastos anticipados"/>
      <sheetName val="Análisis APT"/>
      <sheetName val="Anticipos nacionales"/>
      <sheetName val="Anticipos Maderos"/>
      <sheetName val="Notas EEFF"/>
      <sheetName val="Licencia Windows"/>
      <sheetName val="Anticip.Proveedores"/>
      <sheetName val="Nota EF"/>
      <sheetName val="Movimiento retenciones Fuente"/>
      <sheetName val="Anticipos y otras cuentas Final"/>
      <sheetName val="APT G. Anticipados"/>
      <sheetName val="Emp Serv Prest"/>
      <sheetName val="Antic STIMM"/>
      <sheetName val="Antic Otecel"/>
      <sheetName val="Ctas Liq Antic Otecel"/>
      <sheetName val="CXC Bco Pich"/>
      <sheetName val="Analisis"/>
      <sheetName val="Otros Gtos.Anticp."/>
      <sheetName val="Prest.Emplead."/>
      <sheetName val="CxC Varios"/>
      <sheetName val="Otr.Deudores"/>
      <sheetName val="Sobres-anticip"/>
      <sheetName val="Tesoreria"/>
      <sheetName val="Ant. Transporte"/>
      <sheetName val="Ant. Prov. Fruto"/>
      <sheetName val="Ant. Nacional"/>
      <sheetName val="Ant.Contratistas"/>
      <sheetName val="Ant. Otros"/>
      <sheetName val="Movimiento Impuestos"/>
      <sheetName val="Nacionales"/>
      <sheetName val="Ant. Contratistas"/>
      <sheetName val="Ant. Importaciones"/>
      <sheetName val="Cx C Otros"/>
      <sheetName val="Proveedores"/>
      <sheetName val="Contratista"/>
      <sheetName val="Intercomp."/>
      <sheetName val="Varios"/>
      <sheetName val="Imptos."/>
      <sheetName val="Límite Final"/>
      <sheetName val="Ant. Empleados  "/>
      <sheetName val="Impuestos"/>
      <sheetName val="Impuesto"/>
      <sheetName val="CxC Empleados"/>
      <sheetName val="APT"/>
      <sheetName val="Programa"/>
      <sheetName val="Intercompanies"/>
      <sheetName val="Validación utilidades"/>
      <sheetName val="Anticipo Utilidades"/>
      <sheetName val="Intereses x Cobrar"/>
      <sheetName val="Procedimientos"/>
      <sheetName val="Seguros Fi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Resultados"/>
      <sheetName val="XREF"/>
      <sheetName val="Tickmarks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Nota EEFF"/>
      <sheetName val="Sueldos y Salarios"/>
      <sheetName val="Provsión"/>
      <sheetName val="Planillas"/>
      <sheetName val="APT Gastos"/>
      <sheetName val="Arriendos"/>
      <sheetName val="Límites"/>
      <sheetName val="XREF"/>
      <sheetName val="Tickmarks"/>
      <sheetName val="#REF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Base Star"/>
      <sheetName val="STAR 1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 mayo"/>
      <sheetName val="Partidas Conciliatorias Mayo"/>
      <sheetName val="XREF"/>
      <sheetName val="Tickmarks"/>
      <sheetName val="Conciliación a septiembre"/>
      <sheetName val="Conciliacion Nov"/>
      <sheetName val="Partidas Conciliatorias a sep"/>
      <sheetName val="Partidas Conciliatorias Nov"/>
      <sheetName val="Análisis de Partidas Negativas"/>
      <sheetName val="#REF"/>
      <sheetName val="Conciliaciones"/>
      <sheetName val="Partidas Conciliatorias"/>
      <sheetName val="Local 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Análisis Partidas Conciliatoria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a 2130"/>
      <sheetName val="2130-1 Conciliación Bancaria"/>
      <sheetName val="2130-2 Antiguedad Partidas"/>
      <sheetName val="2130-3 Firmantes Autorizados"/>
      <sheetName val="2130-4 Movimiento NC - CAT"/>
      <sheetName val="2130-5 Arqueo Cheques "/>
      <sheetName val="Tickmarks"/>
    </sheetNames>
    <sheetDataSet>
      <sheetData sheetId="0"/>
      <sheetData sheetId="1">
        <row r="34">
          <cell r="S34">
            <v>0</v>
          </cell>
        </row>
      </sheetData>
      <sheetData sheetId="2"/>
      <sheetData sheetId="3"/>
      <sheetData sheetId="4"/>
      <sheetData sheetId="5"/>
      <sheetData sheetId="6">
        <row r="3">
          <cell r="A3" t="str">
            <v>{a}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"/>
      <sheetName val="Mov. Gast dif 02-28-99"/>
      <sheetName val="M. Amortización"/>
      <sheetName val="Cálc.Glob.R.M.Costo"/>
      <sheetName val="Cálc.Glob.Amort."/>
      <sheetName val="Anál.Adic.C.D."/>
      <sheetName val="Cobertura de seguros"/>
      <sheetName val="SegurosFuncionarios"/>
      <sheetName val="Análisis ICC"/>
      <sheetName val="Prov.Act.Irrec."/>
      <sheetName val="GastosOtrosActivos"/>
      <sheetName val="AnálisisGtosInstal-Adecuac."/>
      <sheetName val="ResumenPruebasDepart."/>
      <sheetName val="XREF"/>
      <sheetName val="Tickmarks"/>
      <sheetName val="Proveed. Lo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A.fijo"/>
      <sheetName val="Movdep"/>
      <sheetName val="Caldep"/>
      <sheetName val="Bajas"/>
      <sheetName val="Conciliac"/>
      <sheetName val="XREF"/>
      <sheetName val="Tickmarks"/>
      <sheetName val="Detalle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ral."/>
      <sheetName val="Resultados"/>
      <sheetName val="XREF"/>
      <sheetName val="Tickmarks"/>
    </sheetNames>
    <sheetDataSet>
      <sheetData sheetId="0"/>
      <sheetData sheetId="1"/>
      <sheetData sheetId="2"/>
      <sheetData sheetId="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  <sheetName val="Análisis IVA"/>
      <sheetName val="Anexo 7"/>
      <sheetName val="A"/>
      <sheetName val="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"/>
      <sheetName val="Cálculo Global"/>
      <sheetName val="Saldos iniciales"/>
      <sheetName val="Análisis Adiciones"/>
      <sheetName val="Límites CGD"/>
      <sheetName val="XREF"/>
      <sheetName val="Tickmarks"/>
      <sheetName val="#REF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alc. Global Sueldos"/>
      <sheetName val="Arrendamiento"/>
      <sheetName val="XREF"/>
      <sheetName val="Tickmarks"/>
      <sheetName val="Selección APT"/>
      <sheetName val="Cálculo Sueldos"/>
      <sheetName val="Honorarios"/>
      <sheetName val="Gastos"/>
      <sheetName val="MMA"/>
      <sheetName val="Análisis"/>
      <sheetName val="Regalías"/>
      <sheetName val="Det. dep.prov.amort."/>
      <sheetName val="Gasto Arriendo"/>
      <sheetName val="Sueldos"/>
      <sheetName val="Pivot"/>
      <sheetName val="APT"/>
      <sheetName val="Subdetalle Final"/>
      <sheetName val="Subdetalle Prel."/>
      <sheetName val="Planillas"/>
      <sheetName val="Marcas Estándar"/>
      <sheetName val="Hoja 1"/>
      <sheetName val="CalcuGlobalSueldo"/>
      <sheetName val=" MMA"/>
      <sheetName val="Mayores MMA (PPC)"/>
      <sheetName val="Hoja1"/>
      <sheetName val="Detalle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Anál. APT"/>
      <sheetName val="Análisis Remun."/>
      <sheetName val="Sheet1"/>
      <sheetName val="Roles sep-00"/>
      <sheetName val="Benefic. sep.00"/>
      <sheetName val=" Sue. y prov.-final"/>
      <sheetName val="Cal. Glob. Sueldos"/>
      <sheetName val="Cálculo Varios"/>
      <sheetName val="Cálc.Serv.Distr."/>
      <sheetName val="Analisis de gastos"/>
      <sheetName val="roles de pago"/>
      <sheetName val="Resumen"/>
      <sheetName val="Cálc. Glob. Arrend."/>
      <sheetName val="Base"/>
      <sheetName val="Selección Gastos"/>
      <sheetName val="Muestra Gastos"/>
      <sheetName val="Arriendos"/>
      <sheetName val="Nómina"/>
      <sheetName val="Limites"/>
      <sheetName val="Arriendo"/>
      <sheetName val="APT "/>
      <sheetName val="Límites"/>
      <sheetName val="Gtos. Bancarios"/>
      <sheetName val="Resumen Planillas"/>
      <sheetName val="Cuadro Comparativo"/>
      <sheetName val="Análisis APT"/>
      <sheetName val="Asist. Técnica"/>
      <sheetName val="Comisiones del Ext."/>
      <sheetName val="Gtos. Ventas y Administración"/>
      <sheetName val="Beneficios Sociales"/>
      <sheetName val="Cálculo del umbral"/>
      <sheetName val="Detalle G. Op."/>
      <sheetName val="Consumo E. Electrica"/>
      <sheetName val="C. Globla Primas 2003"/>
      <sheetName val="Cálculos Globales"/>
      <sheetName val="Calc. Límites "/>
      <sheetName val="Fact.Que No Cumplen Reg. Fact."/>
      <sheetName val="C. Global Mov. y B. Resp."/>
      <sheetName val="Marcas"/>
      <sheetName val="MMA Gastos"/>
      <sheetName val="Marca"/>
      <sheetName val="Asignaciones"/>
      <sheetName val="#REF"/>
      <sheetName val="Detalle servicios especial"/>
      <sheetName val="Aportes a la AGD"/>
      <sheetName val="Aporte SIB"/>
      <sheetName val="Servipagos"/>
      <sheetName val="Tevcol"/>
      <sheetName val="Gtos. Admin. y Vtas.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Detalle abierto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Gasto Sueldos"/>
      <sheetName val="Rol"/>
      <sheetName val="C. Global Gto.Coms."/>
      <sheetName val="APTGastos"/>
      <sheetName val="Gasstos mensuales"/>
      <sheetName val="MMA Jul-Dic"/>
      <sheetName val="APT Gastos "/>
      <sheetName val="Cál.Glob. Sueldos"/>
      <sheetName val="Cálculo arrendamiento"/>
      <sheetName val="Remuneraciones"/>
      <sheetName val="Análisis Honorarios"/>
      <sheetName val=" MMA Sept-04"/>
      <sheetName val="APT Sept-04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Selección "/>
      <sheetName val="Cál.Glob.Arrend."/>
      <sheetName val="Sueldos Final"/>
      <sheetName val="APT Gastos (Final)"/>
      <sheetName val="Honorarios profesionales"/>
      <sheetName val="Cal.Sueldos"/>
      <sheetName val="APT Gtos."/>
      <sheetName val="Cálculo Glob. Arriendos"/>
      <sheetName val="Detalle de Gastos "/>
      <sheetName val="Detalle gastos administ"/>
      <sheetName val="Detalle gastos ventas"/>
      <sheetName val="Planillas IESS"/>
      <sheetName val="Análisis Gastos"/>
      <sheetName val="Imptos y Contrib."/>
      <sheetName val="Transp. Mercaderia"/>
      <sheetName val="Vtas Diners"/>
      <sheetName val="Recuper.Gtos"/>
      <sheetName val="Calc. Límites"/>
      <sheetName val="Tabla Límites"/>
      <sheetName val="Detalle Gastos Opert."/>
      <sheetName val="Impuestos y Contribuciones"/>
      <sheetName val="Publicidad"/>
      <sheetName val="Anal.Remun."/>
      <sheetName val="Tickmarks (2)"/>
      <sheetName val="Local 101"/>
      <sheetName val="Compra de Inmodiamante."/>
      <sheetName val="Aportes AGD"/>
      <sheetName val="Contrib SBS"/>
      <sheetName val="MMA Sep-05"/>
      <sheetName val="Serv. Administrativos"/>
      <sheetName val="Asistencia Técnica"/>
      <sheetName val="Fedapal"/>
      <sheetName val="Ancupa"/>
      <sheetName val="Calc. Límite"/>
      <sheetName val="Análisis de Adic."/>
      <sheetName val="Anal Sin pag sept 02"/>
      <sheetName val="Análisis gastos adminis."/>
      <sheetName val="Anal Sin pag junio 02"/>
      <sheetName val="Detalle Regalías"/>
      <sheetName val="Detalle Arriendos"/>
      <sheetName val="Patentes"/>
      <sheetName val="Leasing"/>
      <sheetName val="E. Electrica"/>
      <sheetName val="Primas"/>
      <sheetName val="Analisis de Roles"/>
      <sheetName val="MMA Prelim."/>
      <sheetName val="Comisiones"/>
      <sheetName val="APT Comisiones"/>
      <sheetName val="Seguros"/>
      <sheetName val="Determinación del Límite"/>
      <sheetName val="Tabla del Límite"/>
      <sheetName val="Join V."/>
      <sheetName val="EDS"/>
      <sheetName val="Guarantee"/>
      <sheetName val="MMA "/>
      <sheetName val="APT Dic"/>
      <sheetName val="Calc. Límites Dic-04"/>
      <sheetName val=" Límite"/>
      <sheetName val="Det  Benef.Soc."/>
      <sheetName val="Cálculo Global Sueldos"/>
      <sheetName val="Revisión analítica gastos"/>
      <sheetName val="Gráfico"/>
      <sheetName val="Límite"/>
      <sheetName val="MMA (2)"/>
      <sheetName val="Detalle de Sueldos y Salarios"/>
      <sheetName val="Trabajo Prestado"/>
      <sheetName val="Persoserv"/>
      <sheetName val="Guarantee (Sep)"/>
      <sheetName val="CMA_Calculations"/>
      <sheetName val="CMA_Selections"/>
      <sheetName val="SA Procedures"/>
      <sheetName val="Expectation"/>
      <sheetName val="Explanation"/>
      <sheetName val="Pivot "/>
      <sheetName val="APT MMA"/>
      <sheetName val="Análisis de Nómina"/>
      <sheetName val="MMA Dic"/>
      <sheetName val="CG Honorarios"/>
      <sheetName val="CG Seguridad"/>
      <sheetName val="CG Arriendos"/>
      <sheetName val="Sueldos y B. Soc."/>
      <sheetName val="MMA Sept"/>
      <sheetName val="No Operacionales"/>
      <sheetName val="Mant y Rep"/>
      <sheetName val="Beneficios"/>
      <sheetName val="Limpieza"/>
      <sheetName val="C.G. Sueldos"/>
      <sheetName val="C.G. Honorarios"/>
      <sheetName val="C.G. Arriendos"/>
      <sheetName val="C.G. Arriendos y Vigilancia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Detalle Nov-03"/>
      <sheetName val="Calculo Sueldos"/>
      <sheetName val="Calculo Mant. SPIDER"/>
      <sheetName val="Servicios Profesionales"/>
      <sheetName val="RR HH"/>
      <sheetName val="Contratos"/>
      <sheetName val="Salas VIP"/>
      <sheetName val="Suministros"/>
      <sheetName val="Gastos generales"/>
      <sheetName val="Tercerización"/>
      <sheetName val="ANALISIS GTS."/>
      <sheetName val="Rotators"/>
      <sheetName val="APT Gastos Operacionales"/>
      <sheetName val="Expats"/>
      <sheetName val="Comisión Schlumberger"/>
      <sheetName val="Honorarios "/>
      <sheetName val="Hoja de Datos"/>
      <sheetName val="Agrupación"/>
      <sheetName val="Tercerizadoras"/>
      <sheetName val="Pivot centro de Costo"/>
      <sheetName val="Base Pivot"/>
      <sheetName val="Bienes y Serv. Cons"/>
      <sheetName val="C.G. Comisiones"/>
      <sheetName val="Indemnizaciones"/>
      <sheetName val="C.G.Vehículos F.Vtas."/>
      <sheetName val="C.G Honorarios"/>
      <sheetName val="C.G. Bonificaciones"/>
      <sheetName val="Tabla"/>
      <sheetName val="Detalle Final"/>
      <sheetName val="Detalle-Preliminar"/>
      <sheetName val="Sueldos (prel.)"/>
      <sheetName val="MMA APT-Hugo"/>
      <sheetName val="APT de todo"/>
      <sheetName val="Detalle-Hugo"/>
      <sheetName val="MMA APT (2)"/>
      <sheetName val="Detalle (2)- prueba"/>
      <sheetName val="Reembolso Gstos"/>
      <sheetName val="Tarjeta Crédito"/>
      <sheetName val="Resnet"/>
      <sheetName val="Límites "/>
      <sheetName val="Trabajo de Terceros"/>
      <sheetName val="APT Final"/>
      <sheetName val="APT Prelim"/>
      <sheetName val="Servicios básicos"/>
      <sheetName val="APT Gasto"/>
      <sheetName val="APT terciarizados"/>
      <sheetName val="Imp. Contribuciones"/>
      <sheetName val="Análisis APT Prel."/>
      <sheetName val="APT Ingenieros"/>
      <sheetName val="APT Gasto Arriendo"/>
      <sheetName val="Cálculo Comisión Schlumberger"/>
      <sheetName val="APT Rotators"/>
      <sheetName val="APT Expats"/>
      <sheetName val="Cal Global Sueldos"/>
      <sheetName val="Cálculo Tercerizadora"/>
      <sheetName val="MMA Rotators"/>
      <sheetName val="Análisis Rotators"/>
      <sheetName val="Expatriados y Consultores"/>
      <sheetName val="Facturas Exp y Consult"/>
      <sheetName val="Reembolso gastos"/>
      <sheetName val="Detalle Convenios"/>
      <sheetName val="Análisis de Comisiones"/>
      <sheetName val="Cobertura Seguros"/>
      <sheetName val="Sueldos Laminado (2002)"/>
      <sheetName val="MMAGastos"/>
      <sheetName val="límite "/>
      <sheetName val="Asesorías relacionadas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Provisiones"/>
      <sheetName val="Sueldos "/>
      <sheetName val="Límite Honorarios"/>
      <sheetName val="Asesorías y Honorarios"/>
      <sheetName val="Benef. Sociales"/>
      <sheetName val="MMA Preliminar"/>
      <sheetName val="APT Preliminar"/>
      <sheetName val="EBITDA"/>
      <sheetName val="Remuneración Variable"/>
      <sheetName val="Gasto Vehículos"/>
      <sheetName val="Gasto Km"/>
      <sheetName val="Km Fact"/>
      <sheetName val="CCostos"/>
      <sheetName val="MMA Conserv y Mant"/>
      <sheetName val="Ansalisis Conserv y Mant"/>
      <sheetName val="Hon"/>
      <sheetName val="Honorarios 2"/>
      <sheetName val="Honorarios (2)"/>
      <sheetName val="APT de Gastos"/>
      <sheetName val="Asesoría Técnica"/>
      <sheetName val="Arriendos "/>
      <sheetName val="Detalle Costos"/>
      <sheetName val="Análisis de Honorarios"/>
      <sheetName val="Arrendamiento Mercantil"/>
      <sheetName val="Límite cp"/>
      <sheetName val="Límite am"/>
      <sheetName val="Gastos Generales "/>
      <sheetName val="Selección MMA"/>
      <sheetName val="CG Asesoria"/>
      <sheetName val="Comisiones Exterior"/>
      <sheetName val="Aporte Patronal"/>
      <sheetName val="Cálculo Global de Nómina"/>
      <sheetName val="Seguridad y Vigilancia"/>
      <sheetName val="Arrendamientos"/>
      <sheetName val="NOTA EEFF"/>
      <sheetName val="Clasificación Gtos. 31-Dec-08"/>
      <sheetName val="Clasificación Gtos. 31-Oc-08"/>
      <sheetName val="Cuentas con Saldos Contrarios"/>
      <sheetName val="Sueldos Temporales"/>
      <sheetName val="Gastos de Exportación"/>
      <sheetName val="Educación Médica Continua"/>
      <sheetName val="Reaseg Cedidos"/>
      <sheetName val="Siniestros Vida"/>
      <sheetName val="Siniestros Generales"/>
      <sheetName val="Comisiones Dic"/>
      <sheetName val="Comisiones (sep)"/>
      <sheetName val="Análisis Comisiones"/>
      <sheetName val="No proporcionales"/>
      <sheetName val="Contratos (reaseg no proporc)"/>
      <sheetName val="Reaseguros Cedidos"/>
      <sheetName val="MMA Sep"/>
      <sheetName val="MMA Junio"/>
      <sheetName val="Sueldos-Benef Cía"/>
      <sheetName val="Sueldos-Benf. Estaciones"/>
      <sheetName val="Movimiento Benf. Soc"/>
      <sheetName val="CG Vigilancia"/>
      <sheetName val="Detalle."/>
      <sheetName val="Rev. Analítica"/>
      <sheetName val="MMA - Final"/>
      <sheetName val="APT - Gastos"/>
      <sheetName val="Calculo S.B."/>
      <sheetName val="Sueldos y Benef."/>
      <sheetName val="Limite Benef."/>
      <sheetName val="Transporte de Quimicos"/>
      <sheetName val="Servicios Ocasionales"/>
      <sheetName val="Intereses"/>
      <sheetName val="Revision Analitica"/>
      <sheetName val="Gastos por CC"/>
      <sheetName val="Análisis saldos negativos"/>
      <sheetName val="Detalle "/>
      <sheetName val="CMA_SampleDesign"/>
      <sheetName val="DialogInsert"/>
      <sheetName val="Excess Calc"/>
      <sheetName val="Sobresueldos"/>
      <sheetName val="Base de Datos"/>
      <sheetName val="Análisis Base de datos"/>
      <sheetName val="MMA Gastos Final"/>
      <sheetName val="MMA Gastos Prelim.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Cálculo Nómina"/>
      <sheetName val="Seguridad"/>
      <sheetName val="Internet"/>
      <sheetName val="CMA Selections"/>
      <sheetName val="Gastos APT"/>
      <sheetName val="MMA (f)"/>
      <sheetName val="MMA(p)"/>
      <sheetName val="MMA 2004"/>
      <sheetName val="Prov. Publicidad P&amp;A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Bono Especial"/>
      <sheetName val="Fletes"/>
      <sheetName val="Impuestos"/>
      <sheetName val="CalcArriend"/>
      <sheetName val="Subselección Apt Final"/>
      <sheetName val="Subselección APT Preliminar"/>
      <sheetName val="APT Serv Profesionales"/>
      <sheetName val="Seguros "/>
      <sheetName val="Contingencias"/>
      <sheetName val="Detalle Contingencia Inundación"/>
      <sheetName val="Courier"/>
      <sheetName val="Otros Impuestos"/>
      <sheetName val="Gastos No Deducibles"/>
      <sheetName val="CMA Calculations"/>
      <sheetName val="Análisis de APT"/>
      <sheetName val="Nota EF"/>
      <sheetName val="Comisión Supermaxi"/>
      <sheetName val="Limite Nómina"/>
      <sheetName val="Limite Comisiones"/>
      <sheetName val="Gto Interes Fideicomisos"/>
      <sheetName val="Fee Casa Matriz"/>
      <sheetName val="Facturas Casa Matriz"/>
      <sheetName val="APT Fin"/>
      <sheetName val="Arriendos leasing"/>
      <sheetName val="Comisión Brokers"/>
      <sheetName val="Comisión Nova"/>
      <sheetName val="Recálculo Nómina"/>
      <sheetName val="Nota"/>
      <sheetName val="Cálculo Global de Sueldos"/>
      <sheetName val="APT Gastos ADC"/>
      <sheetName val="Provisión Corpaq"/>
      <sheetName val="Serv. contables y otros"/>
      <sheetName val="O&amp;M Manag Fee"/>
      <sheetName val="Serv.Contables y Otros"/>
      <sheetName val="O&amp;M Manag. Fee"/>
      <sheetName val="Nómina Prelim"/>
      <sheetName val="Notas EEFF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O&amp;M Manag. Fee Prel."/>
      <sheetName val="O&amp;M Manag. Fee Final"/>
      <sheetName val="Servipago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Prov. Incobrables"/>
      <sheetName val="CMA Calculations (2)"/>
      <sheetName val="Nomina"/>
      <sheetName val="Selección Empleados"/>
      <sheetName val="Cálculo  Arriendos"/>
      <sheetName val="Management"/>
      <sheetName val="CG Nómina"/>
      <sheetName val="Revisión Otros Gastos"/>
      <sheetName val="Análisis de Variaciones"/>
      <sheetName val="Análisis ISD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Procedimiento"/>
      <sheetName val="Límite Sueldos"/>
      <sheetName val="Nómina "/>
      <sheetName val="Recalculo de Nómina "/>
      <sheetName val="MMA Gastos Operacionales"/>
      <sheetName val="Guardianía"/>
      <sheetName val="Tab"/>
      <sheetName val="Nómina Final"/>
      <sheetName val=" APT"/>
      <sheetName val="Servicios"/>
      <sheetName val="Límites Nómina Final"/>
      <sheetName val="Límites Nómina"/>
      <sheetName val="Serv. Comercialización"/>
      <sheetName val="Imp. salida Div."/>
      <sheetName val="Analisis Gastos APT"/>
      <sheetName val="Sueldos y Salarios"/>
      <sheetName val="Detalle de Primas"/>
      <sheetName val="Incentivos sobre resultados"/>
      <sheetName val="APT Iguals"/>
      <sheetName val="APT Gastos Fin"/>
      <sheetName val="Gastos según CC"/>
      <sheetName val="513551"/>
      <sheetName val="Analisis Gastos"/>
      <sheetName val="Detalle Desembolsos por Capitul"/>
      <sheetName val="Bonificaciones"/>
      <sheetName val="Límites Prel"/>
      <sheetName val="Límites Dic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F316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Sueldos y Benefici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Nómina Quito"/>
      <sheetName val="Nómina Guayaquil"/>
      <sheetName val="Quito"/>
      <sheetName val="Guayaquil"/>
      <sheetName val="Gatos Sini- Reclamos "/>
      <sheetName val="Calculo Global Nomina"/>
      <sheetName val="Renta"/>
      <sheetName val="Cálculo de benficios sociales"/>
      <sheetName val="Análisis Nómina"/>
      <sheetName val="A. Servicios Corporativos"/>
      <sheetName val="P.1. Detalle"/>
      <sheetName val="P.2. APT Gastos (F)"/>
      <sheetName val="P.3. Analisis de Donaciones (F)"/>
      <sheetName val="P.4. Análisis Nómina (F)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Conclusión"/>
      <sheetName val="Serv. Comerc."/>
      <sheetName val="Nomina Final"/>
      <sheetName val="Seguros Prelim"/>
      <sheetName val="Seguros Fin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  <sheetName val="Salarios y beneficios sociales"/>
      <sheetName val="Límites Final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>
        <row r="16">
          <cell r="F16">
            <v>180529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 refreshError="1"/>
      <sheetData sheetId="366" refreshError="1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 refreshError="1"/>
      <sheetData sheetId="574" refreshError="1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artera a Final"/>
      <sheetName val="Base"/>
      <sheetName val="Confirmaciones"/>
      <sheetName val="Cuentas de Díficil Cobro"/>
      <sheetName val="Provisión"/>
      <sheetName val="Cobros posteriores"/>
      <sheetName val="Neteo por Cobrar - por Pagar"/>
      <sheetName val="XREF"/>
      <sheetName val="Tickmarks"/>
      <sheetName val="Detalle Ventas Exterior"/>
      <sheetName val="Validación Base Cltes. Exterior"/>
      <sheetName val="Detalle Ventas Locales"/>
      <sheetName val="Validación Base Vtas Locales"/>
      <sheetName val="NOTA EF"/>
      <sheetName val="Detalle de Cuentas por Cobrar"/>
      <sheetName val="Provisión de Ctas. Incobrables"/>
      <sheetName val="Cartera y antigüedad"/>
      <sheetName val="Detalle Ret. Contractuales"/>
      <sheetName val="#REF"/>
      <sheetName val="Antiguedad de cartera"/>
      <sheetName val="CxC QIA "/>
      <sheetName val="Análisis"/>
      <sheetName val="Pruebas Sustantivas"/>
      <sheetName val="Cartera Preliminar"/>
      <sheetName val="Antiguedad Cartera"/>
      <sheetName val="Mov. Provisión"/>
      <sheetName val="Nota"/>
      <sheetName val="Mov.Cta.Incob."/>
      <sheetName val="Nota a los EE FF"/>
      <sheetName val="Variación cartera"/>
      <sheetName val="Revisión Variación"/>
      <sheetName val="Cartera Final"/>
      <sheetName val="Cartera"/>
      <sheetName val="Cartera por factura"/>
      <sheetName val="Movimiento incobrables"/>
      <sheetName val="Validez de antiguedad"/>
      <sheetName val="Cofirmaciones enviadas"/>
      <sheetName val="Análisis de Variación"/>
      <sheetName val="Antiguedad de Cartera Final"/>
      <sheetName val="Validación Antiguedad Cartera"/>
      <sheetName val="Antiguedad de Cartera prel"/>
      <sheetName val="Mov. Incobrables"/>
      <sheetName val="Antiguedad Cartera (Final)"/>
      <sheetName val="Variación de Cartera"/>
      <sheetName val="Pru.Conexión"/>
      <sheetName val="Antig Cartera (Final 31-Dec)"/>
      <sheetName val="Antig Cartera (Final 30-Nov)"/>
      <sheetName val="Antigüedad"/>
      <sheetName val="Mov. Prov."/>
      <sheetName val="CxCob Prel"/>
      <sheetName val="Confirm."/>
      <sheetName val="Anal. Cobros Posteriores"/>
      <sheetName val="Cartera Guayaquil"/>
      <sheetName val="Cartera Quito"/>
      <sheetName val="Prov. Incobrables"/>
      <sheetName val="Análisis Validez Fact"/>
      <sheetName val="Cartera_Preliminar (2)"/>
      <sheetName val="Sheet2"/>
      <sheetName val="Cartera_Final (2)"/>
      <sheetName val="Cartera_Final"/>
      <sheetName val="Cartera_Preliminar"/>
      <sheetName val="Recál.Prov."/>
      <sheetName val="Cartera Prel."/>
      <sheetName val="Sheet1"/>
      <sheetName val="Clientes Grupo"/>
      <sheetName val="Sheet3"/>
      <sheetName val="Saldos Relacionadas"/>
      <sheetName val="Cartera Prelim"/>
      <sheetName val="Resumen"/>
      <sheetName val="Confirmaciones final"/>
      <sheetName val="Validación de base"/>
      <sheetName val="CXC BVI (Preli)"/>
      <sheetName val="Incobrables"/>
      <sheetName val="Corte Tardío"/>
      <sheetName val="Detalle de Cartera"/>
      <sheetName val="Evolución de Cartera"/>
      <sheetName val="Antigüedad Cartera Preliminar"/>
      <sheetName val="Antigüedad masivos Preliminar"/>
      <sheetName val="Com. X cobrar"/>
      <sheetName val="Relacionadas"/>
      <sheetName val="Mov.Ctas Incob."/>
      <sheetName val="Provisión Incob."/>
      <sheetName val="Cobros posteriores enero"/>
      <sheetName val="Selec. CxC"/>
      <sheetName val="Tildes"/>
      <sheetName val="Conciliaciones Relacionadas"/>
      <sheetName val="Nota a los EEFF"/>
      <sheetName val="MMA Local"/>
      <sheetName val="MMA Exterior"/>
      <sheetName val="Confirmaciones Loc."/>
      <sheetName val="Cobros Posteriores Local"/>
      <sheetName val="Cobros Posteriores Exterior"/>
      <sheetName val="Antig. Local Oct-06"/>
      <sheetName val="Antig. Exter. Oct-06"/>
      <sheetName val="Mov. Incob."/>
      <sheetName val="Notas al EEFF"/>
      <sheetName val="MMA"/>
      <sheetName val="Selección"/>
      <sheetName val="Ctas x Cobrar Tarj. Crédito"/>
      <sheetName val="Análisis de la provisión"/>
      <sheetName val="Mov. Provision"/>
      <sheetName val="Cías Relacionadas Final"/>
      <sheetName val="Cías Relacionadas Preliminar"/>
      <sheetName val="Procedimientos"/>
      <sheetName val="Observaciones"/>
      <sheetName val="AnlAntig"/>
      <sheetName val="Anl Provisión"/>
      <sheetName val="Variaciones"/>
      <sheetName val="TarjCred"/>
      <sheetName val="Provisión Ingresos"/>
      <sheetName val="MovProv"/>
      <sheetName val="Antigüedad Prel"/>
      <sheetName val="Confirmación"/>
      <sheetName val="LLamadas telefónicas Final"/>
      <sheetName val="Otras cuentas por cobrar"/>
      <sheetName val="Tarifa Dignidad"/>
      <sheetName val="Recaudación"/>
      <sheetName val="Cruce Sidecom Fin"/>
      <sheetName val="CxC Créditos Abonados"/>
      <sheetName val="Antiguedad Cartera Abonados"/>
      <sheetName val="Análisis Provisión DTT"/>
      <sheetName val="Mov Prov."/>
      <sheetName val="Selección Cobros Posteriores"/>
      <sheetName val="Análisis Cobros Posteriores"/>
      <sheetName val="Entidades Auto."/>
      <sheetName val="Agentes MEM"/>
      <sheetName val="Gobierno"/>
      <sheetName val="Cartera-Dic"/>
      <sheetName val="Cartera-sept"/>
      <sheetName val="Provisión-Dic"/>
      <sheetName val="Provisión-sept"/>
      <sheetName val="Detalle de Clientes"/>
      <sheetName val="Clientes"/>
      <sheetName val="Contratos Firmados"/>
      <sheetName val="Cuentas incobrables"/>
      <sheetName val="Base de Cartera(Preli)"/>
      <sheetName val="Mov. Provisión (Preli)"/>
      <sheetName val="Base de Cartera (Final)"/>
      <sheetName val="Cobros Posteriores(Final)"/>
      <sheetName val="Confirmaciones(Preli)"/>
      <sheetName val="Porción CP y LP"/>
      <sheetName val="Sheet5"/>
      <sheetName val="Base de Cartera(Final)"/>
      <sheetName val="Base de Cartera"/>
      <sheetName val="Clientes seleccionados"/>
      <sheetName val="Mov. Provisión Incobrables"/>
      <sheetName val="límites cred"/>
      <sheetName val="Detalle bajas incobrables"/>
      <sheetName val="Prov. Devolución"/>
      <sheetName val="Base Cartera Octubre"/>
      <sheetName val="Movimiento de la Provisión"/>
      <sheetName val="Distribuidores"/>
      <sheetName val="Exterior"/>
      <sheetName val="Prov.Incobrables"/>
      <sheetName val="Cuentas por Cobrar Dic."/>
      <sheetName val="Cuentas por Cobrar Nov."/>
      <sheetName val="Detalle Incobrables"/>
      <sheetName val="Refinanciados"/>
      <sheetName val="Movimiento Provisión"/>
      <sheetName val="Cuentas por cobrar - Sep."/>
      <sheetName val="Seleccion"/>
      <sheetName val="Conc.Relac."/>
      <sheetName val="Cob. Post."/>
      <sheetName val="Mov Prov"/>
      <sheetName val="Relac Fin"/>
      <sheetName val="Interés"/>
      <sheetName val="Base Clientes"/>
      <sheetName val="MMA prel"/>
      <sheetName val="Relac Pre"/>
      <sheetName val="Cálculo Intereses"/>
      <sheetName val="Anal.Cias Relac.Prel."/>
      <sheetName val="Cálculo Intereses (PPC)"/>
      <sheetName val="Base de Clientes"/>
      <sheetName val="MMA Cartera"/>
      <sheetName val="Provisión Ctas. Incobrab"/>
      <sheetName val="Análisis de Incobrabilidad"/>
      <sheetName val="Detalle Tarjetas de Crédito"/>
      <sheetName val="Módulo Clientes (PPC)"/>
      <sheetName val="MMA(Módulo Clientes)"/>
      <sheetName val="Detalle Gquil (PPC)"/>
      <sheetName val="MMA(ClientesGquil)"/>
      <sheetName val="Detalle Tráfico y Ventas (PPC)"/>
      <sheetName val="MMA (Tráfico y Ventas)"/>
      <sheetName val="Seleccionados"/>
      <sheetName val="cobros posteriores (tarjetas)"/>
      <sheetName val="Detalle Trafico y Ventas (PPC)"/>
      <sheetName val="Cartera Final (PPC)"/>
      <sheetName val="Detalle Cheq. Protes."/>
      <sheetName val="Detalle Tarjetas de Crédito (PP"/>
      <sheetName val="Cartera Preliminar (PPC)"/>
      <sheetName val="Mov. Provisión Clientes"/>
      <sheetName val="Cuentas con relacionadas (PPC)"/>
      <sheetName val="Oblig.Relac. Prel"/>
      <sheetName val="Saldos Clientes Selecc 2003"/>
      <sheetName val="Asiento de reclasificación"/>
      <sheetName val="Mov. Provisión Cli."/>
      <sheetName val="Mov. Provisión Relac"/>
      <sheetName val="Adventure"/>
      <sheetName val="Selecc. Clientes Prel"/>
      <sheetName val="Selecc. Clientes Fin"/>
      <sheetName val="Saldos Clientes Selecc"/>
      <sheetName val="Rel. MTI Prel"/>
      <sheetName val="Rel. MTI Final"/>
      <sheetName val="Oblig.Relac. Fin"/>
      <sheetName val="Conci. con registros (Final)"/>
      <sheetName val="Cobros post."/>
      <sheetName val="MMA final"/>
      <sheetName val="Facturas negativas"/>
      <sheetName val="Clientes MTI prel"/>
      <sheetName val="Conciliación con registros prel"/>
      <sheetName val="Conciliación con registros"/>
      <sheetName val="Cuentas con relacionadas Final"/>
      <sheetName val="Provision"/>
      <sheetName val="Detalle CxC"/>
      <sheetName val="Cob. Post"/>
      <sheetName val="Det. Dic."/>
      <sheetName val="Det. Agos."/>
      <sheetName val="Abonados"/>
      <sheetName val="Rotación Abonados"/>
      <sheetName val=" Corresponsales"/>
      <sheetName val="Otras"/>
      <sheetName val="Selección Clientes"/>
      <sheetName val="Tráf.Entrante"/>
      <sheetName val="Tráf.Saliente"/>
      <sheetName val="Saldos"/>
      <sheetName val="Res.Ctas.T.Ent."/>
      <sheetName val="Res.Ctas.T.Sal."/>
      <sheetName val="Mov. Incob"/>
      <sheetName val="TiposCambio"/>
      <sheetName val="MMA Clientes"/>
      <sheetName val="Fac. Ptes. (Oct-03)"/>
      <sheetName val="Fact. Ptes. Inds, (Oct-03)"/>
      <sheetName val="Fact. Pendientes (sep 03)"/>
      <sheetName val="Fac. Ptes. Inds, (sep03)"/>
      <sheetName val="Detalle Incobrab 2002"/>
      <sheetName val="Castigo CXC (PPC) 2001"/>
      <sheetName val="Garantías"/>
      <sheetName val="Nota de Crédito"/>
      <sheetName val="Calc. Límites"/>
      <sheetName val="modRollFWD"/>
      <sheetName val="Detalle CXC 2002"/>
      <sheetName val="Fact. Ptes. (Final)"/>
      <sheetName val="Fact. Ptes. (Oct-02)"/>
      <sheetName val="Facturas Ptes. (Sep02)"/>
      <sheetName val="Detalle Incobrab"/>
      <sheetName val="Selecc. Clientes"/>
      <sheetName val="Antiguedad y Cobros"/>
      <sheetName val="Pagos Adventure"/>
      <sheetName val="Rel. MTI Final (PPC)"/>
      <sheetName val="Metrocorp"/>
      <sheetName val="Dep- flotantes"/>
      <sheetName val="Dep- previos"/>
      <sheetName val="Analisis Dep previos"/>
      <sheetName val="Antig Cartera"/>
      <sheetName val="Prov.Incobr."/>
      <sheetName val="Andinadatos"/>
      <sheetName val="Factura Andinada"/>
      <sheetName val="Antig, Cartera Andinada"/>
      <sheetName val="Hoja 1"/>
      <sheetName val="Base de Cartera Diciembre"/>
      <sheetName val="GLS"/>
      <sheetName val="CxC Clientes Preliminar "/>
      <sheetName val="CxC Clientes (Final)"/>
      <sheetName val="CXC Clientes"/>
      <sheetName val="Límite"/>
      <sheetName val="CXC"/>
      <sheetName val="CxC Relacionadas"/>
      <sheetName val="Análisis de validación cxc"/>
      <sheetName val="Resumen de Antigüedad"/>
      <sheetName val="Movimiento"/>
      <sheetName val="Base de cartera preliminar"/>
      <sheetName val="Análisis Relacionadas"/>
      <sheetName val="Mov Prov PxC Final"/>
      <sheetName val="Mov Prov PDoc Final"/>
      <sheetName val="Resumen Final"/>
      <sheetName val="317 DIC"/>
      <sheetName val="317-A DIC"/>
      <sheetName val="Refinanciamiento"/>
      <sheetName val="Mov Prov PxC"/>
      <sheetName val="Mov Prov PDoc"/>
      <sheetName val="Resumen Prel."/>
      <sheetName val="317 SEP"/>
      <sheetName val="317-A SEP"/>
      <sheetName val="Contragarantías"/>
      <sheetName val="317 Final"/>
      <sheetName val="317A Final"/>
      <sheetName val="317 A Sep"/>
      <sheetName val="Provisiones"/>
      <sheetName val="F. 317"/>
      <sheetName val="F. 317A"/>
      <sheetName val="Resumen Dic 13"/>
      <sheetName val="Form. 317"/>
      <sheetName val="Form. 317A."/>
      <sheetName val="Cobros Posteriores 2013"/>
      <sheetName val="Analisis Primas por Cob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Riesgos"/>
      <sheetName val="Detalle"/>
      <sheetName val="Cruce Otros Activos"/>
      <sheetName val="Prov. Serv. NQIA"/>
      <sheetName val="XREF"/>
      <sheetName val="Tickmarks"/>
      <sheetName val="#RE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#REF"/>
    </sheetNames>
    <sheetDataSet>
      <sheetData sheetId="0">
        <row r="1">
          <cell r="A1" t="str">
            <v>Detalle de Gastos de Operación</v>
          </cell>
        </row>
        <row r="136">
          <cell r="E136" t="e">
            <v>#N/A</v>
          </cell>
        </row>
        <row r="144">
          <cell r="E144">
            <v>26217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2.0.85/sadif.gt/inicio.php?pagina=boton_reporte&amp;tpcon=ru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74E9-987D-4021-BD77-6DF3D0C33908}">
  <dimension ref="A1:V87"/>
  <sheetViews>
    <sheetView showGridLines="0" tabSelected="1" zoomScale="80" zoomScaleNormal="80" workbookViewId="0">
      <selection activeCell="F51" sqref="F51"/>
    </sheetView>
  </sheetViews>
  <sheetFormatPr baseColWidth="10" defaultColWidth="10.90625" defaultRowHeight="12.5" x14ac:dyDescent="0.25"/>
  <cols>
    <col min="1" max="1" width="6.1796875" style="1" customWidth="1"/>
    <col min="2" max="2" width="22.81640625" style="1" customWidth="1"/>
    <col min="3" max="4" width="12.81640625" style="1" customWidth="1"/>
    <col min="5" max="5" width="14.453125" style="1" customWidth="1"/>
    <col min="6" max="6" width="16.08984375" style="1" customWidth="1"/>
    <col min="7" max="8" width="10.90625" style="1"/>
    <col min="9" max="9" width="15.6328125" style="1" customWidth="1"/>
    <col min="10" max="10" width="16.36328125" style="1" customWidth="1"/>
    <col min="11" max="13" width="10.90625" style="1"/>
    <col min="14" max="14" width="14.36328125" style="1" customWidth="1"/>
    <col min="15" max="15" width="13.7265625" style="1" bestFit="1" customWidth="1"/>
    <col min="16" max="16" width="13.54296875" style="1" customWidth="1"/>
    <col min="17" max="16384" width="10.90625" style="1"/>
  </cols>
  <sheetData>
    <row r="1" spans="2:16" s="9" customFormat="1" x14ac:dyDescent="0.25">
      <c r="B1" s="24"/>
      <c r="C1" s="23"/>
      <c r="D1" s="20"/>
      <c r="E1" s="20"/>
      <c r="F1" s="23"/>
      <c r="G1" s="20"/>
      <c r="H1" s="22"/>
      <c r="I1" s="22"/>
      <c r="J1" s="21"/>
      <c r="K1" s="20"/>
    </row>
    <row r="2" spans="2:16" s="9" customFormat="1" x14ac:dyDescent="0.25"/>
    <row r="3" spans="2:16" s="9" customFormat="1" x14ac:dyDescent="0.25">
      <c r="N3" s="30" t="s">
        <v>15</v>
      </c>
      <c r="O3" s="30" t="s">
        <v>14</v>
      </c>
      <c r="P3" s="31" t="s">
        <v>20</v>
      </c>
    </row>
    <row r="4" spans="2:16" s="9" customFormat="1" x14ac:dyDescent="0.25">
      <c r="N4" s="132" t="s">
        <v>25</v>
      </c>
      <c r="O4" s="132" t="s">
        <v>25</v>
      </c>
      <c r="P4" s="17" t="s">
        <v>4434</v>
      </c>
    </row>
    <row r="5" spans="2:16" s="9" customFormat="1" x14ac:dyDescent="0.25"/>
    <row r="6" spans="2:16" s="9" customFormat="1" x14ac:dyDescent="0.25">
      <c r="B6" s="25" t="s">
        <v>27</v>
      </c>
      <c r="D6" s="19"/>
      <c r="E6" s="19"/>
      <c r="F6" s="19"/>
      <c r="G6" s="19"/>
      <c r="H6" s="18"/>
    </row>
    <row r="7" spans="2:16" s="9" customFormat="1" x14ac:dyDescent="0.25">
      <c r="B7" s="26" t="s">
        <v>16</v>
      </c>
      <c r="C7" s="16"/>
      <c r="D7" s="15"/>
      <c r="E7" s="15"/>
      <c r="F7" s="15"/>
      <c r="G7" s="15"/>
      <c r="H7" s="14"/>
    </row>
    <row r="8" spans="2:16" s="9" customFormat="1" x14ac:dyDescent="0.25">
      <c r="B8" s="28" t="s">
        <v>26</v>
      </c>
      <c r="C8" s="16"/>
      <c r="D8" s="15"/>
      <c r="E8" s="15"/>
      <c r="F8" s="15"/>
      <c r="G8" s="15"/>
      <c r="H8" s="14"/>
    </row>
    <row r="9" spans="2:16" s="9" customFormat="1" x14ac:dyDescent="0.25">
      <c r="B9" s="29" t="s">
        <v>4419</v>
      </c>
      <c r="C9" s="16"/>
      <c r="D9" s="15"/>
      <c r="E9" s="15"/>
      <c r="F9" s="15"/>
      <c r="G9" s="15"/>
      <c r="H9" s="14"/>
    </row>
    <row r="10" spans="2:16" s="9" customFormat="1" ht="6" customHeight="1" thickBot="1" x14ac:dyDescent="0.3"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6" s="9" customFormat="1" ht="13" thickTop="1" x14ac:dyDescent="0.25"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2:16" x14ac:dyDescent="0.25">
      <c r="B12" s="27" t="s">
        <v>13</v>
      </c>
    </row>
    <row r="13" spans="2:16" ht="7" customHeight="1" x14ac:dyDescent="0.25">
      <c r="B13" s="27"/>
    </row>
    <row r="14" spans="2:16" x14ac:dyDescent="0.25">
      <c r="B14" s="1" t="s">
        <v>4420</v>
      </c>
    </row>
    <row r="16" spans="2:16" x14ac:dyDescent="0.25">
      <c r="B16" s="27" t="s">
        <v>19</v>
      </c>
      <c r="C16" s="5"/>
    </row>
    <row r="17" spans="1:4" ht="7" customHeight="1" x14ac:dyDescent="0.25">
      <c r="B17" s="27"/>
      <c r="C17" s="5"/>
    </row>
    <row r="18" spans="1:4" x14ac:dyDescent="0.25">
      <c r="B18" s="27"/>
      <c r="C18" s="5"/>
    </row>
    <row r="19" spans="1:4" x14ac:dyDescent="0.25">
      <c r="B19" s="133"/>
      <c r="C19" s="134" t="s">
        <v>4405</v>
      </c>
      <c r="D19" s="134" t="s">
        <v>4406</v>
      </c>
    </row>
    <row r="20" spans="1:4" x14ac:dyDescent="0.25">
      <c r="B20" s="135" t="s">
        <v>21</v>
      </c>
      <c r="C20" s="136" t="s">
        <v>22</v>
      </c>
      <c r="D20" s="136" t="s">
        <v>22</v>
      </c>
    </row>
    <row r="21" spans="1:4" x14ac:dyDescent="0.25">
      <c r="B21" s="135" t="s">
        <v>23</v>
      </c>
      <c r="C21" s="136" t="s">
        <v>22</v>
      </c>
      <c r="D21" s="136" t="s">
        <v>22</v>
      </c>
    </row>
    <row r="22" spans="1:4" x14ac:dyDescent="0.25">
      <c r="B22" s="135" t="s">
        <v>24</v>
      </c>
      <c r="C22" s="136" t="s">
        <v>22</v>
      </c>
      <c r="D22" s="136" t="s">
        <v>22</v>
      </c>
    </row>
    <row r="24" spans="1:4" x14ac:dyDescent="0.25">
      <c r="B24" s="27" t="s">
        <v>12</v>
      </c>
    </row>
    <row r="25" spans="1:4" ht="7" customHeight="1" x14ac:dyDescent="0.25">
      <c r="B25" s="27"/>
    </row>
    <row r="26" spans="1:4" x14ac:dyDescent="0.25">
      <c r="A26" s="140" t="s">
        <v>4424</v>
      </c>
      <c r="B26" s="1" t="s">
        <v>4436</v>
      </c>
    </row>
    <row r="27" spans="1:4" x14ac:dyDescent="0.25">
      <c r="A27" s="140" t="s">
        <v>4425</v>
      </c>
      <c r="B27" s="141" t="s">
        <v>4429</v>
      </c>
    </row>
    <row r="28" spans="1:4" x14ac:dyDescent="0.25">
      <c r="A28" s="140" t="s">
        <v>4426</v>
      </c>
      <c r="B28" s="141" t="s">
        <v>4438</v>
      </c>
    </row>
    <row r="29" spans="1:4" x14ac:dyDescent="0.25">
      <c r="A29" s="140" t="s">
        <v>4427</v>
      </c>
      <c r="B29" s="1" t="s">
        <v>4428</v>
      </c>
    </row>
    <row r="30" spans="1:4" x14ac:dyDescent="0.25">
      <c r="A30" s="140"/>
    </row>
    <row r="32" spans="1:4" x14ac:dyDescent="0.25">
      <c r="B32" s="27" t="s">
        <v>11</v>
      </c>
    </row>
    <row r="33" spans="2:22" ht="7" customHeight="1" x14ac:dyDescent="0.25">
      <c r="B33" s="27"/>
    </row>
    <row r="34" spans="2:22" x14ac:dyDescent="0.25">
      <c r="B34" s="27"/>
      <c r="G34" s="138" t="s">
        <v>4430</v>
      </c>
      <c r="H34" s="139"/>
      <c r="I34" s="139"/>
      <c r="J34" s="139"/>
      <c r="K34" s="139"/>
      <c r="L34" s="139"/>
      <c r="M34" s="139"/>
    </row>
    <row r="35" spans="2:22" x14ac:dyDescent="0.25">
      <c r="B35" s="27"/>
    </row>
    <row r="37" spans="2:22" x14ac:dyDescent="0.25">
      <c r="B37" s="6"/>
    </row>
    <row r="38" spans="2:22" x14ac:dyDescent="0.25">
      <c r="B38" s="148" t="s">
        <v>4439</v>
      </c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P38" s="148" t="s">
        <v>4440</v>
      </c>
      <c r="Q38" s="148"/>
    </row>
    <row r="39" spans="2:22" s="5" customFormat="1" ht="37.5" x14ac:dyDescent="0.25">
      <c r="B39" s="33" t="s">
        <v>4431</v>
      </c>
      <c r="C39" s="33" t="s">
        <v>10</v>
      </c>
      <c r="D39" s="33" t="s">
        <v>9</v>
      </c>
      <c r="E39" s="33" t="s">
        <v>8</v>
      </c>
      <c r="F39" s="33" t="s">
        <v>4432</v>
      </c>
      <c r="G39" s="33" t="s">
        <v>4433</v>
      </c>
      <c r="H39" s="33" t="s">
        <v>7</v>
      </c>
      <c r="I39" s="33" t="s">
        <v>6</v>
      </c>
      <c r="J39" s="33" t="s">
        <v>5</v>
      </c>
      <c r="K39" s="33" t="s">
        <v>4437</v>
      </c>
      <c r="L39" s="33" t="s">
        <v>4</v>
      </c>
      <c r="M39" s="33" t="s">
        <v>3</v>
      </c>
      <c r="N39" s="33" t="s">
        <v>2</v>
      </c>
      <c r="O39" s="1"/>
      <c r="P39" s="40" t="s">
        <v>4441</v>
      </c>
      <c r="Q39" s="40" t="s">
        <v>1</v>
      </c>
      <c r="R39" s="7"/>
      <c r="S39" s="7"/>
      <c r="V39" s="6"/>
    </row>
    <row r="40" spans="2:22" s="5" customFormat="1" x14ac:dyDescent="0.25">
      <c r="B40" s="34"/>
      <c r="C40" s="35"/>
      <c r="D40" s="36"/>
      <c r="E40" s="34"/>
      <c r="F40" s="37"/>
      <c r="G40" s="35"/>
      <c r="H40" s="35"/>
      <c r="I40" s="35"/>
      <c r="J40" s="38"/>
      <c r="K40" s="38"/>
      <c r="L40" s="35"/>
      <c r="M40" s="38"/>
      <c r="N40" s="35"/>
      <c r="O40" s="1"/>
      <c r="P40" s="41">
        <f>+IFERROR(VLOOKUP(F40,'Listado empresas fantasmas SRI'!$B$2:$B$1057,1,0),0)</f>
        <v>0</v>
      </c>
      <c r="Q40" s="147" t="str">
        <f>+IF(P40=0,"No","Si")</f>
        <v>No</v>
      </c>
      <c r="R40" s="7"/>
      <c r="S40" s="7"/>
      <c r="V40" s="6"/>
    </row>
    <row r="41" spans="2:22" s="5" customFormat="1" x14ac:dyDescent="0.25">
      <c r="B41" s="34"/>
      <c r="C41" s="35"/>
      <c r="D41" s="36"/>
      <c r="E41" s="34"/>
      <c r="F41" s="37"/>
      <c r="G41" s="35"/>
      <c r="H41" s="35"/>
      <c r="I41" s="35"/>
      <c r="J41" s="38"/>
      <c r="K41" s="38"/>
      <c r="L41" s="35"/>
      <c r="M41" s="35"/>
      <c r="N41" s="35"/>
      <c r="O41" s="1"/>
      <c r="P41" s="41">
        <f>+IFERROR(VLOOKUP(F41,'Listado empresas fantasmas SRI'!$B$2:$B$1057,1,0),0)</f>
        <v>0</v>
      </c>
      <c r="Q41" s="147" t="str">
        <f>+IF(P41=0,"No","Si")</f>
        <v>No</v>
      </c>
      <c r="R41" s="7"/>
      <c r="S41" s="7"/>
      <c r="V41" s="6"/>
    </row>
    <row r="42" spans="2:22" s="5" customFormat="1" x14ac:dyDescent="0.25">
      <c r="B42" s="34"/>
      <c r="C42" s="35"/>
      <c r="D42" s="36"/>
      <c r="E42" s="34"/>
      <c r="F42" s="37"/>
      <c r="G42" s="35"/>
      <c r="H42" s="35"/>
      <c r="I42" s="35"/>
      <c r="J42" s="38"/>
      <c r="K42" s="38"/>
      <c r="L42" s="35"/>
      <c r="M42" s="35"/>
      <c r="N42" s="35"/>
      <c r="O42" s="1"/>
      <c r="P42" s="41">
        <f>+IFERROR(VLOOKUP(F42,'Listado empresas fantasmas SRI'!$B$2:$B$1057,1,0),0)</f>
        <v>0</v>
      </c>
      <c r="Q42" s="147" t="str">
        <f t="shared" ref="Q42:Q49" si="0">+IF(P42=0,"No","Si")</f>
        <v>No</v>
      </c>
      <c r="R42" s="7"/>
      <c r="S42" s="7"/>
      <c r="V42" s="6"/>
    </row>
    <row r="43" spans="2:22" s="5" customFormat="1" x14ac:dyDescent="0.25">
      <c r="B43" s="39"/>
      <c r="C43" s="35"/>
      <c r="D43" s="36"/>
      <c r="E43" s="34"/>
      <c r="F43" s="37"/>
      <c r="G43" s="35"/>
      <c r="H43" s="35"/>
      <c r="I43" s="35"/>
      <c r="J43" s="38"/>
      <c r="K43" s="38"/>
      <c r="L43" s="35"/>
      <c r="M43" s="35"/>
      <c r="N43" s="35"/>
      <c r="O43" s="1"/>
      <c r="P43" s="41">
        <f>+IFERROR(VLOOKUP(F43,'Listado empresas fantasmas SRI'!$B$2:$B$1057,1,0),0)</f>
        <v>0</v>
      </c>
      <c r="Q43" s="147" t="str">
        <f t="shared" si="0"/>
        <v>No</v>
      </c>
      <c r="R43" s="7"/>
      <c r="S43" s="7"/>
      <c r="V43" s="6"/>
    </row>
    <row r="44" spans="2:22" s="5" customFormat="1" x14ac:dyDescent="0.25">
      <c r="B44" s="39"/>
      <c r="C44" s="35"/>
      <c r="D44" s="36"/>
      <c r="E44" s="34"/>
      <c r="F44" s="37"/>
      <c r="G44" s="35"/>
      <c r="H44" s="35"/>
      <c r="I44" s="35"/>
      <c r="J44" s="38"/>
      <c r="K44" s="38"/>
      <c r="L44" s="35"/>
      <c r="M44" s="35"/>
      <c r="N44" s="35"/>
      <c r="O44" s="1"/>
      <c r="P44" s="41">
        <f>+IFERROR(VLOOKUP(F44,'Listado empresas fantasmas SRI'!$B$2:$B$1057,1,0),0)</f>
        <v>0</v>
      </c>
      <c r="Q44" s="147" t="str">
        <f t="shared" si="0"/>
        <v>No</v>
      </c>
      <c r="R44" s="7"/>
      <c r="S44" s="7"/>
      <c r="V44" s="6"/>
    </row>
    <row r="45" spans="2:22" s="5" customFormat="1" x14ac:dyDescent="0.25">
      <c r="B45" s="34"/>
      <c r="C45" s="35"/>
      <c r="D45" s="36"/>
      <c r="E45" s="34"/>
      <c r="F45" s="37"/>
      <c r="G45" s="35"/>
      <c r="H45" s="35"/>
      <c r="I45" s="35"/>
      <c r="J45" s="38"/>
      <c r="K45" s="38"/>
      <c r="L45" s="35"/>
      <c r="M45" s="35"/>
      <c r="N45" s="35"/>
      <c r="O45" s="1"/>
      <c r="P45" s="41">
        <f>+IFERROR(VLOOKUP(F45,'Listado empresas fantasmas SRI'!$B$2:$B$1057,1,0),0)</f>
        <v>0</v>
      </c>
      <c r="Q45" s="147" t="str">
        <f t="shared" si="0"/>
        <v>No</v>
      </c>
      <c r="R45" s="7"/>
      <c r="S45" s="7"/>
      <c r="V45" s="6"/>
    </row>
    <row r="46" spans="2:22" s="5" customFormat="1" x14ac:dyDescent="0.25">
      <c r="B46" s="34"/>
      <c r="C46" s="35"/>
      <c r="D46" s="36"/>
      <c r="E46" s="34"/>
      <c r="F46" s="37"/>
      <c r="G46" s="35"/>
      <c r="H46" s="35"/>
      <c r="I46" s="35"/>
      <c r="J46" s="38"/>
      <c r="K46" s="38"/>
      <c r="L46" s="35"/>
      <c r="M46" s="35"/>
      <c r="N46" s="35"/>
      <c r="O46" s="1"/>
      <c r="P46" s="41">
        <f>+IFERROR(VLOOKUP(F46,'Listado empresas fantasmas SRI'!$B$2:$B$1057,1,0),0)</f>
        <v>0</v>
      </c>
      <c r="Q46" s="147" t="str">
        <f t="shared" si="0"/>
        <v>No</v>
      </c>
      <c r="R46" s="7"/>
      <c r="S46" s="7"/>
      <c r="V46" s="6"/>
    </row>
    <row r="47" spans="2:22" s="5" customFormat="1" x14ac:dyDescent="0.25">
      <c r="B47" s="34"/>
      <c r="C47" s="35"/>
      <c r="D47" s="36"/>
      <c r="E47" s="34"/>
      <c r="F47" s="37"/>
      <c r="G47" s="35"/>
      <c r="H47" s="35"/>
      <c r="I47" s="35"/>
      <c r="J47" s="38"/>
      <c r="K47" s="38"/>
      <c r="L47" s="35"/>
      <c r="M47" s="35"/>
      <c r="N47" s="35"/>
      <c r="O47" s="1"/>
      <c r="P47" s="41">
        <f>+IFERROR(VLOOKUP(F47,'Listado empresas fantasmas SRI'!$B$2:$B$1057,1,0),0)</f>
        <v>0</v>
      </c>
      <c r="Q47" s="147" t="str">
        <f t="shared" si="0"/>
        <v>No</v>
      </c>
      <c r="R47" s="7"/>
      <c r="S47" s="7"/>
      <c r="V47" s="6"/>
    </row>
    <row r="48" spans="2:22" s="5" customFormat="1" x14ac:dyDescent="0.25">
      <c r="B48" s="34"/>
      <c r="C48" s="35"/>
      <c r="D48" s="36"/>
      <c r="E48" s="34"/>
      <c r="F48" s="37"/>
      <c r="G48" s="35"/>
      <c r="H48" s="35"/>
      <c r="I48" s="35"/>
      <c r="J48" s="38"/>
      <c r="K48" s="38"/>
      <c r="L48" s="35"/>
      <c r="M48" s="35"/>
      <c r="N48" s="35"/>
      <c r="O48" s="1"/>
      <c r="P48" s="41">
        <f>+IFERROR(VLOOKUP(F48,'Listado empresas fantasmas SRI'!$B$2:$B$1057,1,0),0)</f>
        <v>0</v>
      </c>
      <c r="Q48" s="147" t="str">
        <f t="shared" si="0"/>
        <v>No</v>
      </c>
      <c r="R48" s="7"/>
      <c r="S48" s="7"/>
      <c r="V48" s="6"/>
    </row>
    <row r="49" spans="1:22" s="5" customFormat="1" x14ac:dyDescent="0.25">
      <c r="B49" s="34"/>
      <c r="C49" s="35"/>
      <c r="D49" s="36"/>
      <c r="E49" s="34"/>
      <c r="F49" s="37"/>
      <c r="G49" s="35"/>
      <c r="H49" s="35"/>
      <c r="I49" s="35"/>
      <c r="J49" s="38"/>
      <c r="K49" s="38"/>
      <c r="L49" s="35"/>
      <c r="M49" s="35"/>
      <c r="N49" s="35"/>
      <c r="O49" s="1"/>
      <c r="P49" s="41">
        <f>+IFERROR(VLOOKUP(F49,'Listado empresas fantasmas SRI'!$B$2:$B$1057,1,0),0)</f>
        <v>0</v>
      </c>
      <c r="Q49" s="147" t="str">
        <f t="shared" si="0"/>
        <v>No</v>
      </c>
      <c r="R49" s="7"/>
      <c r="S49" s="7"/>
      <c r="V49" s="6"/>
    </row>
    <row r="52" spans="1:22" s="5" customFormat="1" x14ac:dyDescent="0.25">
      <c r="C52" s="3"/>
      <c r="D52" s="1"/>
      <c r="G52" s="4"/>
      <c r="H52" s="1"/>
      <c r="I52" s="1"/>
      <c r="J52" s="1"/>
      <c r="K52" s="8"/>
      <c r="L52" s="8"/>
      <c r="M52" s="1"/>
      <c r="N52" s="8"/>
      <c r="O52" s="1"/>
      <c r="P52" s="2"/>
      <c r="Q52" s="7"/>
      <c r="R52" s="7"/>
      <c r="S52" s="7"/>
      <c r="V52" s="6"/>
    </row>
    <row r="53" spans="1:22" s="5" customFormat="1" x14ac:dyDescent="0.25">
      <c r="B53" s="148" t="s">
        <v>17</v>
      </c>
      <c r="C53" s="148"/>
      <c r="D53" s="148"/>
      <c r="G53" s="4"/>
      <c r="H53" s="1"/>
      <c r="I53" s="1"/>
      <c r="J53" s="1"/>
      <c r="K53" s="8"/>
      <c r="L53" s="8"/>
      <c r="M53" s="1"/>
      <c r="N53" s="1"/>
      <c r="O53" s="1"/>
      <c r="P53" s="2"/>
      <c r="Q53" s="7"/>
      <c r="R53" s="7"/>
      <c r="S53" s="7"/>
      <c r="V53" s="6"/>
    </row>
    <row r="54" spans="1:22" s="5" customFormat="1" x14ac:dyDescent="0.25">
      <c r="G54" s="4"/>
      <c r="H54" s="1"/>
      <c r="I54" s="1"/>
      <c r="J54" s="1"/>
      <c r="K54" s="8"/>
      <c r="L54" s="8"/>
      <c r="M54" s="1"/>
      <c r="N54" s="1"/>
      <c r="O54" s="1"/>
      <c r="P54" s="2"/>
      <c r="Q54" s="7"/>
      <c r="R54" s="7"/>
      <c r="S54" s="7"/>
      <c r="V54" s="6"/>
    </row>
    <row r="55" spans="1:22" s="5" customFormat="1" x14ac:dyDescent="0.25">
      <c r="B55" s="137" t="s">
        <v>4421</v>
      </c>
      <c r="C55" s="1"/>
      <c r="D55" s="1"/>
      <c r="G55" s="4"/>
      <c r="H55" s="1"/>
      <c r="I55" s="1"/>
      <c r="J55" s="1"/>
      <c r="K55" s="8"/>
      <c r="L55" s="8"/>
      <c r="M55" s="1"/>
      <c r="N55" s="1"/>
      <c r="O55" s="1"/>
      <c r="P55" s="2"/>
      <c r="Q55" s="7"/>
      <c r="R55" s="7"/>
      <c r="S55" s="7"/>
      <c r="V55" s="6"/>
    </row>
    <row r="56" spans="1:22" s="5" customFormat="1" x14ac:dyDescent="0.25">
      <c r="B56" s="137"/>
      <c r="C56" s="1"/>
      <c r="D56" s="1"/>
      <c r="G56" s="4"/>
      <c r="H56" s="1"/>
      <c r="I56" s="1"/>
      <c r="J56" s="1"/>
      <c r="K56" s="8"/>
      <c r="L56" s="8"/>
      <c r="M56" s="1"/>
      <c r="N56" s="1"/>
      <c r="O56" s="1"/>
      <c r="P56" s="2"/>
      <c r="Q56" s="7"/>
      <c r="R56" s="7"/>
      <c r="S56" s="7"/>
      <c r="V56" s="6"/>
    </row>
    <row r="57" spans="1:22" x14ac:dyDescent="0.25">
      <c r="B57" s="145" t="s">
        <v>4443</v>
      </c>
      <c r="C57" s="143"/>
      <c r="D57" s="144">
        <f>+COUNTIF(Q40:Q49,B57)</f>
        <v>0</v>
      </c>
    </row>
    <row r="58" spans="1:22" x14ac:dyDescent="0.25">
      <c r="B58" s="146" t="s">
        <v>4442</v>
      </c>
      <c r="C58" s="142"/>
      <c r="D58" s="144">
        <f>+COUNTIF(Q41:Q50,B58)</f>
        <v>9</v>
      </c>
    </row>
    <row r="62" spans="1:22" x14ac:dyDescent="0.25">
      <c r="B62" s="27" t="s">
        <v>18</v>
      </c>
    </row>
    <row r="63" spans="1:22" ht="7" customHeight="1" x14ac:dyDescent="0.25">
      <c r="B63" s="27"/>
    </row>
    <row r="64" spans="1:22" x14ac:dyDescent="0.25">
      <c r="A64" s="32"/>
      <c r="B64" s="1" t="s">
        <v>4422</v>
      </c>
    </row>
    <row r="65" spans="1:2" x14ac:dyDescent="0.25">
      <c r="B65" s="1" t="s">
        <v>4423</v>
      </c>
    </row>
    <row r="67" spans="1:2" x14ac:dyDescent="0.25">
      <c r="A67" s="42"/>
      <c r="B67" s="27" t="s">
        <v>4435</v>
      </c>
    </row>
    <row r="68" spans="1:2" ht="7" customHeight="1" x14ac:dyDescent="0.25">
      <c r="A68" s="42"/>
      <c r="B68" s="27"/>
    </row>
    <row r="69" spans="1:2" x14ac:dyDescent="0.25">
      <c r="A69" s="42" t="s">
        <v>4407</v>
      </c>
      <c r="B69" s="27"/>
    </row>
    <row r="70" spans="1:2" x14ac:dyDescent="0.25">
      <c r="A70" s="42" t="s">
        <v>4408</v>
      </c>
      <c r="B70" s="27"/>
    </row>
    <row r="71" spans="1:2" x14ac:dyDescent="0.25">
      <c r="A71" s="42" t="s">
        <v>4409</v>
      </c>
      <c r="B71" s="27"/>
    </row>
    <row r="72" spans="1:2" x14ac:dyDescent="0.25">
      <c r="A72" s="42"/>
      <c r="B72" s="27"/>
    </row>
    <row r="73" spans="1:2" x14ac:dyDescent="0.25">
      <c r="A73" s="42"/>
      <c r="B73" s="27" t="s">
        <v>4410</v>
      </c>
    </row>
    <row r="74" spans="1:2" ht="7" customHeight="1" x14ac:dyDescent="0.25">
      <c r="A74" s="42"/>
      <c r="B74" s="27"/>
    </row>
    <row r="75" spans="1:2" x14ac:dyDescent="0.25">
      <c r="A75" s="42" t="s">
        <v>4411</v>
      </c>
      <c r="B75" s="27"/>
    </row>
    <row r="76" spans="1:2" x14ac:dyDescent="0.25">
      <c r="A76" s="42" t="s">
        <v>4412</v>
      </c>
      <c r="B76" s="27"/>
    </row>
    <row r="77" spans="1:2" x14ac:dyDescent="0.25">
      <c r="A77" s="42" t="s">
        <v>4413</v>
      </c>
      <c r="B77" s="27"/>
    </row>
    <row r="78" spans="1:2" x14ac:dyDescent="0.25">
      <c r="A78" s="42"/>
      <c r="B78" s="43"/>
    </row>
    <row r="79" spans="1:2" x14ac:dyDescent="0.25">
      <c r="A79" s="42"/>
      <c r="B79" s="27" t="s">
        <v>4414</v>
      </c>
    </row>
    <row r="80" spans="1:2" ht="7" customHeight="1" x14ac:dyDescent="0.25">
      <c r="A80" s="42"/>
      <c r="B80" s="27"/>
    </row>
    <row r="81" spans="1:2" x14ac:dyDescent="0.25">
      <c r="A81" s="42" t="s">
        <v>4415</v>
      </c>
      <c r="B81" s="27"/>
    </row>
    <row r="82" spans="1:2" x14ac:dyDescent="0.25">
      <c r="A82" s="42" t="s">
        <v>4416</v>
      </c>
      <c r="B82" s="27"/>
    </row>
    <row r="83" spans="1:2" x14ac:dyDescent="0.25">
      <c r="A83" s="42" t="s">
        <v>4417</v>
      </c>
      <c r="B83" s="27"/>
    </row>
    <row r="84" spans="1:2" x14ac:dyDescent="0.25">
      <c r="A84" s="42"/>
      <c r="B84" s="43"/>
    </row>
    <row r="85" spans="1:2" x14ac:dyDescent="0.25">
      <c r="A85" s="5"/>
      <c r="B85" s="27" t="s">
        <v>0</v>
      </c>
    </row>
    <row r="86" spans="1:2" ht="7" customHeight="1" x14ac:dyDescent="0.25">
      <c r="A86" s="5"/>
      <c r="B86" s="27"/>
    </row>
    <row r="87" spans="1:2" x14ac:dyDescent="0.25">
      <c r="B87" s="6" t="s">
        <v>4418</v>
      </c>
    </row>
  </sheetData>
  <mergeCells count="3">
    <mergeCell ref="B53:D53"/>
    <mergeCell ref="B38:N38"/>
    <mergeCell ref="P38:Q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04A9-892D-4EBB-ADB8-08558A7568DF}">
  <dimension ref="A1:U1057"/>
  <sheetViews>
    <sheetView showGridLines="0" topLeftCell="A1052" zoomScale="70" zoomScaleNormal="70" workbookViewId="0"/>
  </sheetViews>
  <sheetFormatPr baseColWidth="10" defaultColWidth="10.90625" defaultRowHeight="12.5" x14ac:dyDescent="0.25"/>
  <cols>
    <col min="1" max="1" width="11" style="44" bestFit="1" customWidth="1"/>
    <col min="2" max="5" width="10.90625" style="44"/>
    <col min="6" max="6" width="15.36328125" style="44" customWidth="1"/>
    <col min="7" max="7" width="16.08984375" style="44" customWidth="1"/>
    <col min="8" max="9" width="16.1796875" style="44" customWidth="1"/>
    <col min="10" max="11" width="10.90625" style="44"/>
    <col min="12" max="12" width="14.36328125" style="44" customWidth="1"/>
    <col min="13" max="13" width="16.08984375" style="44" customWidth="1"/>
    <col min="14" max="14" width="14.36328125" style="44" customWidth="1"/>
    <col min="15" max="15" width="15.81640625" style="44" customWidth="1"/>
    <col min="16" max="16" width="18.1796875" style="44" customWidth="1"/>
    <col min="17" max="17" width="16.54296875" style="44" customWidth="1"/>
    <col min="18" max="18" width="10.90625" style="44"/>
    <col min="19" max="19" width="17.36328125" style="44" customWidth="1"/>
    <col min="20" max="20" width="15.453125" style="44" customWidth="1"/>
    <col min="21" max="21" width="14.90625" style="44" customWidth="1"/>
    <col min="22" max="16384" width="10.90625" style="44"/>
  </cols>
  <sheetData>
    <row r="1" spans="1:21" ht="50" x14ac:dyDescent="0.25">
      <c r="A1" s="45" t="s">
        <v>28</v>
      </c>
      <c r="B1" s="45" t="s">
        <v>29</v>
      </c>
      <c r="C1" s="45" t="s">
        <v>30</v>
      </c>
      <c r="D1" s="46" t="s">
        <v>31</v>
      </c>
      <c r="E1" s="45" t="s">
        <v>32</v>
      </c>
      <c r="F1" s="45" t="s">
        <v>33</v>
      </c>
      <c r="G1" s="47" t="s">
        <v>34</v>
      </c>
      <c r="H1" s="45" t="s">
        <v>35</v>
      </c>
      <c r="I1" s="48" t="s">
        <v>36</v>
      </c>
      <c r="J1" s="48" t="s">
        <v>37</v>
      </c>
      <c r="K1" s="45" t="s">
        <v>38</v>
      </c>
      <c r="L1" s="49" t="s">
        <v>39</v>
      </c>
      <c r="M1" s="49" t="s">
        <v>40</v>
      </c>
      <c r="N1" s="49" t="s">
        <v>41</v>
      </c>
      <c r="O1" s="49" t="s">
        <v>42</v>
      </c>
      <c r="P1" s="50" t="s">
        <v>43</v>
      </c>
      <c r="Q1" s="51" t="s">
        <v>34</v>
      </c>
      <c r="R1" s="50" t="s">
        <v>44</v>
      </c>
      <c r="S1" s="51" t="s">
        <v>45</v>
      </c>
      <c r="T1" s="52" t="s">
        <v>46</v>
      </c>
      <c r="U1" s="52" t="s">
        <v>47</v>
      </c>
    </row>
    <row r="2" spans="1:21" ht="100" x14ac:dyDescent="0.25">
      <c r="A2" s="53">
        <v>1</v>
      </c>
      <c r="B2" s="54" t="s">
        <v>48</v>
      </c>
      <c r="C2" s="54" t="s">
        <v>49</v>
      </c>
      <c r="D2" s="54" t="s">
        <v>50</v>
      </c>
      <c r="E2" s="54" t="s">
        <v>51</v>
      </c>
      <c r="F2" s="55" t="s">
        <v>52</v>
      </c>
      <c r="G2" s="56">
        <v>43003</v>
      </c>
      <c r="H2" s="54" t="s">
        <v>53</v>
      </c>
      <c r="I2" s="57">
        <v>43047</v>
      </c>
      <c r="J2" s="54" t="s">
        <v>54</v>
      </c>
      <c r="K2" s="54" t="s">
        <v>55</v>
      </c>
      <c r="L2" s="56"/>
      <c r="M2" s="56"/>
      <c r="N2" s="54"/>
      <c r="O2" s="54"/>
      <c r="P2" s="54"/>
      <c r="Q2" s="54"/>
      <c r="R2" s="54"/>
      <c r="S2" s="54"/>
      <c r="T2" s="54" t="s">
        <v>56</v>
      </c>
      <c r="U2" s="54" t="s">
        <v>56</v>
      </c>
    </row>
    <row r="3" spans="1:21" ht="87.5" x14ac:dyDescent="0.25">
      <c r="A3" s="53">
        <v>2</v>
      </c>
      <c r="B3" s="54" t="s">
        <v>57</v>
      </c>
      <c r="C3" s="54" t="s">
        <v>58</v>
      </c>
      <c r="D3" s="54" t="s">
        <v>59</v>
      </c>
      <c r="E3" s="54" t="s">
        <v>51</v>
      </c>
      <c r="F3" s="55" t="s">
        <v>60</v>
      </c>
      <c r="G3" s="56">
        <v>42601.338842592602</v>
      </c>
      <c r="H3" s="54" t="s">
        <v>61</v>
      </c>
      <c r="I3" s="57">
        <v>42629</v>
      </c>
      <c r="J3" s="54" t="s">
        <v>62</v>
      </c>
      <c r="K3" s="54" t="s">
        <v>55</v>
      </c>
      <c r="L3" s="56">
        <v>40909</v>
      </c>
      <c r="M3" s="56">
        <v>42369</v>
      </c>
      <c r="N3" s="58"/>
      <c r="O3" s="58"/>
      <c r="P3" s="58"/>
      <c r="Q3" s="59"/>
      <c r="R3" s="58"/>
      <c r="S3" s="58"/>
      <c r="T3" s="54" t="s">
        <v>56</v>
      </c>
      <c r="U3" s="54" t="s">
        <v>56</v>
      </c>
    </row>
    <row r="4" spans="1:21" ht="100" x14ac:dyDescent="0.25">
      <c r="A4" s="53">
        <v>3</v>
      </c>
      <c r="B4" s="54" t="s">
        <v>63</v>
      </c>
      <c r="C4" s="54" t="s">
        <v>64</v>
      </c>
      <c r="D4" s="54" t="s">
        <v>50</v>
      </c>
      <c r="E4" s="54" t="s">
        <v>51</v>
      </c>
      <c r="F4" s="55" t="s">
        <v>65</v>
      </c>
      <c r="G4" s="56">
        <v>43007</v>
      </c>
      <c r="H4" s="54" t="s">
        <v>66</v>
      </c>
      <c r="I4" s="57">
        <v>43052</v>
      </c>
      <c r="J4" s="54" t="s">
        <v>67</v>
      </c>
      <c r="K4" s="54" t="s">
        <v>55</v>
      </c>
      <c r="L4" s="56"/>
      <c r="M4" s="56"/>
      <c r="N4" s="54"/>
      <c r="O4" s="54"/>
      <c r="P4" s="54"/>
      <c r="Q4" s="54"/>
      <c r="R4" s="54"/>
      <c r="S4" s="54"/>
      <c r="T4" s="54" t="s">
        <v>56</v>
      </c>
      <c r="U4" s="54" t="s">
        <v>56</v>
      </c>
    </row>
    <row r="5" spans="1:21" ht="100" x14ac:dyDescent="0.25">
      <c r="A5" s="53">
        <v>4</v>
      </c>
      <c r="B5" s="54" t="s">
        <v>68</v>
      </c>
      <c r="C5" s="54" t="s">
        <v>69</v>
      </c>
      <c r="D5" s="54" t="s">
        <v>50</v>
      </c>
      <c r="E5" s="54" t="s">
        <v>51</v>
      </c>
      <c r="F5" s="55" t="s">
        <v>70</v>
      </c>
      <c r="G5" s="56">
        <v>43005</v>
      </c>
      <c r="H5" s="54" t="s">
        <v>71</v>
      </c>
      <c r="I5" s="57">
        <v>43052</v>
      </c>
      <c r="J5" s="54" t="s">
        <v>54</v>
      </c>
      <c r="K5" s="54" t="s">
        <v>55</v>
      </c>
      <c r="L5" s="56"/>
      <c r="M5" s="56"/>
      <c r="N5" s="54"/>
      <c r="O5" s="54"/>
      <c r="P5" s="54"/>
      <c r="Q5" s="54"/>
      <c r="R5" s="54"/>
      <c r="S5" s="54"/>
      <c r="T5" s="54" t="s">
        <v>56</v>
      </c>
      <c r="U5" s="54" t="s">
        <v>56</v>
      </c>
    </row>
    <row r="6" spans="1:21" ht="100" x14ac:dyDescent="0.25">
      <c r="A6" s="53">
        <v>5</v>
      </c>
      <c r="B6" s="54" t="s">
        <v>72</v>
      </c>
      <c r="C6" s="54" t="s">
        <v>73</v>
      </c>
      <c r="D6" s="54" t="s">
        <v>50</v>
      </c>
      <c r="E6" s="54" t="s">
        <v>51</v>
      </c>
      <c r="F6" s="55" t="s">
        <v>74</v>
      </c>
      <c r="G6" s="56">
        <v>43007</v>
      </c>
      <c r="H6" s="54" t="s">
        <v>75</v>
      </c>
      <c r="I6" s="57">
        <v>43052</v>
      </c>
      <c r="J6" s="54" t="s">
        <v>54</v>
      </c>
      <c r="K6" s="54" t="s">
        <v>55</v>
      </c>
      <c r="L6" s="56"/>
      <c r="M6" s="56"/>
      <c r="N6" s="54"/>
      <c r="O6" s="54"/>
      <c r="P6" s="54"/>
      <c r="Q6" s="54"/>
      <c r="R6" s="54"/>
      <c r="S6" s="54"/>
      <c r="T6" s="54" t="s">
        <v>56</v>
      </c>
      <c r="U6" s="54" t="s">
        <v>56</v>
      </c>
    </row>
    <row r="7" spans="1:21" ht="125" x14ac:dyDescent="0.25">
      <c r="A7" s="53">
        <v>6</v>
      </c>
      <c r="B7" s="54" t="s">
        <v>76</v>
      </c>
      <c r="C7" s="54" t="s">
        <v>77</v>
      </c>
      <c r="D7" s="54" t="s">
        <v>59</v>
      </c>
      <c r="E7" s="54" t="s">
        <v>51</v>
      </c>
      <c r="F7" s="55" t="s">
        <v>78</v>
      </c>
      <c r="G7" s="56">
        <v>43013</v>
      </c>
      <c r="H7" s="54" t="s">
        <v>79</v>
      </c>
      <c r="I7" s="57">
        <v>43021</v>
      </c>
      <c r="J7" s="54" t="s">
        <v>80</v>
      </c>
      <c r="K7" s="54" t="s">
        <v>81</v>
      </c>
      <c r="L7" s="56"/>
      <c r="M7" s="56"/>
      <c r="N7" s="54"/>
      <c r="O7" s="54"/>
      <c r="P7" s="54"/>
      <c r="Q7" s="54"/>
      <c r="R7" s="54"/>
      <c r="S7" s="54"/>
      <c r="T7" s="54" t="s">
        <v>56</v>
      </c>
      <c r="U7" s="54" t="s">
        <v>56</v>
      </c>
    </row>
    <row r="8" spans="1:21" ht="100" x14ac:dyDescent="0.25">
      <c r="A8" s="53">
        <v>7</v>
      </c>
      <c r="B8" s="54" t="s">
        <v>82</v>
      </c>
      <c r="C8" s="54" t="s">
        <v>83</v>
      </c>
      <c r="D8" s="54" t="s">
        <v>50</v>
      </c>
      <c r="E8" s="54" t="s">
        <v>51</v>
      </c>
      <c r="F8" s="55" t="s">
        <v>84</v>
      </c>
      <c r="G8" s="56">
        <v>43003</v>
      </c>
      <c r="H8" s="54" t="s">
        <v>85</v>
      </c>
      <c r="I8" s="57">
        <v>43047</v>
      </c>
      <c r="J8" s="54" t="s">
        <v>54</v>
      </c>
      <c r="K8" s="54" t="s">
        <v>55</v>
      </c>
      <c r="L8" s="56"/>
      <c r="M8" s="56">
        <v>42735</v>
      </c>
      <c r="N8" s="54" t="s">
        <v>86</v>
      </c>
      <c r="O8" s="59">
        <v>44677</v>
      </c>
      <c r="P8" s="54"/>
      <c r="Q8" s="54"/>
      <c r="R8" s="54"/>
      <c r="S8" s="54"/>
      <c r="T8" s="54" t="s">
        <v>87</v>
      </c>
      <c r="U8" s="58" t="s">
        <v>88</v>
      </c>
    </row>
    <row r="9" spans="1:21" ht="100" x14ac:dyDescent="0.25">
      <c r="A9" s="53">
        <v>8</v>
      </c>
      <c r="B9" s="60" t="s">
        <v>89</v>
      </c>
      <c r="C9" s="54" t="s">
        <v>90</v>
      </c>
      <c r="D9" s="54" t="s">
        <v>50</v>
      </c>
      <c r="E9" s="54" t="s">
        <v>51</v>
      </c>
      <c r="F9" s="55" t="s">
        <v>91</v>
      </c>
      <c r="G9" s="56">
        <v>43003</v>
      </c>
      <c r="H9" s="54" t="s">
        <v>92</v>
      </c>
      <c r="I9" s="57">
        <v>43068</v>
      </c>
      <c r="J9" s="54" t="s">
        <v>54</v>
      </c>
      <c r="K9" s="54" t="s">
        <v>55</v>
      </c>
      <c r="L9" s="56"/>
      <c r="M9" s="56">
        <v>43100</v>
      </c>
      <c r="N9" s="61" t="s">
        <v>93</v>
      </c>
      <c r="O9" s="59">
        <v>44218</v>
      </c>
      <c r="P9" s="54"/>
      <c r="Q9" s="54"/>
      <c r="R9" s="54"/>
      <c r="S9" s="54"/>
      <c r="T9" s="54" t="s">
        <v>87</v>
      </c>
      <c r="U9" s="58" t="s">
        <v>88</v>
      </c>
    </row>
    <row r="10" spans="1:21" ht="100" x14ac:dyDescent="0.25">
      <c r="A10" s="53">
        <v>9</v>
      </c>
      <c r="B10" s="54" t="s">
        <v>94</v>
      </c>
      <c r="C10" s="54" t="s">
        <v>95</v>
      </c>
      <c r="D10" s="54" t="s">
        <v>50</v>
      </c>
      <c r="E10" s="54" t="s">
        <v>51</v>
      </c>
      <c r="F10" s="55" t="s">
        <v>96</v>
      </c>
      <c r="G10" s="56">
        <v>43004</v>
      </c>
      <c r="H10" s="54" t="s">
        <v>97</v>
      </c>
      <c r="I10" s="57">
        <v>43052</v>
      </c>
      <c r="J10" s="54" t="s">
        <v>54</v>
      </c>
      <c r="K10" s="54" t="s">
        <v>55</v>
      </c>
      <c r="L10" s="56"/>
      <c r="M10" s="56"/>
      <c r="N10" s="54"/>
      <c r="O10" s="54"/>
      <c r="P10" s="54"/>
      <c r="Q10" s="54"/>
      <c r="R10" s="54"/>
      <c r="S10" s="54"/>
      <c r="T10" s="54" t="s">
        <v>56</v>
      </c>
      <c r="U10" s="54" t="s">
        <v>56</v>
      </c>
    </row>
    <row r="11" spans="1:21" ht="112.5" x14ac:dyDescent="0.25">
      <c r="A11" s="53">
        <v>10</v>
      </c>
      <c r="B11" s="54" t="s">
        <v>98</v>
      </c>
      <c r="C11" s="54" t="s">
        <v>99</v>
      </c>
      <c r="D11" s="54" t="s">
        <v>50</v>
      </c>
      <c r="E11" s="54" t="s">
        <v>100</v>
      </c>
      <c r="F11" s="55" t="s">
        <v>101</v>
      </c>
      <c r="G11" s="56">
        <v>42685</v>
      </c>
      <c r="H11" s="54" t="s">
        <v>102</v>
      </c>
      <c r="I11" s="57">
        <v>42705</v>
      </c>
      <c r="J11" s="54" t="s">
        <v>103</v>
      </c>
      <c r="K11" s="54" t="s">
        <v>55</v>
      </c>
      <c r="L11" s="56"/>
      <c r="M11" s="56"/>
      <c r="N11" s="58"/>
      <c r="O11" s="58"/>
      <c r="P11" s="58"/>
      <c r="Q11" s="59"/>
      <c r="R11" s="58"/>
      <c r="S11" s="58"/>
      <c r="T11" s="54" t="s">
        <v>104</v>
      </c>
      <c r="U11" s="54" t="s">
        <v>105</v>
      </c>
    </row>
    <row r="12" spans="1:21" ht="112.5" x14ac:dyDescent="0.25">
      <c r="A12" s="53">
        <v>11</v>
      </c>
      <c r="B12" s="54" t="s">
        <v>106</v>
      </c>
      <c r="C12" s="54" t="s">
        <v>107</v>
      </c>
      <c r="D12" s="54" t="s">
        <v>50</v>
      </c>
      <c r="E12" s="54" t="s">
        <v>100</v>
      </c>
      <c r="F12" s="55" t="s">
        <v>108</v>
      </c>
      <c r="G12" s="56">
        <v>42685</v>
      </c>
      <c r="H12" s="54" t="s">
        <v>109</v>
      </c>
      <c r="I12" s="57">
        <v>42705</v>
      </c>
      <c r="J12" s="54" t="s">
        <v>103</v>
      </c>
      <c r="K12" s="54" t="s">
        <v>55</v>
      </c>
      <c r="L12" s="56"/>
      <c r="M12" s="56"/>
      <c r="N12" s="58"/>
      <c r="O12" s="58"/>
      <c r="P12" s="58"/>
      <c r="Q12" s="59"/>
      <c r="R12" s="58"/>
      <c r="S12" s="58"/>
      <c r="T12" s="54" t="s">
        <v>104</v>
      </c>
      <c r="U12" s="54" t="s">
        <v>105</v>
      </c>
    </row>
    <row r="13" spans="1:21" ht="125" x14ac:dyDescent="0.25">
      <c r="A13" s="53">
        <v>12</v>
      </c>
      <c r="B13" s="54" t="s">
        <v>110</v>
      </c>
      <c r="C13" s="54" t="s">
        <v>111</v>
      </c>
      <c r="D13" s="54" t="s">
        <v>59</v>
      </c>
      <c r="E13" s="54" t="s">
        <v>100</v>
      </c>
      <c r="F13" s="55" t="s">
        <v>112</v>
      </c>
      <c r="G13" s="56">
        <v>42601.338923611103</v>
      </c>
      <c r="H13" s="54" t="s">
        <v>113</v>
      </c>
      <c r="I13" s="57">
        <v>42621</v>
      </c>
      <c r="J13" s="54" t="s">
        <v>114</v>
      </c>
      <c r="K13" s="54" t="s">
        <v>55</v>
      </c>
      <c r="L13" s="56"/>
      <c r="M13" s="56"/>
      <c r="N13" s="58"/>
      <c r="O13" s="58"/>
      <c r="P13" s="58"/>
      <c r="Q13" s="59"/>
      <c r="R13" s="58"/>
      <c r="S13" s="58"/>
      <c r="T13" s="54" t="s">
        <v>56</v>
      </c>
      <c r="U13" s="54" t="s">
        <v>56</v>
      </c>
    </row>
    <row r="14" spans="1:21" ht="112.5" x14ac:dyDescent="0.25">
      <c r="A14" s="53">
        <v>13</v>
      </c>
      <c r="B14" s="54" t="s">
        <v>115</v>
      </c>
      <c r="C14" s="54" t="s">
        <v>116</v>
      </c>
      <c r="D14" s="54" t="s">
        <v>50</v>
      </c>
      <c r="E14" s="54" t="s">
        <v>100</v>
      </c>
      <c r="F14" s="55" t="s">
        <v>117</v>
      </c>
      <c r="G14" s="56">
        <v>42689</v>
      </c>
      <c r="H14" s="54" t="s">
        <v>118</v>
      </c>
      <c r="I14" s="57">
        <v>42705</v>
      </c>
      <c r="J14" s="54" t="s">
        <v>103</v>
      </c>
      <c r="K14" s="54" t="s">
        <v>81</v>
      </c>
      <c r="L14" s="56"/>
      <c r="M14" s="56"/>
      <c r="N14" s="58"/>
      <c r="O14" s="58"/>
      <c r="P14" s="58"/>
      <c r="Q14" s="59"/>
      <c r="R14" s="58"/>
      <c r="S14" s="58"/>
      <c r="T14" s="54" t="s">
        <v>56</v>
      </c>
      <c r="U14" s="54" t="s">
        <v>56</v>
      </c>
    </row>
    <row r="15" spans="1:21" ht="112.5" x14ac:dyDescent="0.25">
      <c r="A15" s="53">
        <v>14</v>
      </c>
      <c r="B15" s="54" t="s">
        <v>119</v>
      </c>
      <c r="C15" s="54" t="s">
        <v>120</v>
      </c>
      <c r="D15" s="54" t="s">
        <v>50</v>
      </c>
      <c r="E15" s="54" t="s">
        <v>100</v>
      </c>
      <c r="F15" s="55" t="s">
        <v>121</v>
      </c>
      <c r="G15" s="56">
        <v>42685</v>
      </c>
      <c r="H15" s="54" t="s">
        <v>122</v>
      </c>
      <c r="I15" s="57">
        <v>42705</v>
      </c>
      <c r="J15" s="54" t="s">
        <v>103</v>
      </c>
      <c r="K15" s="54" t="s">
        <v>55</v>
      </c>
      <c r="L15" s="56"/>
      <c r="M15" s="56"/>
      <c r="N15" s="58"/>
      <c r="O15" s="58"/>
      <c r="P15" s="58"/>
      <c r="Q15" s="59"/>
      <c r="R15" s="58"/>
      <c r="S15" s="58"/>
      <c r="T15" s="54" t="s">
        <v>56</v>
      </c>
      <c r="U15" s="54" t="s">
        <v>56</v>
      </c>
    </row>
    <row r="16" spans="1:21" ht="112.5" x14ac:dyDescent="0.25">
      <c r="A16" s="53">
        <v>15</v>
      </c>
      <c r="B16" s="54" t="s">
        <v>123</v>
      </c>
      <c r="C16" s="54" t="s">
        <v>124</v>
      </c>
      <c r="D16" s="54" t="s">
        <v>50</v>
      </c>
      <c r="E16" s="54" t="s">
        <v>100</v>
      </c>
      <c r="F16" s="55" t="s">
        <v>125</v>
      </c>
      <c r="G16" s="56">
        <v>43027</v>
      </c>
      <c r="H16" s="54" t="s">
        <v>126</v>
      </c>
      <c r="I16" s="57">
        <v>43035</v>
      </c>
      <c r="J16" s="54" t="s">
        <v>103</v>
      </c>
      <c r="K16" s="54" t="s">
        <v>55</v>
      </c>
      <c r="L16" s="56"/>
      <c r="M16" s="56"/>
      <c r="N16" s="54"/>
      <c r="O16" s="54"/>
      <c r="P16" s="54"/>
      <c r="Q16" s="54"/>
      <c r="R16" s="54"/>
      <c r="S16" s="54"/>
      <c r="T16" s="54" t="s">
        <v>56</v>
      </c>
      <c r="U16" s="54" t="s">
        <v>56</v>
      </c>
    </row>
    <row r="17" spans="1:21" ht="112.5" x14ac:dyDescent="0.25">
      <c r="A17" s="53">
        <v>16</v>
      </c>
      <c r="B17" s="54" t="s">
        <v>127</v>
      </c>
      <c r="C17" s="54" t="s">
        <v>128</v>
      </c>
      <c r="D17" s="54" t="s">
        <v>50</v>
      </c>
      <c r="E17" s="54" t="s">
        <v>100</v>
      </c>
      <c r="F17" s="55" t="s">
        <v>129</v>
      </c>
      <c r="G17" s="56">
        <v>43027</v>
      </c>
      <c r="H17" s="54" t="s">
        <v>130</v>
      </c>
      <c r="I17" s="57">
        <v>43035</v>
      </c>
      <c r="J17" s="54" t="s">
        <v>103</v>
      </c>
      <c r="K17" s="54" t="s">
        <v>55</v>
      </c>
      <c r="L17" s="56"/>
      <c r="M17" s="56"/>
      <c r="N17" s="54"/>
      <c r="O17" s="54"/>
      <c r="P17" s="54"/>
      <c r="Q17" s="54"/>
      <c r="R17" s="54"/>
      <c r="S17" s="54"/>
      <c r="T17" s="54" t="s">
        <v>56</v>
      </c>
      <c r="U17" s="54" t="s">
        <v>56</v>
      </c>
    </row>
    <row r="18" spans="1:21" ht="100" x14ac:dyDescent="0.25">
      <c r="A18" s="53">
        <v>17</v>
      </c>
      <c r="B18" s="54" t="s">
        <v>131</v>
      </c>
      <c r="C18" s="54" t="s">
        <v>132</v>
      </c>
      <c r="D18" s="54" t="s">
        <v>50</v>
      </c>
      <c r="E18" s="54" t="s">
        <v>100</v>
      </c>
      <c r="F18" s="55" t="s">
        <v>133</v>
      </c>
      <c r="G18" s="56">
        <v>42685</v>
      </c>
      <c r="H18" s="54" t="s">
        <v>134</v>
      </c>
      <c r="I18" s="57">
        <v>42705</v>
      </c>
      <c r="J18" s="54" t="s">
        <v>54</v>
      </c>
      <c r="K18" s="54" t="s">
        <v>55</v>
      </c>
      <c r="L18" s="56"/>
      <c r="M18" s="56"/>
      <c r="N18" s="58"/>
      <c r="O18" s="58"/>
      <c r="P18" s="58"/>
      <c r="Q18" s="59"/>
      <c r="R18" s="58"/>
      <c r="S18" s="58"/>
      <c r="T18" s="54" t="s">
        <v>104</v>
      </c>
      <c r="U18" s="54" t="s">
        <v>105</v>
      </c>
    </row>
    <row r="19" spans="1:21" ht="112.5" x14ac:dyDescent="0.25">
      <c r="A19" s="53">
        <v>18</v>
      </c>
      <c r="B19" s="54" t="s">
        <v>135</v>
      </c>
      <c r="C19" s="54" t="s">
        <v>136</v>
      </c>
      <c r="D19" s="54" t="s">
        <v>50</v>
      </c>
      <c r="E19" s="54" t="s">
        <v>100</v>
      </c>
      <c r="F19" s="55" t="s">
        <v>137</v>
      </c>
      <c r="G19" s="56">
        <v>43027</v>
      </c>
      <c r="H19" s="54" t="s">
        <v>138</v>
      </c>
      <c r="I19" s="57">
        <v>43035</v>
      </c>
      <c r="J19" s="54" t="s">
        <v>103</v>
      </c>
      <c r="K19" s="54" t="s">
        <v>55</v>
      </c>
      <c r="L19" s="56"/>
      <c r="M19" s="56"/>
      <c r="N19" s="54"/>
      <c r="O19" s="54"/>
      <c r="P19" s="54"/>
      <c r="Q19" s="54"/>
      <c r="R19" s="54"/>
      <c r="S19" s="54"/>
      <c r="T19" s="54" t="s">
        <v>56</v>
      </c>
      <c r="U19" s="54" t="s">
        <v>56</v>
      </c>
    </row>
    <row r="20" spans="1:21" ht="112.5" x14ac:dyDescent="0.25">
      <c r="A20" s="53">
        <v>19</v>
      </c>
      <c r="B20" s="54" t="s">
        <v>139</v>
      </c>
      <c r="C20" s="54" t="s">
        <v>140</v>
      </c>
      <c r="D20" s="54" t="s">
        <v>50</v>
      </c>
      <c r="E20" s="54" t="s">
        <v>141</v>
      </c>
      <c r="F20" s="55" t="s">
        <v>142</v>
      </c>
      <c r="G20" s="56">
        <v>43481</v>
      </c>
      <c r="H20" s="54" t="s">
        <v>143</v>
      </c>
      <c r="I20" s="57">
        <v>43502</v>
      </c>
      <c r="J20" s="54" t="s">
        <v>103</v>
      </c>
      <c r="K20" s="54" t="s">
        <v>55</v>
      </c>
      <c r="L20" s="56"/>
      <c r="M20" s="56"/>
      <c r="N20" s="54"/>
      <c r="O20" s="54"/>
      <c r="P20" s="54"/>
      <c r="Q20" s="54"/>
      <c r="R20" s="54"/>
      <c r="S20" s="54"/>
      <c r="T20" s="54" t="s">
        <v>56</v>
      </c>
      <c r="U20" s="54" t="s">
        <v>56</v>
      </c>
    </row>
    <row r="21" spans="1:21" ht="112.5" x14ac:dyDescent="0.25">
      <c r="A21" s="53">
        <v>20</v>
      </c>
      <c r="B21" s="54" t="s">
        <v>144</v>
      </c>
      <c r="C21" s="54" t="s">
        <v>145</v>
      </c>
      <c r="D21" s="54" t="s">
        <v>50</v>
      </c>
      <c r="E21" s="62" t="s">
        <v>141</v>
      </c>
      <c r="F21" s="55" t="s">
        <v>146</v>
      </c>
      <c r="G21" s="56">
        <v>42685</v>
      </c>
      <c r="H21" s="54" t="s">
        <v>147</v>
      </c>
      <c r="I21" s="57">
        <v>42704</v>
      </c>
      <c r="J21" s="54" t="s">
        <v>103</v>
      </c>
      <c r="K21" s="54" t="s">
        <v>55</v>
      </c>
      <c r="L21" s="56"/>
      <c r="M21" s="56"/>
      <c r="N21" s="58"/>
      <c r="O21" s="58"/>
      <c r="P21" s="58"/>
      <c r="Q21" s="59"/>
      <c r="R21" s="58"/>
      <c r="S21" s="58"/>
      <c r="T21" s="54" t="s">
        <v>104</v>
      </c>
      <c r="U21" s="54" t="s">
        <v>105</v>
      </c>
    </row>
    <row r="22" spans="1:21" ht="112.5" x14ac:dyDescent="0.25">
      <c r="A22" s="53">
        <v>21</v>
      </c>
      <c r="B22" s="54" t="s">
        <v>148</v>
      </c>
      <c r="C22" s="54" t="s">
        <v>149</v>
      </c>
      <c r="D22" s="54" t="s">
        <v>50</v>
      </c>
      <c r="E22" s="54" t="s">
        <v>141</v>
      </c>
      <c r="F22" s="55" t="s">
        <v>150</v>
      </c>
      <c r="G22" s="56">
        <v>42685</v>
      </c>
      <c r="H22" s="54" t="s">
        <v>151</v>
      </c>
      <c r="I22" s="57">
        <v>42704</v>
      </c>
      <c r="J22" s="54" t="s">
        <v>103</v>
      </c>
      <c r="K22" s="54" t="s">
        <v>55</v>
      </c>
      <c r="L22" s="56"/>
      <c r="M22" s="56"/>
      <c r="N22" s="58"/>
      <c r="O22" s="58"/>
      <c r="P22" s="58"/>
      <c r="Q22" s="59"/>
      <c r="R22" s="58"/>
      <c r="S22" s="58"/>
      <c r="T22" s="54" t="s">
        <v>104</v>
      </c>
      <c r="U22" s="54" t="s">
        <v>105</v>
      </c>
    </row>
    <row r="23" spans="1:21" ht="100" x14ac:dyDescent="0.25">
      <c r="A23" s="53">
        <v>22</v>
      </c>
      <c r="B23" s="54" t="s">
        <v>152</v>
      </c>
      <c r="C23" s="54" t="s">
        <v>153</v>
      </c>
      <c r="D23" s="54" t="s">
        <v>50</v>
      </c>
      <c r="E23" s="54" t="s">
        <v>154</v>
      </c>
      <c r="F23" s="55" t="s">
        <v>155</v>
      </c>
      <c r="G23" s="56">
        <v>43007</v>
      </c>
      <c r="H23" s="54" t="s">
        <v>156</v>
      </c>
      <c r="I23" s="57">
        <v>43063</v>
      </c>
      <c r="J23" s="54" t="s">
        <v>157</v>
      </c>
      <c r="K23" s="54" t="s">
        <v>55</v>
      </c>
      <c r="L23" s="56"/>
      <c r="M23" s="56"/>
      <c r="N23" s="54"/>
      <c r="O23" s="54"/>
      <c r="P23" s="54"/>
      <c r="Q23" s="54"/>
      <c r="R23" s="54"/>
      <c r="S23" s="54"/>
      <c r="T23" s="54" t="s">
        <v>56</v>
      </c>
      <c r="U23" s="54" t="s">
        <v>56</v>
      </c>
    </row>
    <row r="24" spans="1:21" ht="112.5" x14ac:dyDescent="0.25">
      <c r="A24" s="53">
        <v>23</v>
      </c>
      <c r="B24" s="54" t="s">
        <v>158</v>
      </c>
      <c r="C24" s="54" t="s">
        <v>159</v>
      </c>
      <c r="D24" s="54" t="s">
        <v>50</v>
      </c>
      <c r="E24" s="54" t="s">
        <v>154</v>
      </c>
      <c r="F24" s="55" t="s">
        <v>160</v>
      </c>
      <c r="G24" s="56">
        <v>43297</v>
      </c>
      <c r="H24" s="54" t="s">
        <v>161</v>
      </c>
      <c r="I24" s="57">
        <v>43312</v>
      </c>
      <c r="J24" s="54" t="s">
        <v>103</v>
      </c>
      <c r="K24" s="54" t="s">
        <v>55</v>
      </c>
      <c r="L24" s="56"/>
      <c r="M24" s="56"/>
      <c r="N24" s="54"/>
      <c r="O24" s="54"/>
      <c r="P24" s="54"/>
      <c r="Q24" s="54"/>
      <c r="R24" s="54"/>
      <c r="S24" s="54"/>
      <c r="T24" s="54" t="s">
        <v>56</v>
      </c>
      <c r="U24" s="54" t="s">
        <v>56</v>
      </c>
    </row>
    <row r="25" spans="1:21" ht="75" x14ac:dyDescent="0.25">
      <c r="A25" s="53">
        <v>24</v>
      </c>
      <c r="B25" s="54" t="s">
        <v>162</v>
      </c>
      <c r="C25" s="63" t="s">
        <v>163</v>
      </c>
      <c r="D25" s="54" t="s">
        <v>50</v>
      </c>
      <c r="E25" s="64" t="s">
        <v>154</v>
      </c>
      <c r="F25" s="65" t="s">
        <v>164</v>
      </c>
      <c r="G25" s="66">
        <v>43308</v>
      </c>
      <c r="H25" s="64" t="s">
        <v>165</v>
      </c>
      <c r="I25" s="67">
        <v>43676</v>
      </c>
      <c r="J25" s="54" t="s">
        <v>166</v>
      </c>
      <c r="K25" s="54" t="s">
        <v>55</v>
      </c>
      <c r="L25" s="56"/>
      <c r="M25" s="56"/>
      <c r="N25" s="54"/>
      <c r="O25" s="54"/>
      <c r="P25" s="54"/>
      <c r="Q25" s="54"/>
      <c r="R25" s="54"/>
      <c r="S25" s="54"/>
      <c r="T25" s="54" t="s">
        <v>56</v>
      </c>
      <c r="U25" s="54" t="s">
        <v>56</v>
      </c>
    </row>
    <row r="26" spans="1:21" ht="112.5" x14ac:dyDescent="0.25">
      <c r="A26" s="53">
        <v>25</v>
      </c>
      <c r="B26" s="54" t="s">
        <v>167</v>
      </c>
      <c r="C26" s="54" t="s">
        <v>168</v>
      </c>
      <c r="D26" s="54" t="s">
        <v>50</v>
      </c>
      <c r="E26" s="54" t="s">
        <v>154</v>
      </c>
      <c r="F26" s="55" t="s">
        <v>169</v>
      </c>
      <c r="G26" s="56">
        <v>42685</v>
      </c>
      <c r="H26" s="54" t="s">
        <v>170</v>
      </c>
      <c r="I26" s="57">
        <v>42733</v>
      </c>
      <c r="J26" s="54" t="s">
        <v>103</v>
      </c>
      <c r="K26" s="54" t="s">
        <v>55</v>
      </c>
      <c r="L26" s="56"/>
      <c r="M26" s="56"/>
      <c r="N26" s="58"/>
      <c r="O26" s="58"/>
      <c r="P26" s="58"/>
      <c r="Q26" s="59"/>
      <c r="R26" s="58"/>
      <c r="S26" s="58"/>
      <c r="T26" s="54" t="s">
        <v>56</v>
      </c>
      <c r="U26" s="54" t="s">
        <v>56</v>
      </c>
    </row>
    <row r="27" spans="1:21" ht="112.5" x14ac:dyDescent="0.25">
      <c r="A27" s="53">
        <v>26</v>
      </c>
      <c r="B27" s="60" t="s">
        <v>171</v>
      </c>
      <c r="C27" s="54" t="s">
        <v>172</v>
      </c>
      <c r="D27" s="54" t="s">
        <v>173</v>
      </c>
      <c r="E27" s="54" t="s">
        <v>154</v>
      </c>
      <c r="F27" s="55" t="s">
        <v>174</v>
      </c>
      <c r="G27" s="56">
        <v>43297</v>
      </c>
      <c r="H27" s="54" t="s">
        <v>175</v>
      </c>
      <c r="I27" s="57">
        <v>43321</v>
      </c>
      <c r="J27" s="54" t="s">
        <v>103</v>
      </c>
      <c r="K27" s="54" t="s">
        <v>176</v>
      </c>
      <c r="L27" s="56"/>
      <c r="M27" s="56"/>
      <c r="N27" s="54"/>
      <c r="O27" s="54"/>
      <c r="P27" s="60" t="s">
        <v>177</v>
      </c>
      <c r="Q27" s="56" t="s">
        <v>178</v>
      </c>
      <c r="R27" s="54" t="s">
        <v>179</v>
      </c>
      <c r="S27" s="68">
        <v>44257</v>
      </c>
      <c r="T27" s="54" t="s">
        <v>56</v>
      </c>
      <c r="U27" s="54" t="s">
        <v>56</v>
      </c>
    </row>
    <row r="28" spans="1:21" ht="112.5" x14ac:dyDescent="0.25">
      <c r="A28" s="53">
        <v>27</v>
      </c>
      <c r="B28" s="54" t="s">
        <v>180</v>
      </c>
      <c r="C28" s="54" t="s">
        <v>181</v>
      </c>
      <c r="D28" s="54" t="s">
        <v>50</v>
      </c>
      <c r="E28" s="54" t="s">
        <v>154</v>
      </c>
      <c r="F28" s="55" t="s">
        <v>182</v>
      </c>
      <c r="G28" s="56">
        <v>42685</v>
      </c>
      <c r="H28" s="54" t="s">
        <v>183</v>
      </c>
      <c r="I28" s="57">
        <v>42733</v>
      </c>
      <c r="J28" s="54" t="s">
        <v>103</v>
      </c>
      <c r="K28" s="54" t="s">
        <v>55</v>
      </c>
      <c r="L28" s="56"/>
      <c r="M28" s="56"/>
      <c r="N28" s="58"/>
      <c r="O28" s="58"/>
      <c r="P28" s="58"/>
      <c r="Q28" s="59"/>
      <c r="R28" s="58"/>
      <c r="S28" s="58"/>
      <c r="T28" s="54" t="s">
        <v>56</v>
      </c>
      <c r="U28" s="54" t="s">
        <v>56</v>
      </c>
    </row>
    <row r="29" spans="1:21" ht="112.5" x14ac:dyDescent="0.25">
      <c r="A29" s="53">
        <v>28</v>
      </c>
      <c r="B29" s="54" t="s">
        <v>184</v>
      </c>
      <c r="C29" s="54" t="s">
        <v>185</v>
      </c>
      <c r="D29" s="54" t="s">
        <v>50</v>
      </c>
      <c r="E29" s="54" t="s">
        <v>154</v>
      </c>
      <c r="F29" s="55" t="s">
        <v>186</v>
      </c>
      <c r="G29" s="56">
        <v>43287</v>
      </c>
      <c r="H29" s="54" t="s">
        <v>187</v>
      </c>
      <c r="I29" s="57">
        <v>43298</v>
      </c>
      <c r="J29" s="54" t="s">
        <v>103</v>
      </c>
      <c r="K29" s="54" t="s">
        <v>55</v>
      </c>
      <c r="L29" s="56"/>
      <c r="M29" s="56"/>
      <c r="N29" s="54"/>
      <c r="O29" s="54"/>
      <c r="P29" s="54"/>
      <c r="Q29" s="54"/>
      <c r="R29" s="54"/>
      <c r="S29" s="54"/>
      <c r="T29" s="54" t="s">
        <v>56</v>
      </c>
      <c r="U29" s="54" t="s">
        <v>56</v>
      </c>
    </row>
    <row r="30" spans="1:21" ht="112.5" x14ac:dyDescent="0.25">
      <c r="A30" s="53">
        <v>29</v>
      </c>
      <c r="B30" s="69" t="s">
        <v>188</v>
      </c>
      <c r="C30" s="70" t="s">
        <v>189</v>
      </c>
      <c r="D30" s="54" t="s">
        <v>50</v>
      </c>
      <c r="E30" s="64" t="s">
        <v>154</v>
      </c>
      <c r="F30" s="65" t="s">
        <v>190</v>
      </c>
      <c r="G30" s="71">
        <v>43882</v>
      </c>
      <c r="H30" s="65" t="s">
        <v>191</v>
      </c>
      <c r="I30" s="57">
        <v>44133</v>
      </c>
      <c r="J30" s="54" t="s">
        <v>103</v>
      </c>
      <c r="K30" s="54" t="s">
        <v>55</v>
      </c>
      <c r="L30" s="56"/>
      <c r="M30" s="56"/>
      <c r="N30" s="58"/>
      <c r="O30" s="58"/>
      <c r="P30" s="58"/>
      <c r="Q30" s="59"/>
      <c r="R30" s="58"/>
      <c r="S30" s="58"/>
      <c r="T30" s="54" t="s">
        <v>56</v>
      </c>
      <c r="U30" s="54" t="s">
        <v>56</v>
      </c>
    </row>
    <row r="31" spans="1:21" ht="62.5" x14ac:dyDescent="0.25">
      <c r="A31" s="53">
        <v>30</v>
      </c>
      <c r="B31" s="54" t="s">
        <v>192</v>
      </c>
      <c r="C31" s="54" t="s">
        <v>193</v>
      </c>
      <c r="D31" s="54" t="s">
        <v>59</v>
      </c>
      <c r="E31" s="54" t="s">
        <v>154</v>
      </c>
      <c r="F31" s="55" t="s">
        <v>194</v>
      </c>
      <c r="G31" s="56">
        <v>43070</v>
      </c>
      <c r="H31" s="54" t="s">
        <v>195</v>
      </c>
      <c r="I31" s="57">
        <v>43089</v>
      </c>
      <c r="J31" s="54" t="s">
        <v>196</v>
      </c>
      <c r="K31" s="54" t="s">
        <v>81</v>
      </c>
      <c r="L31" s="56"/>
      <c r="M31" s="56"/>
      <c r="N31" s="54"/>
      <c r="O31" s="54"/>
      <c r="P31" s="54"/>
      <c r="Q31" s="54"/>
      <c r="R31" s="54"/>
      <c r="S31" s="54"/>
      <c r="T31" s="54" t="s">
        <v>56</v>
      </c>
      <c r="U31" s="54" t="s">
        <v>56</v>
      </c>
    </row>
    <row r="32" spans="1:21" ht="112.5" x14ac:dyDescent="0.25">
      <c r="A32" s="53">
        <v>31</v>
      </c>
      <c r="B32" s="54" t="s">
        <v>197</v>
      </c>
      <c r="C32" s="54" t="s">
        <v>198</v>
      </c>
      <c r="D32" s="54" t="s">
        <v>50</v>
      </c>
      <c r="E32" s="54" t="s">
        <v>154</v>
      </c>
      <c r="F32" s="55" t="s">
        <v>199</v>
      </c>
      <c r="G32" s="56">
        <v>42685</v>
      </c>
      <c r="H32" s="54" t="s">
        <v>200</v>
      </c>
      <c r="I32" s="57">
        <v>42733</v>
      </c>
      <c r="J32" s="54" t="s">
        <v>103</v>
      </c>
      <c r="K32" s="54" t="s">
        <v>55</v>
      </c>
      <c r="L32" s="56"/>
      <c r="M32" s="56"/>
      <c r="N32" s="58"/>
      <c r="O32" s="58"/>
      <c r="P32" s="58"/>
      <c r="Q32" s="59"/>
      <c r="R32" s="58"/>
      <c r="S32" s="58"/>
      <c r="T32" s="54" t="s">
        <v>56</v>
      </c>
      <c r="U32" s="54" t="s">
        <v>56</v>
      </c>
    </row>
    <row r="33" spans="1:21" ht="112.5" x14ac:dyDescent="0.25">
      <c r="A33" s="53">
        <v>32</v>
      </c>
      <c r="B33" s="54" t="s">
        <v>201</v>
      </c>
      <c r="C33" s="54" t="s">
        <v>202</v>
      </c>
      <c r="D33" s="54" t="s">
        <v>50</v>
      </c>
      <c r="E33" s="54" t="s">
        <v>154</v>
      </c>
      <c r="F33" s="72" t="s">
        <v>203</v>
      </c>
      <c r="G33" s="71">
        <v>43882</v>
      </c>
      <c r="H33" s="73" t="s">
        <v>204</v>
      </c>
      <c r="I33" s="57">
        <v>44133</v>
      </c>
      <c r="J33" s="54" t="s">
        <v>103</v>
      </c>
      <c r="K33" s="54" t="s">
        <v>55</v>
      </c>
      <c r="L33" s="56"/>
      <c r="M33" s="56"/>
      <c r="N33" s="58"/>
      <c r="O33" s="58"/>
      <c r="P33" s="58"/>
      <c r="Q33" s="59"/>
      <c r="R33" s="58"/>
      <c r="S33" s="58"/>
      <c r="T33" s="54" t="s">
        <v>56</v>
      </c>
      <c r="U33" s="54" t="s">
        <v>56</v>
      </c>
    </row>
    <row r="34" spans="1:21" ht="112.5" x14ac:dyDescent="0.25">
      <c r="A34" s="53">
        <v>33</v>
      </c>
      <c r="B34" s="54" t="s">
        <v>205</v>
      </c>
      <c r="C34" s="54" t="s">
        <v>206</v>
      </c>
      <c r="D34" s="54" t="s">
        <v>50</v>
      </c>
      <c r="E34" s="54" t="s">
        <v>154</v>
      </c>
      <c r="F34" s="55" t="s">
        <v>207</v>
      </c>
      <c r="G34" s="56">
        <v>43005</v>
      </c>
      <c r="H34" s="54" t="s">
        <v>208</v>
      </c>
      <c r="I34" s="57">
        <v>43025</v>
      </c>
      <c r="J34" s="54" t="s">
        <v>103</v>
      </c>
      <c r="K34" s="54" t="s">
        <v>55</v>
      </c>
      <c r="L34" s="56"/>
      <c r="M34" s="56"/>
      <c r="N34" s="54"/>
      <c r="O34" s="54"/>
      <c r="P34" s="54"/>
      <c r="Q34" s="54"/>
      <c r="R34" s="54"/>
      <c r="S34" s="54"/>
      <c r="T34" s="54" t="s">
        <v>56</v>
      </c>
      <c r="U34" s="54" t="s">
        <v>56</v>
      </c>
    </row>
    <row r="35" spans="1:21" ht="75" x14ac:dyDescent="0.25">
      <c r="A35" s="53">
        <v>34</v>
      </c>
      <c r="B35" s="54" t="s">
        <v>209</v>
      </c>
      <c r="C35" s="63" t="s">
        <v>210</v>
      </c>
      <c r="D35" s="54" t="s">
        <v>50</v>
      </c>
      <c r="E35" s="64" t="s">
        <v>154</v>
      </c>
      <c r="F35" s="65" t="s">
        <v>211</v>
      </c>
      <c r="G35" s="66" t="s">
        <v>212</v>
      </c>
      <c r="H35" s="64" t="s">
        <v>213</v>
      </c>
      <c r="I35" s="67">
        <v>43696</v>
      </c>
      <c r="J35" s="54" t="s">
        <v>166</v>
      </c>
      <c r="K35" s="54" t="s">
        <v>55</v>
      </c>
      <c r="L35" s="56"/>
      <c r="M35" s="56"/>
      <c r="N35" s="54"/>
      <c r="O35" s="54"/>
      <c r="P35" s="54"/>
      <c r="Q35" s="54"/>
      <c r="R35" s="54"/>
      <c r="S35" s="54"/>
      <c r="T35" s="54" t="s">
        <v>56</v>
      </c>
      <c r="U35" s="54" t="s">
        <v>56</v>
      </c>
    </row>
    <row r="36" spans="1:21" ht="100" x14ac:dyDescent="0.25">
      <c r="A36" s="53">
        <v>35</v>
      </c>
      <c r="B36" s="54" t="s">
        <v>214</v>
      </c>
      <c r="C36" s="54" t="s">
        <v>215</v>
      </c>
      <c r="D36" s="54" t="s">
        <v>173</v>
      </c>
      <c r="E36" s="54" t="s">
        <v>154</v>
      </c>
      <c r="F36" s="55" t="s">
        <v>216</v>
      </c>
      <c r="G36" s="56">
        <v>43006</v>
      </c>
      <c r="H36" s="54" t="s">
        <v>217</v>
      </c>
      <c r="I36" s="57">
        <v>43025</v>
      </c>
      <c r="J36" s="54" t="s">
        <v>54</v>
      </c>
      <c r="K36" s="54" t="s">
        <v>176</v>
      </c>
      <c r="L36" s="56"/>
      <c r="M36" s="56"/>
      <c r="N36" s="54"/>
      <c r="O36" s="54"/>
      <c r="P36" s="54" t="s">
        <v>218</v>
      </c>
      <c r="Q36" s="59">
        <v>43479</v>
      </c>
      <c r="R36" s="54" t="s">
        <v>179</v>
      </c>
      <c r="S36" s="68">
        <v>43881</v>
      </c>
      <c r="T36" s="54" t="s">
        <v>56</v>
      </c>
      <c r="U36" s="54" t="s">
        <v>56</v>
      </c>
    </row>
    <row r="37" spans="1:21" ht="100" x14ac:dyDescent="0.25">
      <c r="A37" s="53">
        <v>36</v>
      </c>
      <c r="B37" s="54" t="s">
        <v>219</v>
      </c>
      <c r="C37" s="54" t="s">
        <v>220</v>
      </c>
      <c r="D37" s="54" t="s">
        <v>50</v>
      </c>
      <c r="E37" s="54" t="s">
        <v>154</v>
      </c>
      <c r="F37" s="55" t="s">
        <v>221</v>
      </c>
      <c r="G37" s="56">
        <v>42685</v>
      </c>
      <c r="H37" s="54" t="s">
        <v>222</v>
      </c>
      <c r="I37" s="57">
        <v>42705</v>
      </c>
      <c r="J37" s="54" t="s">
        <v>54</v>
      </c>
      <c r="K37" s="54" t="s">
        <v>55</v>
      </c>
      <c r="L37" s="56"/>
      <c r="M37" s="56"/>
      <c r="N37" s="58"/>
      <c r="O37" s="58"/>
      <c r="P37" s="58"/>
      <c r="Q37" s="59"/>
      <c r="R37" s="58"/>
      <c r="S37" s="58"/>
      <c r="T37" s="54" t="s">
        <v>56</v>
      </c>
      <c r="U37" s="54" t="s">
        <v>56</v>
      </c>
    </row>
    <row r="38" spans="1:21" ht="100" x14ac:dyDescent="0.25">
      <c r="A38" s="53">
        <v>37</v>
      </c>
      <c r="B38" s="54" t="s">
        <v>223</v>
      </c>
      <c r="C38" s="54" t="s">
        <v>224</v>
      </c>
      <c r="D38" s="54" t="s">
        <v>50</v>
      </c>
      <c r="E38" s="54" t="s">
        <v>154</v>
      </c>
      <c r="F38" s="55" t="s">
        <v>225</v>
      </c>
      <c r="G38" s="56">
        <v>42685</v>
      </c>
      <c r="H38" s="54" t="s">
        <v>226</v>
      </c>
      <c r="I38" s="57">
        <v>42733</v>
      </c>
      <c r="J38" s="54" t="s">
        <v>54</v>
      </c>
      <c r="K38" s="54" t="s">
        <v>55</v>
      </c>
      <c r="L38" s="56"/>
      <c r="M38" s="56"/>
      <c r="N38" s="58"/>
      <c r="O38" s="58"/>
      <c r="P38" s="58"/>
      <c r="Q38" s="59"/>
      <c r="R38" s="58"/>
      <c r="S38" s="58"/>
      <c r="T38" s="54" t="s">
        <v>56</v>
      </c>
      <c r="U38" s="54" t="s">
        <v>56</v>
      </c>
    </row>
    <row r="39" spans="1:21" ht="100" x14ac:dyDescent="0.25">
      <c r="A39" s="53">
        <v>38</v>
      </c>
      <c r="B39" s="54" t="s">
        <v>227</v>
      </c>
      <c r="C39" s="54" t="s">
        <v>228</v>
      </c>
      <c r="D39" s="54" t="s">
        <v>50</v>
      </c>
      <c r="E39" s="54" t="s">
        <v>154</v>
      </c>
      <c r="F39" s="55" t="s">
        <v>229</v>
      </c>
      <c r="G39" s="56">
        <v>43390</v>
      </c>
      <c r="H39" s="54" t="s">
        <v>230</v>
      </c>
      <c r="I39" s="57">
        <v>43398</v>
      </c>
      <c r="J39" s="54" t="s">
        <v>54</v>
      </c>
      <c r="K39" s="54" t="s">
        <v>55</v>
      </c>
      <c r="L39" s="56"/>
      <c r="M39" s="56"/>
      <c r="N39" s="54"/>
      <c r="O39" s="54"/>
      <c r="P39" s="54"/>
      <c r="Q39" s="54"/>
      <c r="R39" s="54"/>
      <c r="S39" s="54"/>
      <c r="T39" s="54" t="s">
        <v>56</v>
      </c>
      <c r="U39" s="54" t="s">
        <v>56</v>
      </c>
    </row>
    <row r="40" spans="1:21" ht="100" x14ac:dyDescent="0.25">
      <c r="A40" s="53">
        <v>39</v>
      </c>
      <c r="B40" s="54" t="s">
        <v>231</v>
      </c>
      <c r="C40" s="54" t="s">
        <v>232</v>
      </c>
      <c r="D40" s="54" t="s">
        <v>59</v>
      </c>
      <c r="E40" s="54" t="s">
        <v>154</v>
      </c>
      <c r="F40" s="55" t="s">
        <v>233</v>
      </c>
      <c r="G40" s="56">
        <v>43006</v>
      </c>
      <c r="H40" s="54" t="s">
        <v>234</v>
      </c>
      <c r="I40" s="57">
        <v>43032</v>
      </c>
      <c r="J40" s="54" t="s">
        <v>157</v>
      </c>
      <c r="K40" s="54" t="s">
        <v>81</v>
      </c>
      <c r="L40" s="56"/>
      <c r="M40" s="56"/>
      <c r="N40" s="54"/>
      <c r="O40" s="54"/>
      <c r="P40" s="54"/>
      <c r="Q40" s="54"/>
      <c r="R40" s="54"/>
      <c r="S40" s="54"/>
      <c r="T40" s="54" t="s">
        <v>56</v>
      </c>
      <c r="U40" s="54" t="s">
        <v>56</v>
      </c>
    </row>
    <row r="41" spans="1:21" ht="100" x14ac:dyDescent="0.25">
      <c r="A41" s="53">
        <v>40</v>
      </c>
      <c r="B41" s="54" t="s">
        <v>235</v>
      </c>
      <c r="C41" s="54" t="s">
        <v>236</v>
      </c>
      <c r="D41" s="54" t="s">
        <v>50</v>
      </c>
      <c r="E41" s="54" t="s">
        <v>154</v>
      </c>
      <c r="F41" s="55" t="s">
        <v>237</v>
      </c>
      <c r="G41" s="56">
        <v>43055</v>
      </c>
      <c r="H41" s="54" t="s">
        <v>238</v>
      </c>
      <c r="I41" s="57">
        <v>43066</v>
      </c>
      <c r="J41" s="54" t="s">
        <v>54</v>
      </c>
      <c r="K41" s="54" t="s">
        <v>55</v>
      </c>
      <c r="L41" s="56"/>
      <c r="M41" s="56"/>
      <c r="N41" s="54"/>
      <c r="O41" s="54"/>
      <c r="P41" s="54"/>
      <c r="Q41" s="54"/>
      <c r="R41" s="54"/>
      <c r="S41" s="54"/>
      <c r="T41" s="54" t="s">
        <v>56</v>
      </c>
      <c r="U41" s="54" t="s">
        <v>56</v>
      </c>
    </row>
    <row r="42" spans="1:21" ht="112.5" x14ac:dyDescent="0.25">
      <c r="A42" s="53">
        <v>41</v>
      </c>
      <c r="B42" s="54" t="s">
        <v>239</v>
      </c>
      <c r="C42" s="54" t="s">
        <v>240</v>
      </c>
      <c r="D42" s="54" t="s">
        <v>50</v>
      </c>
      <c r="E42" s="54" t="s">
        <v>154</v>
      </c>
      <c r="F42" s="55" t="s">
        <v>241</v>
      </c>
      <c r="G42" s="56">
        <v>42685</v>
      </c>
      <c r="H42" s="54" t="s">
        <v>242</v>
      </c>
      <c r="I42" s="57">
        <v>42706</v>
      </c>
      <c r="J42" s="54" t="s">
        <v>103</v>
      </c>
      <c r="K42" s="54" t="s">
        <v>55</v>
      </c>
      <c r="L42" s="56"/>
      <c r="M42" s="56"/>
      <c r="N42" s="58"/>
      <c r="O42" s="58"/>
      <c r="P42" s="58"/>
      <c r="Q42" s="59"/>
      <c r="R42" s="58"/>
      <c r="S42" s="58"/>
      <c r="T42" s="54" t="s">
        <v>56</v>
      </c>
      <c r="U42" s="54" t="s">
        <v>56</v>
      </c>
    </row>
    <row r="43" spans="1:21" ht="112.5" x14ac:dyDescent="0.25">
      <c r="A43" s="53">
        <v>42</v>
      </c>
      <c r="B43" s="54" t="s">
        <v>243</v>
      </c>
      <c r="C43" s="54" t="s">
        <v>244</v>
      </c>
      <c r="D43" s="54" t="s">
        <v>50</v>
      </c>
      <c r="E43" s="54" t="s">
        <v>154</v>
      </c>
      <c r="F43" s="55" t="s">
        <v>245</v>
      </c>
      <c r="G43" s="56">
        <v>42685</v>
      </c>
      <c r="H43" s="54" t="s">
        <v>246</v>
      </c>
      <c r="I43" s="57">
        <v>42706</v>
      </c>
      <c r="J43" s="54" t="s">
        <v>103</v>
      </c>
      <c r="K43" s="54" t="s">
        <v>55</v>
      </c>
      <c r="L43" s="56"/>
      <c r="M43" s="56"/>
      <c r="N43" s="58"/>
      <c r="O43" s="58"/>
      <c r="P43" s="58"/>
      <c r="Q43" s="59"/>
      <c r="R43" s="58"/>
      <c r="S43" s="58"/>
      <c r="T43" s="54" t="s">
        <v>56</v>
      </c>
      <c r="U43" s="54" t="s">
        <v>56</v>
      </c>
    </row>
    <row r="44" spans="1:21" ht="112.5" x14ac:dyDescent="0.25">
      <c r="A44" s="53">
        <v>43</v>
      </c>
      <c r="B44" s="54" t="s">
        <v>247</v>
      </c>
      <c r="C44" s="54" t="s">
        <v>248</v>
      </c>
      <c r="D44" s="54" t="s">
        <v>50</v>
      </c>
      <c r="E44" s="54" t="s">
        <v>154</v>
      </c>
      <c r="F44" s="55" t="s">
        <v>249</v>
      </c>
      <c r="G44" s="56">
        <v>42685</v>
      </c>
      <c r="H44" s="54" t="s">
        <v>250</v>
      </c>
      <c r="I44" s="57">
        <v>42733</v>
      </c>
      <c r="J44" s="54" t="s">
        <v>103</v>
      </c>
      <c r="K44" s="54" t="s">
        <v>55</v>
      </c>
      <c r="L44" s="56"/>
      <c r="M44" s="56"/>
      <c r="N44" s="58"/>
      <c r="O44" s="58"/>
      <c r="P44" s="58"/>
      <c r="Q44" s="59"/>
      <c r="R44" s="58"/>
      <c r="S44" s="58"/>
      <c r="T44" s="54" t="s">
        <v>56</v>
      </c>
      <c r="U44" s="54" t="s">
        <v>56</v>
      </c>
    </row>
    <row r="45" spans="1:21" ht="100" x14ac:dyDescent="0.25">
      <c r="A45" s="53">
        <v>44</v>
      </c>
      <c r="B45" s="54" t="s">
        <v>251</v>
      </c>
      <c r="C45" s="54" t="s">
        <v>252</v>
      </c>
      <c r="D45" s="54" t="s">
        <v>50</v>
      </c>
      <c r="E45" s="54" t="s">
        <v>154</v>
      </c>
      <c r="F45" s="55" t="s">
        <v>253</v>
      </c>
      <c r="G45" s="56">
        <v>43077</v>
      </c>
      <c r="H45" s="54" t="s">
        <v>254</v>
      </c>
      <c r="I45" s="57">
        <v>43087</v>
      </c>
      <c r="J45" s="54" t="s">
        <v>54</v>
      </c>
      <c r="K45" s="54" t="s">
        <v>55</v>
      </c>
      <c r="L45" s="56"/>
      <c r="M45" s="56"/>
      <c r="N45" s="54"/>
      <c r="O45" s="54"/>
      <c r="P45" s="54"/>
      <c r="Q45" s="54"/>
      <c r="R45" s="54"/>
      <c r="S45" s="54"/>
      <c r="T45" s="54" t="s">
        <v>56</v>
      </c>
      <c r="U45" s="54" t="s">
        <v>56</v>
      </c>
    </row>
    <row r="46" spans="1:21" ht="100" x14ac:dyDescent="0.25">
      <c r="A46" s="53">
        <v>45</v>
      </c>
      <c r="B46" s="54" t="s">
        <v>255</v>
      </c>
      <c r="C46" s="54" t="s">
        <v>256</v>
      </c>
      <c r="D46" s="54" t="s">
        <v>50</v>
      </c>
      <c r="E46" s="54" t="s">
        <v>257</v>
      </c>
      <c r="F46" s="55" t="s">
        <v>258</v>
      </c>
      <c r="G46" s="56">
        <v>43312</v>
      </c>
      <c r="H46" s="54" t="s">
        <v>259</v>
      </c>
      <c r="I46" s="57">
        <v>43325</v>
      </c>
      <c r="J46" s="54" t="s">
        <v>54</v>
      </c>
      <c r="K46" s="54" t="s">
        <v>55</v>
      </c>
      <c r="L46" s="56"/>
      <c r="M46" s="56">
        <v>42004</v>
      </c>
      <c r="N46" s="54" t="s">
        <v>260</v>
      </c>
      <c r="O46" s="59">
        <v>44433</v>
      </c>
      <c r="P46" s="54"/>
      <c r="Q46" s="54"/>
      <c r="R46" s="54"/>
      <c r="S46" s="54"/>
      <c r="T46" s="58" t="s">
        <v>87</v>
      </c>
      <c r="U46" s="54" t="s">
        <v>88</v>
      </c>
    </row>
    <row r="47" spans="1:21" ht="112.5" x14ac:dyDescent="0.25">
      <c r="A47" s="53">
        <v>46</v>
      </c>
      <c r="B47" s="54" t="s">
        <v>261</v>
      </c>
      <c r="C47" s="54" t="s">
        <v>262</v>
      </c>
      <c r="D47" s="54" t="s">
        <v>50</v>
      </c>
      <c r="E47" s="54" t="s">
        <v>154</v>
      </c>
      <c r="F47" s="55" t="s">
        <v>263</v>
      </c>
      <c r="G47" s="56">
        <v>43006</v>
      </c>
      <c r="H47" s="54" t="s">
        <v>264</v>
      </c>
      <c r="I47" s="57">
        <v>43025</v>
      </c>
      <c r="J47" s="54" t="s">
        <v>103</v>
      </c>
      <c r="K47" s="54" t="s">
        <v>55</v>
      </c>
      <c r="L47" s="56"/>
      <c r="M47" s="56"/>
      <c r="N47" s="54"/>
      <c r="O47" s="54"/>
      <c r="P47" s="54"/>
      <c r="Q47" s="54"/>
      <c r="R47" s="54"/>
      <c r="S47" s="54"/>
      <c r="T47" s="54" t="s">
        <v>56</v>
      </c>
      <c r="U47" s="54" t="s">
        <v>56</v>
      </c>
    </row>
    <row r="48" spans="1:21" ht="112.5" x14ac:dyDescent="0.25">
      <c r="A48" s="53">
        <v>47</v>
      </c>
      <c r="B48" s="60" t="s">
        <v>265</v>
      </c>
      <c r="C48" s="54" t="s">
        <v>266</v>
      </c>
      <c r="D48" s="54" t="s">
        <v>50</v>
      </c>
      <c r="E48" s="54" t="s">
        <v>154</v>
      </c>
      <c r="F48" s="55" t="s">
        <v>267</v>
      </c>
      <c r="G48" s="71">
        <v>43882</v>
      </c>
      <c r="H48" s="54" t="s">
        <v>268</v>
      </c>
      <c r="I48" s="57">
        <v>44133</v>
      </c>
      <c r="J48" s="54" t="s">
        <v>103</v>
      </c>
      <c r="K48" s="54" t="s">
        <v>55</v>
      </c>
      <c r="L48" s="56"/>
      <c r="M48" s="56"/>
      <c r="N48" s="58"/>
      <c r="O48" s="58"/>
      <c r="P48" s="58"/>
      <c r="Q48" s="59"/>
      <c r="R48" s="58"/>
      <c r="S48" s="58"/>
      <c r="T48" s="54" t="s">
        <v>56</v>
      </c>
      <c r="U48" s="54" t="s">
        <v>56</v>
      </c>
    </row>
    <row r="49" spans="1:21" ht="112.5" x14ac:dyDescent="0.25">
      <c r="A49" s="53">
        <v>48</v>
      </c>
      <c r="B49" s="54" t="s">
        <v>269</v>
      </c>
      <c r="C49" s="54" t="s">
        <v>270</v>
      </c>
      <c r="D49" s="54" t="s">
        <v>173</v>
      </c>
      <c r="E49" s="54" t="s">
        <v>154</v>
      </c>
      <c r="F49" s="55" t="s">
        <v>271</v>
      </c>
      <c r="G49" s="56">
        <v>43293</v>
      </c>
      <c r="H49" s="54" t="s">
        <v>272</v>
      </c>
      <c r="I49" s="57">
        <v>43301</v>
      </c>
      <c r="J49" s="54" t="s">
        <v>103</v>
      </c>
      <c r="K49" s="54" t="s">
        <v>176</v>
      </c>
      <c r="L49" s="56"/>
      <c r="M49" s="56"/>
      <c r="N49" s="54"/>
      <c r="O49" s="54"/>
      <c r="P49" s="54" t="s">
        <v>273</v>
      </c>
      <c r="Q49" s="59">
        <v>43822</v>
      </c>
      <c r="R49" s="54" t="s">
        <v>179</v>
      </c>
      <c r="S49" s="68">
        <v>43843</v>
      </c>
      <c r="T49" s="54" t="s">
        <v>56</v>
      </c>
      <c r="U49" s="54" t="s">
        <v>56</v>
      </c>
    </row>
    <row r="50" spans="1:21" ht="112.5" x14ac:dyDescent="0.25">
      <c r="A50" s="53">
        <v>49</v>
      </c>
      <c r="B50" s="54" t="s">
        <v>274</v>
      </c>
      <c r="C50" s="54" t="s">
        <v>275</v>
      </c>
      <c r="D50" s="54" t="s">
        <v>50</v>
      </c>
      <c r="E50" s="54" t="s">
        <v>154</v>
      </c>
      <c r="F50" s="55" t="s">
        <v>276</v>
      </c>
      <c r="G50" s="56">
        <v>43287</v>
      </c>
      <c r="H50" s="54" t="s">
        <v>277</v>
      </c>
      <c r="I50" s="57">
        <v>43298</v>
      </c>
      <c r="J50" s="54" t="s">
        <v>103</v>
      </c>
      <c r="K50" s="54" t="s">
        <v>55</v>
      </c>
      <c r="L50" s="56"/>
      <c r="M50" s="56"/>
      <c r="N50" s="54"/>
      <c r="O50" s="54"/>
      <c r="P50" s="54"/>
      <c r="Q50" s="54"/>
      <c r="R50" s="54"/>
      <c r="S50" s="54"/>
      <c r="T50" s="54" t="s">
        <v>56</v>
      </c>
      <c r="U50" s="54" t="s">
        <v>56</v>
      </c>
    </row>
    <row r="51" spans="1:21" ht="112.5" x14ac:dyDescent="0.25">
      <c r="A51" s="53">
        <v>50</v>
      </c>
      <c r="B51" s="54" t="s">
        <v>278</v>
      </c>
      <c r="C51" s="54" t="s">
        <v>279</v>
      </c>
      <c r="D51" s="54" t="s">
        <v>50</v>
      </c>
      <c r="E51" s="54" t="s">
        <v>154</v>
      </c>
      <c r="F51" s="55" t="s">
        <v>280</v>
      </c>
      <c r="G51" s="56">
        <v>42685</v>
      </c>
      <c r="H51" s="54" t="s">
        <v>281</v>
      </c>
      <c r="I51" s="57">
        <v>42733</v>
      </c>
      <c r="J51" s="54" t="s">
        <v>103</v>
      </c>
      <c r="K51" s="54" t="s">
        <v>55</v>
      </c>
      <c r="L51" s="56"/>
      <c r="M51" s="56"/>
      <c r="N51" s="58"/>
      <c r="O51" s="58"/>
      <c r="P51" s="58"/>
      <c r="Q51" s="59"/>
      <c r="R51" s="58"/>
      <c r="S51" s="58"/>
      <c r="T51" s="54" t="s">
        <v>56</v>
      </c>
      <c r="U51" s="54" t="s">
        <v>56</v>
      </c>
    </row>
    <row r="52" spans="1:21" ht="100" x14ac:dyDescent="0.25">
      <c r="A52" s="53">
        <v>51</v>
      </c>
      <c r="B52" s="54" t="s">
        <v>282</v>
      </c>
      <c r="C52" s="54" t="s">
        <v>283</v>
      </c>
      <c r="D52" s="54" t="s">
        <v>50</v>
      </c>
      <c r="E52" s="54" t="s">
        <v>154</v>
      </c>
      <c r="F52" s="55" t="s">
        <v>284</v>
      </c>
      <c r="G52" s="56">
        <v>43011</v>
      </c>
      <c r="H52" s="54" t="s">
        <v>285</v>
      </c>
      <c r="I52" s="57">
        <v>43020</v>
      </c>
      <c r="J52" s="54" t="s">
        <v>54</v>
      </c>
      <c r="K52" s="54" t="s">
        <v>55</v>
      </c>
      <c r="L52" s="56"/>
      <c r="M52" s="56"/>
      <c r="N52" s="54"/>
      <c r="O52" s="54"/>
      <c r="P52" s="54"/>
      <c r="Q52" s="54"/>
      <c r="R52" s="54"/>
      <c r="S52" s="54"/>
      <c r="T52" s="54" t="s">
        <v>56</v>
      </c>
      <c r="U52" s="54" t="s">
        <v>56</v>
      </c>
    </row>
    <row r="53" spans="1:21" ht="100" x14ac:dyDescent="0.25">
      <c r="A53" s="53">
        <v>52</v>
      </c>
      <c r="B53" s="54" t="s">
        <v>286</v>
      </c>
      <c r="C53" s="54" t="s">
        <v>287</v>
      </c>
      <c r="D53" s="54" t="s">
        <v>50</v>
      </c>
      <c r="E53" s="54" t="s">
        <v>154</v>
      </c>
      <c r="F53" s="55" t="s">
        <v>288</v>
      </c>
      <c r="G53" s="56">
        <v>43054</v>
      </c>
      <c r="H53" s="54" t="s">
        <v>289</v>
      </c>
      <c r="I53" s="57">
        <v>43062</v>
      </c>
      <c r="J53" s="54" t="s">
        <v>54</v>
      </c>
      <c r="K53" s="54" t="s">
        <v>55</v>
      </c>
      <c r="L53" s="56"/>
      <c r="M53" s="56"/>
      <c r="N53" s="54"/>
      <c r="O53" s="54"/>
      <c r="P53" s="54"/>
      <c r="Q53" s="54"/>
      <c r="R53" s="54"/>
      <c r="S53" s="54"/>
      <c r="T53" s="54" t="s">
        <v>56</v>
      </c>
      <c r="U53" s="54" t="s">
        <v>56</v>
      </c>
    </row>
    <row r="54" spans="1:21" ht="75" x14ac:dyDescent="0.25">
      <c r="A54" s="53">
        <v>53</v>
      </c>
      <c r="B54" s="54" t="s">
        <v>290</v>
      </c>
      <c r="C54" s="63" t="s">
        <v>291</v>
      </c>
      <c r="D54" s="54" t="s">
        <v>50</v>
      </c>
      <c r="E54" s="64" t="s">
        <v>154</v>
      </c>
      <c r="F54" s="65" t="s">
        <v>292</v>
      </c>
      <c r="G54" s="66" t="s">
        <v>293</v>
      </c>
      <c r="H54" s="64" t="s">
        <v>294</v>
      </c>
      <c r="I54" s="67">
        <v>43696</v>
      </c>
      <c r="J54" s="54" t="s">
        <v>166</v>
      </c>
      <c r="K54" s="54" t="s">
        <v>55</v>
      </c>
      <c r="L54" s="56"/>
      <c r="M54" s="56"/>
      <c r="N54" s="54"/>
      <c r="O54" s="54"/>
      <c r="P54" s="54"/>
      <c r="Q54" s="54"/>
      <c r="R54" s="54"/>
      <c r="S54" s="54"/>
      <c r="T54" s="54" t="s">
        <v>56</v>
      </c>
      <c r="U54" s="54" t="s">
        <v>56</v>
      </c>
    </row>
    <row r="55" spans="1:21" ht="75" x14ac:dyDescent="0.25">
      <c r="A55" s="53">
        <v>54</v>
      </c>
      <c r="B55" s="54" t="s">
        <v>295</v>
      </c>
      <c r="C55" s="63" t="s">
        <v>296</v>
      </c>
      <c r="D55" s="54" t="s">
        <v>50</v>
      </c>
      <c r="E55" s="64" t="s">
        <v>154</v>
      </c>
      <c r="F55" s="65" t="s">
        <v>297</v>
      </c>
      <c r="G55" s="66" t="s">
        <v>293</v>
      </c>
      <c r="H55" s="64" t="s">
        <v>298</v>
      </c>
      <c r="I55" s="67">
        <v>43696</v>
      </c>
      <c r="J55" s="54" t="s">
        <v>166</v>
      </c>
      <c r="K55" s="54" t="s">
        <v>55</v>
      </c>
      <c r="L55" s="56"/>
      <c r="M55" s="56"/>
      <c r="N55" s="54"/>
      <c r="O55" s="54"/>
      <c r="P55" s="54"/>
      <c r="Q55" s="54"/>
      <c r="R55" s="54"/>
      <c r="S55" s="54"/>
      <c r="T55" s="54" t="s">
        <v>56</v>
      </c>
      <c r="U55" s="54" t="s">
        <v>56</v>
      </c>
    </row>
    <row r="56" spans="1:21" ht="75" x14ac:dyDescent="0.25">
      <c r="A56" s="53">
        <v>55</v>
      </c>
      <c r="B56" s="54" t="s">
        <v>299</v>
      </c>
      <c r="C56" s="63" t="s">
        <v>300</v>
      </c>
      <c r="D56" s="54" t="s">
        <v>50</v>
      </c>
      <c r="E56" s="64" t="s">
        <v>154</v>
      </c>
      <c r="F56" s="65" t="s">
        <v>301</v>
      </c>
      <c r="G56" s="66" t="s">
        <v>293</v>
      </c>
      <c r="H56" s="64" t="s">
        <v>302</v>
      </c>
      <c r="I56" s="67">
        <v>43696</v>
      </c>
      <c r="J56" s="54" t="s">
        <v>166</v>
      </c>
      <c r="K56" s="54" t="s">
        <v>55</v>
      </c>
      <c r="L56" s="56"/>
      <c r="M56" s="56"/>
      <c r="N56" s="54"/>
      <c r="O56" s="54"/>
      <c r="P56" s="54"/>
      <c r="Q56" s="54"/>
      <c r="R56" s="54"/>
      <c r="S56" s="54"/>
      <c r="T56" s="54" t="s">
        <v>56</v>
      </c>
      <c r="U56" s="54" t="s">
        <v>56</v>
      </c>
    </row>
    <row r="57" spans="1:21" ht="112.5" x14ac:dyDescent="0.25">
      <c r="A57" s="53">
        <v>56</v>
      </c>
      <c r="B57" s="54" t="s">
        <v>303</v>
      </c>
      <c r="C57" s="54" t="s">
        <v>304</v>
      </c>
      <c r="D57" s="54" t="s">
        <v>50</v>
      </c>
      <c r="E57" s="54" t="s">
        <v>154</v>
      </c>
      <c r="F57" s="55" t="s">
        <v>305</v>
      </c>
      <c r="G57" s="56">
        <v>43371</v>
      </c>
      <c r="H57" s="54" t="s">
        <v>306</v>
      </c>
      <c r="I57" s="57">
        <v>43395</v>
      </c>
      <c r="J57" s="54" t="s">
        <v>103</v>
      </c>
      <c r="K57" s="54" t="s">
        <v>55</v>
      </c>
      <c r="L57" s="56"/>
      <c r="M57" s="56"/>
      <c r="N57" s="54"/>
      <c r="O57" s="54"/>
      <c r="P57" s="54"/>
      <c r="Q57" s="54"/>
      <c r="R57" s="54"/>
      <c r="S57" s="54"/>
      <c r="T57" s="54" t="s">
        <v>56</v>
      </c>
      <c r="U57" s="54" t="s">
        <v>56</v>
      </c>
    </row>
    <row r="58" spans="1:21" ht="25" x14ac:dyDescent="0.25">
      <c r="A58" s="53">
        <v>57</v>
      </c>
      <c r="B58" s="54" t="s">
        <v>307</v>
      </c>
      <c r="C58" s="54" t="s">
        <v>308</v>
      </c>
      <c r="D58" s="54" t="s">
        <v>59</v>
      </c>
      <c r="E58" s="54" t="s">
        <v>154</v>
      </c>
      <c r="F58" s="55" t="s">
        <v>309</v>
      </c>
      <c r="G58" s="56">
        <v>42600.755497685197</v>
      </c>
      <c r="H58" s="54" t="s">
        <v>310</v>
      </c>
      <c r="I58" s="57">
        <v>42629</v>
      </c>
      <c r="J58" s="54" t="s">
        <v>311</v>
      </c>
      <c r="K58" s="54" t="s">
        <v>55</v>
      </c>
      <c r="L58" s="56"/>
      <c r="M58" s="56"/>
      <c r="N58" s="58"/>
      <c r="O58" s="58"/>
      <c r="P58" s="58"/>
      <c r="Q58" s="59"/>
      <c r="R58" s="58"/>
      <c r="S58" s="58"/>
      <c r="T58" s="54" t="s">
        <v>56</v>
      </c>
      <c r="U58" s="54" t="s">
        <v>56</v>
      </c>
    </row>
    <row r="59" spans="1:21" ht="112.5" x14ac:dyDescent="0.25">
      <c r="A59" s="53">
        <v>58</v>
      </c>
      <c r="B59" s="54" t="s">
        <v>312</v>
      </c>
      <c r="C59" s="54" t="s">
        <v>313</v>
      </c>
      <c r="D59" s="54" t="s">
        <v>50</v>
      </c>
      <c r="E59" s="54" t="s">
        <v>154</v>
      </c>
      <c r="F59" s="55" t="s">
        <v>314</v>
      </c>
      <c r="G59" s="56">
        <v>42685</v>
      </c>
      <c r="H59" s="54" t="s">
        <v>315</v>
      </c>
      <c r="I59" s="57">
        <v>42705</v>
      </c>
      <c r="J59" s="54" t="s">
        <v>103</v>
      </c>
      <c r="K59" s="54" t="s">
        <v>55</v>
      </c>
      <c r="L59" s="56"/>
      <c r="M59" s="56"/>
      <c r="N59" s="58"/>
      <c r="O59" s="58"/>
      <c r="P59" s="58"/>
      <c r="Q59" s="59"/>
      <c r="R59" s="58"/>
      <c r="S59" s="58"/>
      <c r="T59" s="54" t="s">
        <v>56</v>
      </c>
      <c r="U59" s="54" t="s">
        <v>56</v>
      </c>
    </row>
    <row r="60" spans="1:21" ht="75" x14ac:dyDescent="0.25">
      <c r="A60" s="53">
        <v>59</v>
      </c>
      <c r="B60" s="54" t="s">
        <v>316</v>
      </c>
      <c r="C60" s="63" t="s">
        <v>317</v>
      </c>
      <c r="D60" s="54" t="s">
        <v>50</v>
      </c>
      <c r="E60" s="64" t="s">
        <v>154</v>
      </c>
      <c r="F60" s="65" t="s">
        <v>318</v>
      </c>
      <c r="G60" s="66">
        <v>43308</v>
      </c>
      <c r="H60" s="64" t="s">
        <v>319</v>
      </c>
      <c r="I60" s="67">
        <v>43676</v>
      </c>
      <c r="J60" s="54" t="s">
        <v>166</v>
      </c>
      <c r="K60" s="54" t="s">
        <v>55</v>
      </c>
      <c r="L60" s="56"/>
      <c r="M60" s="56"/>
      <c r="N60" s="54"/>
      <c r="O60" s="54"/>
      <c r="P60" s="54"/>
      <c r="Q60" s="54"/>
      <c r="R60" s="54"/>
      <c r="S60" s="54"/>
      <c r="T60" s="54" t="s">
        <v>56</v>
      </c>
      <c r="U60" s="54" t="s">
        <v>56</v>
      </c>
    </row>
    <row r="61" spans="1:21" ht="112.5" x14ac:dyDescent="0.25">
      <c r="A61" s="53">
        <v>60</v>
      </c>
      <c r="B61" s="54" t="s">
        <v>320</v>
      </c>
      <c r="C61" s="54" t="s">
        <v>321</v>
      </c>
      <c r="D61" s="54" t="s">
        <v>50</v>
      </c>
      <c r="E61" s="54" t="s">
        <v>154</v>
      </c>
      <c r="F61" s="55" t="s">
        <v>322</v>
      </c>
      <c r="G61" s="56">
        <v>43077</v>
      </c>
      <c r="H61" s="54" t="s">
        <v>323</v>
      </c>
      <c r="I61" s="57">
        <v>43087</v>
      </c>
      <c r="J61" s="54" t="s">
        <v>103</v>
      </c>
      <c r="K61" s="54" t="s">
        <v>55</v>
      </c>
      <c r="L61" s="56"/>
      <c r="M61" s="56"/>
      <c r="N61" s="54"/>
      <c r="O61" s="59"/>
      <c r="P61" s="54"/>
      <c r="Q61" s="54"/>
      <c r="R61" s="54"/>
      <c r="S61" s="54"/>
      <c r="T61" s="54" t="s">
        <v>104</v>
      </c>
      <c r="U61" s="54" t="s">
        <v>105</v>
      </c>
    </row>
    <row r="62" spans="1:21" ht="112.5" x14ac:dyDescent="0.25">
      <c r="A62" s="53">
        <v>61</v>
      </c>
      <c r="B62" s="54" t="s">
        <v>324</v>
      </c>
      <c r="C62" s="54" t="s">
        <v>325</v>
      </c>
      <c r="D62" s="54" t="s">
        <v>50</v>
      </c>
      <c r="E62" s="54" t="s">
        <v>154</v>
      </c>
      <c r="F62" s="55" t="s">
        <v>326</v>
      </c>
      <c r="G62" s="56">
        <v>42685</v>
      </c>
      <c r="H62" s="54" t="s">
        <v>327</v>
      </c>
      <c r="I62" s="57">
        <v>42710</v>
      </c>
      <c r="J62" s="54" t="s">
        <v>103</v>
      </c>
      <c r="K62" s="54" t="s">
        <v>55</v>
      </c>
      <c r="L62" s="56"/>
      <c r="M62" s="56"/>
      <c r="N62" s="58"/>
      <c r="O62" s="58"/>
      <c r="P62" s="58"/>
      <c r="Q62" s="59"/>
      <c r="R62" s="58"/>
      <c r="S62" s="58"/>
      <c r="T62" s="54" t="s">
        <v>56</v>
      </c>
      <c r="U62" s="54" t="s">
        <v>56</v>
      </c>
    </row>
    <row r="63" spans="1:21" ht="112.5" x14ac:dyDescent="0.25">
      <c r="A63" s="53">
        <v>62</v>
      </c>
      <c r="B63" s="54" t="s">
        <v>328</v>
      </c>
      <c r="C63" s="54" t="s">
        <v>329</v>
      </c>
      <c r="D63" s="54" t="s">
        <v>50</v>
      </c>
      <c r="E63" s="54" t="s">
        <v>154</v>
      </c>
      <c r="F63" s="55" t="s">
        <v>330</v>
      </c>
      <c r="G63" s="56">
        <v>43291</v>
      </c>
      <c r="H63" s="54" t="s">
        <v>331</v>
      </c>
      <c r="I63" s="57">
        <v>43321</v>
      </c>
      <c r="J63" s="54" t="s">
        <v>103</v>
      </c>
      <c r="K63" s="54" t="s">
        <v>55</v>
      </c>
      <c r="L63" s="56"/>
      <c r="M63" s="56"/>
      <c r="N63" s="54"/>
      <c r="O63" s="54"/>
      <c r="P63" s="54"/>
      <c r="Q63" s="54"/>
      <c r="R63" s="54"/>
      <c r="S63" s="54"/>
      <c r="T63" s="54" t="s">
        <v>104</v>
      </c>
      <c r="U63" s="54" t="s">
        <v>105</v>
      </c>
    </row>
    <row r="64" spans="1:21" ht="112.5" x14ac:dyDescent="0.25">
      <c r="A64" s="53">
        <v>63</v>
      </c>
      <c r="B64" s="54" t="s">
        <v>332</v>
      </c>
      <c r="C64" s="54" t="s">
        <v>333</v>
      </c>
      <c r="D64" s="54" t="s">
        <v>50</v>
      </c>
      <c r="E64" s="54" t="s">
        <v>154</v>
      </c>
      <c r="F64" s="55" t="s">
        <v>334</v>
      </c>
      <c r="G64" s="56">
        <v>42685</v>
      </c>
      <c r="H64" s="54" t="s">
        <v>335</v>
      </c>
      <c r="I64" s="57">
        <v>42733</v>
      </c>
      <c r="J64" s="54" t="s">
        <v>103</v>
      </c>
      <c r="K64" s="54" t="s">
        <v>55</v>
      </c>
      <c r="L64" s="56"/>
      <c r="M64" s="56"/>
      <c r="N64" s="58"/>
      <c r="O64" s="58"/>
      <c r="P64" s="58"/>
      <c r="Q64" s="59"/>
      <c r="R64" s="58"/>
      <c r="S64" s="58"/>
      <c r="T64" s="54" t="s">
        <v>56</v>
      </c>
      <c r="U64" s="54" t="s">
        <v>56</v>
      </c>
    </row>
    <row r="65" spans="1:21" ht="112.5" x14ac:dyDescent="0.25">
      <c r="A65" s="53">
        <v>64</v>
      </c>
      <c r="B65" s="54" t="s">
        <v>336</v>
      </c>
      <c r="C65" s="54" t="s">
        <v>337</v>
      </c>
      <c r="D65" s="54" t="s">
        <v>50</v>
      </c>
      <c r="E65" s="54" t="s">
        <v>154</v>
      </c>
      <c r="F65" s="55" t="s">
        <v>338</v>
      </c>
      <c r="G65" s="56">
        <v>43287</v>
      </c>
      <c r="H65" s="54" t="s">
        <v>339</v>
      </c>
      <c r="I65" s="57">
        <v>43300</v>
      </c>
      <c r="J65" s="54" t="s">
        <v>103</v>
      </c>
      <c r="K65" s="54" t="s">
        <v>55</v>
      </c>
      <c r="L65" s="56"/>
      <c r="M65" s="56"/>
      <c r="N65" s="54"/>
      <c r="O65" s="54"/>
      <c r="P65" s="54"/>
      <c r="Q65" s="54"/>
      <c r="R65" s="54"/>
      <c r="S65" s="54"/>
      <c r="T65" s="54" t="s">
        <v>56</v>
      </c>
      <c r="U65" s="54" t="s">
        <v>56</v>
      </c>
    </row>
    <row r="66" spans="1:21" ht="100" x14ac:dyDescent="0.25">
      <c r="A66" s="53">
        <v>65</v>
      </c>
      <c r="B66" s="54" t="s">
        <v>340</v>
      </c>
      <c r="C66" s="54" t="s">
        <v>341</v>
      </c>
      <c r="D66" s="54" t="s">
        <v>173</v>
      </c>
      <c r="E66" s="54" t="s">
        <v>154</v>
      </c>
      <c r="F66" s="55" t="s">
        <v>342</v>
      </c>
      <c r="G66" s="56">
        <v>43006</v>
      </c>
      <c r="H66" s="54" t="s">
        <v>343</v>
      </c>
      <c r="I66" s="57">
        <v>43025</v>
      </c>
      <c r="J66" s="54" t="s">
        <v>54</v>
      </c>
      <c r="K66" s="54" t="s">
        <v>55</v>
      </c>
      <c r="L66" s="56"/>
      <c r="M66" s="56"/>
      <c r="N66" s="54"/>
      <c r="O66" s="54"/>
      <c r="P66" s="54" t="s">
        <v>344</v>
      </c>
      <c r="Q66" s="59">
        <v>43595</v>
      </c>
      <c r="R66" s="54" t="s">
        <v>179</v>
      </c>
      <c r="S66" s="59">
        <v>43595</v>
      </c>
      <c r="T66" s="54" t="s">
        <v>56</v>
      </c>
      <c r="U66" s="54" t="s">
        <v>56</v>
      </c>
    </row>
    <row r="67" spans="1:21" ht="112.5" x14ac:dyDescent="0.25">
      <c r="A67" s="53">
        <v>66</v>
      </c>
      <c r="B67" s="54" t="s">
        <v>345</v>
      </c>
      <c r="C67" s="54" t="s">
        <v>346</v>
      </c>
      <c r="D67" s="54" t="s">
        <v>50</v>
      </c>
      <c r="E67" s="54" t="s">
        <v>154</v>
      </c>
      <c r="F67" s="72" t="s">
        <v>347</v>
      </c>
      <c r="G67" s="71">
        <v>43879</v>
      </c>
      <c r="H67" s="74" t="s">
        <v>348</v>
      </c>
      <c r="I67" s="57">
        <v>44133</v>
      </c>
      <c r="J67" s="54" t="s">
        <v>103</v>
      </c>
      <c r="K67" s="54" t="s">
        <v>55</v>
      </c>
      <c r="L67" s="56"/>
      <c r="M67" s="56"/>
      <c r="N67" s="58"/>
      <c r="O67" s="58"/>
      <c r="P67" s="58"/>
      <c r="Q67" s="59"/>
      <c r="R67" s="58"/>
      <c r="S67" s="68"/>
      <c r="T67" s="54" t="s">
        <v>104</v>
      </c>
      <c r="U67" s="54" t="s">
        <v>105</v>
      </c>
    </row>
    <row r="68" spans="1:21" ht="112.5" x14ac:dyDescent="0.25">
      <c r="A68" s="53">
        <v>67</v>
      </c>
      <c r="B68" s="54" t="s">
        <v>349</v>
      </c>
      <c r="C68" s="54" t="s">
        <v>350</v>
      </c>
      <c r="D68" s="54" t="s">
        <v>50</v>
      </c>
      <c r="E68" s="54" t="s">
        <v>154</v>
      </c>
      <c r="F68" s="55" t="s">
        <v>351</v>
      </c>
      <c r="G68" s="56">
        <v>43054</v>
      </c>
      <c r="H68" s="54" t="s">
        <v>352</v>
      </c>
      <c r="I68" s="57">
        <v>43062</v>
      </c>
      <c r="J68" s="54" t="s">
        <v>103</v>
      </c>
      <c r="K68" s="54" t="s">
        <v>55</v>
      </c>
      <c r="L68" s="56"/>
      <c r="M68" s="56"/>
      <c r="N68" s="54"/>
      <c r="O68" s="54"/>
      <c r="P68" s="54"/>
      <c r="Q68" s="54"/>
      <c r="R68" s="54"/>
      <c r="S68" s="54"/>
      <c r="T68" s="54" t="s">
        <v>56</v>
      </c>
      <c r="U68" s="54" t="s">
        <v>56</v>
      </c>
    </row>
    <row r="69" spans="1:21" ht="75" x14ac:dyDescent="0.25">
      <c r="A69" s="53">
        <v>68</v>
      </c>
      <c r="B69" s="54" t="s">
        <v>353</v>
      </c>
      <c r="C69" s="63" t="s">
        <v>354</v>
      </c>
      <c r="D69" s="54" t="s">
        <v>50</v>
      </c>
      <c r="E69" s="64" t="s">
        <v>154</v>
      </c>
      <c r="F69" s="65" t="s">
        <v>355</v>
      </c>
      <c r="G69" s="66">
        <v>43308</v>
      </c>
      <c r="H69" s="64" t="s">
        <v>356</v>
      </c>
      <c r="I69" s="67">
        <v>43696</v>
      </c>
      <c r="J69" s="54" t="s">
        <v>166</v>
      </c>
      <c r="K69" s="54" t="s">
        <v>55</v>
      </c>
      <c r="L69" s="56"/>
      <c r="M69" s="56"/>
      <c r="N69" s="54"/>
      <c r="O69" s="54"/>
      <c r="P69" s="54"/>
      <c r="Q69" s="54"/>
      <c r="R69" s="54"/>
      <c r="S69" s="54"/>
      <c r="T69" s="54" t="s">
        <v>56</v>
      </c>
      <c r="U69" s="54" t="s">
        <v>56</v>
      </c>
    </row>
    <row r="70" spans="1:21" ht="100" x14ac:dyDescent="0.25">
      <c r="A70" s="53">
        <v>69</v>
      </c>
      <c r="B70" s="54" t="s">
        <v>357</v>
      </c>
      <c r="C70" s="54" t="s">
        <v>358</v>
      </c>
      <c r="D70" s="54" t="s">
        <v>50</v>
      </c>
      <c r="E70" s="54" t="s">
        <v>154</v>
      </c>
      <c r="F70" s="55" t="s">
        <v>359</v>
      </c>
      <c r="G70" s="56">
        <v>43077</v>
      </c>
      <c r="H70" s="54" t="s">
        <v>360</v>
      </c>
      <c r="I70" s="57">
        <v>43087</v>
      </c>
      <c r="J70" s="54" t="s">
        <v>54</v>
      </c>
      <c r="K70" s="54" t="s">
        <v>55</v>
      </c>
      <c r="L70" s="56"/>
      <c r="M70" s="56"/>
      <c r="N70" s="54"/>
      <c r="O70" s="54"/>
      <c r="P70" s="54"/>
      <c r="Q70" s="54"/>
      <c r="R70" s="54"/>
      <c r="S70" s="54"/>
      <c r="T70" s="54" t="s">
        <v>56</v>
      </c>
      <c r="U70" s="54" t="s">
        <v>56</v>
      </c>
    </row>
    <row r="71" spans="1:21" ht="112.5" x14ac:dyDescent="0.25">
      <c r="A71" s="53">
        <v>70</v>
      </c>
      <c r="B71" s="54" t="s">
        <v>361</v>
      </c>
      <c r="C71" s="54" t="s">
        <v>362</v>
      </c>
      <c r="D71" s="54" t="s">
        <v>50</v>
      </c>
      <c r="E71" s="54" t="s">
        <v>154</v>
      </c>
      <c r="F71" s="55" t="s">
        <v>363</v>
      </c>
      <c r="G71" s="56">
        <v>43005</v>
      </c>
      <c r="H71" s="54" t="s">
        <v>364</v>
      </c>
      <c r="I71" s="57">
        <v>43069</v>
      </c>
      <c r="J71" s="54" t="s">
        <v>103</v>
      </c>
      <c r="K71" s="54" t="s">
        <v>55</v>
      </c>
      <c r="L71" s="56"/>
      <c r="M71" s="56"/>
      <c r="N71" s="54"/>
      <c r="O71" s="54"/>
      <c r="P71" s="54"/>
      <c r="Q71" s="54"/>
      <c r="R71" s="54"/>
      <c r="S71" s="54"/>
      <c r="T71" s="54" t="s">
        <v>56</v>
      </c>
      <c r="U71" s="54" t="s">
        <v>56</v>
      </c>
    </row>
    <row r="72" spans="1:21" ht="25" x14ac:dyDescent="0.25">
      <c r="A72" s="53">
        <v>71</v>
      </c>
      <c r="B72" s="54" t="s">
        <v>365</v>
      </c>
      <c r="C72" s="54" t="s">
        <v>366</v>
      </c>
      <c r="D72" s="54" t="s">
        <v>59</v>
      </c>
      <c r="E72" s="54" t="s">
        <v>154</v>
      </c>
      <c r="F72" s="55" t="s">
        <v>367</v>
      </c>
      <c r="G72" s="56">
        <v>42600.755439814799</v>
      </c>
      <c r="H72" s="54" t="s">
        <v>368</v>
      </c>
      <c r="I72" s="57">
        <v>42629</v>
      </c>
      <c r="J72" s="54" t="s">
        <v>369</v>
      </c>
      <c r="K72" s="54" t="s">
        <v>55</v>
      </c>
      <c r="L72" s="56"/>
      <c r="M72" s="56"/>
      <c r="N72" s="58"/>
      <c r="O72" s="58"/>
      <c r="P72" s="58"/>
      <c r="Q72" s="59"/>
      <c r="R72" s="58"/>
      <c r="S72" s="58"/>
      <c r="T72" s="54" t="s">
        <v>56</v>
      </c>
      <c r="U72" s="54" t="s">
        <v>56</v>
      </c>
    </row>
    <row r="73" spans="1:21" ht="112.5" x14ac:dyDescent="0.25">
      <c r="A73" s="53">
        <v>72</v>
      </c>
      <c r="B73" s="54" t="s">
        <v>370</v>
      </c>
      <c r="C73" s="54" t="s">
        <v>371</v>
      </c>
      <c r="D73" s="54" t="s">
        <v>50</v>
      </c>
      <c r="E73" s="54" t="s">
        <v>154</v>
      </c>
      <c r="F73" s="55" t="s">
        <v>372</v>
      </c>
      <c r="G73" s="56">
        <v>42685</v>
      </c>
      <c r="H73" s="54" t="s">
        <v>373</v>
      </c>
      <c r="I73" s="57">
        <v>42733</v>
      </c>
      <c r="J73" s="54" t="s">
        <v>103</v>
      </c>
      <c r="K73" s="54" t="s">
        <v>55</v>
      </c>
      <c r="L73" s="56"/>
      <c r="M73" s="56"/>
      <c r="N73" s="58"/>
      <c r="O73" s="58"/>
      <c r="P73" s="58"/>
      <c r="Q73" s="59"/>
      <c r="R73" s="58"/>
      <c r="S73" s="58"/>
      <c r="T73" s="54" t="s">
        <v>56</v>
      </c>
      <c r="U73" s="54" t="s">
        <v>56</v>
      </c>
    </row>
    <row r="74" spans="1:21" ht="112.5" x14ac:dyDescent="0.25">
      <c r="A74" s="53">
        <v>73</v>
      </c>
      <c r="B74" s="54" t="s">
        <v>374</v>
      </c>
      <c r="C74" s="54" t="s">
        <v>375</v>
      </c>
      <c r="D74" s="54" t="s">
        <v>50</v>
      </c>
      <c r="E74" s="54" t="s">
        <v>154</v>
      </c>
      <c r="F74" s="55" t="s">
        <v>207</v>
      </c>
      <c r="G74" s="56">
        <v>43006</v>
      </c>
      <c r="H74" s="54" t="s">
        <v>376</v>
      </c>
      <c r="I74" s="57">
        <v>43025</v>
      </c>
      <c r="J74" s="54" t="s">
        <v>103</v>
      </c>
      <c r="K74" s="54" t="s">
        <v>55</v>
      </c>
      <c r="L74" s="56"/>
      <c r="M74" s="56"/>
      <c r="N74" s="54"/>
      <c r="O74" s="54"/>
      <c r="P74" s="54"/>
      <c r="Q74" s="54"/>
      <c r="R74" s="54"/>
      <c r="S74" s="54"/>
      <c r="T74" s="54" t="s">
        <v>56</v>
      </c>
      <c r="U74" s="54" t="s">
        <v>56</v>
      </c>
    </row>
    <row r="75" spans="1:21" ht="100" x14ac:dyDescent="0.25">
      <c r="A75" s="53">
        <v>74</v>
      </c>
      <c r="B75" s="54" t="s">
        <v>377</v>
      </c>
      <c r="C75" s="54" t="s">
        <v>378</v>
      </c>
      <c r="D75" s="54" t="s">
        <v>50</v>
      </c>
      <c r="E75" s="54" t="s">
        <v>154</v>
      </c>
      <c r="F75" s="55" t="s">
        <v>379</v>
      </c>
      <c r="G75" s="56">
        <v>43011</v>
      </c>
      <c r="H75" s="54" t="s">
        <v>380</v>
      </c>
      <c r="I75" s="57">
        <v>43020</v>
      </c>
      <c r="J75" s="54" t="s">
        <v>54</v>
      </c>
      <c r="K75" s="54" t="s">
        <v>55</v>
      </c>
      <c r="L75" s="56"/>
      <c r="M75" s="56"/>
      <c r="N75" s="54"/>
      <c r="O75" s="54"/>
      <c r="P75" s="54"/>
      <c r="Q75" s="54"/>
      <c r="R75" s="54"/>
      <c r="S75" s="54"/>
      <c r="T75" s="54" t="s">
        <v>56</v>
      </c>
      <c r="U75" s="54" t="s">
        <v>56</v>
      </c>
    </row>
    <row r="76" spans="1:21" ht="100" x14ac:dyDescent="0.25">
      <c r="A76" s="53">
        <v>75</v>
      </c>
      <c r="B76" s="54" t="s">
        <v>381</v>
      </c>
      <c r="C76" s="54" t="s">
        <v>382</v>
      </c>
      <c r="D76" s="54" t="s">
        <v>50</v>
      </c>
      <c r="E76" s="54" t="s">
        <v>154</v>
      </c>
      <c r="F76" s="55" t="s">
        <v>383</v>
      </c>
      <c r="G76" s="56">
        <v>43105</v>
      </c>
      <c r="H76" s="54" t="s">
        <v>384</v>
      </c>
      <c r="I76" s="57">
        <v>43115</v>
      </c>
      <c r="J76" s="54" t="s">
        <v>54</v>
      </c>
      <c r="K76" s="54" t="s">
        <v>55</v>
      </c>
      <c r="L76" s="56"/>
      <c r="M76" s="56"/>
      <c r="N76" s="54"/>
      <c r="O76" s="54"/>
      <c r="P76" s="54"/>
      <c r="Q76" s="54"/>
      <c r="R76" s="54"/>
      <c r="S76" s="54"/>
      <c r="T76" s="54" t="s">
        <v>56</v>
      </c>
      <c r="U76" s="54" t="s">
        <v>56</v>
      </c>
    </row>
    <row r="77" spans="1:21" ht="112.5" x14ac:dyDescent="0.25">
      <c r="A77" s="53">
        <v>76</v>
      </c>
      <c r="B77" s="54" t="s">
        <v>385</v>
      </c>
      <c r="C77" s="54" t="s">
        <v>386</v>
      </c>
      <c r="D77" s="54" t="s">
        <v>50</v>
      </c>
      <c r="E77" s="54" t="s">
        <v>154</v>
      </c>
      <c r="F77" s="55" t="s">
        <v>387</v>
      </c>
      <c r="G77" s="56">
        <v>42685</v>
      </c>
      <c r="H77" s="54" t="s">
        <v>388</v>
      </c>
      <c r="I77" s="57">
        <v>42733</v>
      </c>
      <c r="J77" s="54" t="s">
        <v>103</v>
      </c>
      <c r="K77" s="54" t="s">
        <v>81</v>
      </c>
      <c r="L77" s="56"/>
      <c r="M77" s="56"/>
      <c r="N77" s="58"/>
      <c r="O77" s="58"/>
      <c r="P77" s="58"/>
      <c r="Q77" s="59"/>
      <c r="R77" s="58"/>
      <c r="S77" s="58"/>
      <c r="T77" s="54" t="s">
        <v>56</v>
      </c>
      <c r="U77" s="54" t="s">
        <v>56</v>
      </c>
    </row>
    <row r="78" spans="1:21" ht="100" x14ac:dyDescent="0.25">
      <c r="A78" s="53">
        <v>77</v>
      </c>
      <c r="B78" s="54" t="s">
        <v>389</v>
      </c>
      <c r="C78" s="54" t="s">
        <v>390</v>
      </c>
      <c r="D78" s="54" t="s">
        <v>50</v>
      </c>
      <c r="E78" s="54" t="s">
        <v>154</v>
      </c>
      <c r="F78" s="55" t="s">
        <v>391</v>
      </c>
      <c r="G78" s="56">
        <v>43011</v>
      </c>
      <c r="H78" s="54" t="s">
        <v>392</v>
      </c>
      <c r="I78" s="57">
        <v>43020</v>
      </c>
      <c r="J78" s="54" t="s">
        <v>54</v>
      </c>
      <c r="K78" s="54" t="s">
        <v>55</v>
      </c>
      <c r="L78" s="56"/>
      <c r="M78" s="56"/>
      <c r="N78" s="54"/>
      <c r="O78" s="54"/>
      <c r="P78" s="54"/>
      <c r="Q78" s="54"/>
      <c r="R78" s="54"/>
      <c r="S78" s="54"/>
      <c r="T78" s="54" t="s">
        <v>56</v>
      </c>
      <c r="U78" s="54" t="s">
        <v>56</v>
      </c>
    </row>
    <row r="79" spans="1:21" ht="100" x14ac:dyDescent="0.25">
      <c r="A79" s="53">
        <v>78</v>
      </c>
      <c r="B79" s="54" t="s">
        <v>393</v>
      </c>
      <c r="C79" s="54" t="s">
        <v>394</v>
      </c>
      <c r="D79" s="54" t="s">
        <v>50</v>
      </c>
      <c r="E79" s="54" t="s">
        <v>154</v>
      </c>
      <c r="F79" s="55" t="s">
        <v>395</v>
      </c>
      <c r="G79" s="56">
        <v>43011</v>
      </c>
      <c r="H79" s="54" t="s">
        <v>396</v>
      </c>
      <c r="I79" s="57">
        <v>43020</v>
      </c>
      <c r="J79" s="54" t="s">
        <v>54</v>
      </c>
      <c r="K79" s="54" t="s">
        <v>55</v>
      </c>
      <c r="L79" s="56"/>
      <c r="M79" s="56"/>
      <c r="N79" s="54"/>
      <c r="O79" s="54"/>
      <c r="P79" s="54"/>
      <c r="Q79" s="54"/>
      <c r="R79" s="54"/>
      <c r="S79" s="54"/>
      <c r="T79" s="54" t="s">
        <v>56</v>
      </c>
      <c r="U79" s="54" t="s">
        <v>56</v>
      </c>
    </row>
    <row r="80" spans="1:21" ht="100" x14ac:dyDescent="0.25">
      <c r="A80" s="53">
        <v>79</v>
      </c>
      <c r="B80" s="54" t="s">
        <v>397</v>
      </c>
      <c r="C80" s="54" t="s">
        <v>398</v>
      </c>
      <c r="D80" s="54" t="s">
        <v>50</v>
      </c>
      <c r="E80" s="54" t="s">
        <v>154</v>
      </c>
      <c r="F80" s="55" t="s">
        <v>399</v>
      </c>
      <c r="G80" s="56">
        <v>43087</v>
      </c>
      <c r="H80" s="54" t="s">
        <v>400</v>
      </c>
      <c r="I80" s="57">
        <v>43111</v>
      </c>
      <c r="J80" s="54" t="s">
        <v>54</v>
      </c>
      <c r="K80" s="54" t="s">
        <v>55</v>
      </c>
      <c r="L80" s="56"/>
      <c r="M80" s="56"/>
      <c r="N80" s="54"/>
      <c r="O80" s="54"/>
      <c r="P80" s="54"/>
      <c r="Q80" s="54"/>
      <c r="R80" s="54"/>
      <c r="S80" s="54"/>
      <c r="T80" s="54" t="s">
        <v>56</v>
      </c>
      <c r="U80" s="54" t="s">
        <v>56</v>
      </c>
    </row>
    <row r="81" spans="1:21" ht="100" x14ac:dyDescent="0.25">
      <c r="A81" s="53">
        <v>80</v>
      </c>
      <c r="B81" s="54" t="s">
        <v>401</v>
      </c>
      <c r="C81" s="54" t="s">
        <v>402</v>
      </c>
      <c r="D81" s="54" t="s">
        <v>50</v>
      </c>
      <c r="E81" s="54" t="s">
        <v>154</v>
      </c>
      <c r="F81" s="55" t="s">
        <v>403</v>
      </c>
      <c r="G81" s="56">
        <v>42685</v>
      </c>
      <c r="H81" s="54" t="s">
        <v>404</v>
      </c>
      <c r="I81" s="57">
        <v>42733</v>
      </c>
      <c r="J81" s="54" t="s">
        <v>54</v>
      </c>
      <c r="K81" s="54" t="s">
        <v>55</v>
      </c>
      <c r="L81" s="56"/>
      <c r="M81" s="56"/>
      <c r="N81" s="58"/>
      <c r="O81" s="58"/>
      <c r="P81" s="58"/>
      <c r="Q81" s="59"/>
      <c r="R81" s="58"/>
      <c r="S81" s="58"/>
      <c r="T81" s="54" t="s">
        <v>56</v>
      </c>
      <c r="U81" s="54" t="s">
        <v>56</v>
      </c>
    </row>
    <row r="82" spans="1:21" ht="112.5" x14ac:dyDescent="0.25">
      <c r="A82" s="53">
        <v>81</v>
      </c>
      <c r="B82" s="54" t="s">
        <v>405</v>
      </c>
      <c r="C82" s="54" t="s">
        <v>406</v>
      </c>
      <c r="D82" s="54" t="s">
        <v>50</v>
      </c>
      <c r="E82" s="54" t="s">
        <v>154</v>
      </c>
      <c r="F82" s="55" t="s">
        <v>407</v>
      </c>
      <c r="G82" s="56">
        <v>43005</v>
      </c>
      <c r="H82" s="54" t="s">
        <v>408</v>
      </c>
      <c r="I82" s="57">
        <v>43025</v>
      </c>
      <c r="J82" s="54" t="s">
        <v>103</v>
      </c>
      <c r="K82" s="54" t="s">
        <v>55</v>
      </c>
      <c r="L82" s="56"/>
      <c r="M82" s="56"/>
      <c r="N82" s="54"/>
      <c r="O82" s="54"/>
      <c r="P82" s="54"/>
      <c r="Q82" s="54"/>
      <c r="R82" s="54"/>
      <c r="S82" s="54"/>
      <c r="T82" s="54" t="s">
        <v>56</v>
      </c>
      <c r="U82" s="54" t="s">
        <v>56</v>
      </c>
    </row>
    <row r="83" spans="1:21" ht="100" x14ac:dyDescent="0.25">
      <c r="A83" s="53">
        <v>82</v>
      </c>
      <c r="B83" s="54" t="s">
        <v>409</v>
      </c>
      <c r="C83" s="54" t="s">
        <v>410</v>
      </c>
      <c r="D83" s="54" t="s">
        <v>50</v>
      </c>
      <c r="E83" s="54" t="s">
        <v>154</v>
      </c>
      <c r="F83" s="55" t="s">
        <v>411</v>
      </c>
      <c r="G83" s="56">
        <v>43077</v>
      </c>
      <c r="H83" s="54" t="s">
        <v>412</v>
      </c>
      <c r="I83" s="57">
        <v>43087</v>
      </c>
      <c r="J83" s="54" t="s">
        <v>54</v>
      </c>
      <c r="K83" s="54" t="s">
        <v>55</v>
      </c>
      <c r="L83" s="56"/>
      <c r="M83" s="56"/>
      <c r="N83" s="54"/>
      <c r="O83" s="54"/>
      <c r="P83" s="54"/>
      <c r="Q83" s="54"/>
      <c r="R83" s="54"/>
      <c r="S83" s="54"/>
      <c r="T83" s="54" t="s">
        <v>56</v>
      </c>
      <c r="U83" s="54" t="s">
        <v>56</v>
      </c>
    </row>
    <row r="84" spans="1:21" ht="100" x14ac:dyDescent="0.25">
      <c r="A84" s="53">
        <v>83</v>
      </c>
      <c r="B84" s="54" t="s">
        <v>413</v>
      </c>
      <c r="C84" s="54" t="s">
        <v>414</v>
      </c>
      <c r="D84" s="54" t="s">
        <v>50</v>
      </c>
      <c r="E84" s="54" t="s">
        <v>154</v>
      </c>
      <c r="F84" s="55" t="s">
        <v>415</v>
      </c>
      <c r="G84" s="56">
        <v>42685</v>
      </c>
      <c r="H84" s="54" t="s">
        <v>416</v>
      </c>
      <c r="I84" s="57">
        <v>42706</v>
      </c>
      <c r="J84" s="54" t="s">
        <v>54</v>
      </c>
      <c r="K84" s="54" t="s">
        <v>55</v>
      </c>
      <c r="L84" s="56"/>
      <c r="M84" s="56"/>
      <c r="N84" s="58"/>
      <c r="O84" s="58"/>
      <c r="P84" s="58"/>
      <c r="Q84" s="59"/>
      <c r="R84" s="58"/>
      <c r="S84" s="58"/>
      <c r="T84" s="58" t="s">
        <v>87</v>
      </c>
      <c r="U84" s="58" t="s">
        <v>105</v>
      </c>
    </row>
    <row r="85" spans="1:21" ht="100" x14ac:dyDescent="0.25">
      <c r="A85" s="53">
        <v>84</v>
      </c>
      <c r="B85" s="54" t="s">
        <v>417</v>
      </c>
      <c r="C85" s="75" t="s">
        <v>418</v>
      </c>
      <c r="D85" s="54" t="s">
        <v>50</v>
      </c>
      <c r="E85" s="54" t="s">
        <v>154</v>
      </c>
      <c r="F85" s="76" t="s">
        <v>419</v>
      </c>
      <c r="G85" s="77">
        <v>43272</v>
      </c>
      <c r="H85" s="75" t="s">
        <v>420</v>
      </c>
      <c r="I85" s="78">
        <v>43293</v>
      </c>
      <c r="J85" s="54" t="s">
        <v>54</v>
      </c>
      <c r="K85" s="54" t="s">
        <v>55</v>
      </c>
      <c r="L85" s="56"/>
      <c r="M85" s="56"/>
      <c r="N85" s="54"/>
      <c r="O85" s="54"/>
      <c r="P85" s="54"/>
      <c r="Q85" s="54"/>
      <c r="R85" s="54"/>
      <c r="S85" s="54"/>
      <c r="T85" s="54" t="s">
        <v>56</v>
      </c>
      <c r="U85" s="54" t="s">
        <v>56</v>
      </c>
    </row>
    <row r="86" spans="1:21" ht="87.5" x14ac:dyDescent="0.25">
      <c r="A86" s="53">
        <v>85</v>
      </c>
      <c r="B86" s="79" t="s">
        <v>421</v>
      </c>
      <c r="C86" s="54" t="s">
        <v>422</v>
      </c>
      <c r="D86" s="54" t="s">
        <v>59</v>
      </c>
      <c r="E86" s="54" t="s">
        <v>154</v>
      </c>
      <c r="F86" s="72" t="s">
        <v>423</v>
      </c>
      <c r="G86" s="71">
        <v>43901</v>
      </c>
      <c r="H86" s="74" t="s">
        <v>424</v>
      </c>
      <c r="I86" s="57">
        <v>44133</v>
      </c>
      <c r="J86" s="54" t="s">
        <v>196</v>
      </c>
      <c r="K86" s="54" t="s">
        <v>55</v>
      </c>
      <c r="L86" s="56"/>
      <c r="M86" s="56"/>
      <c r="N86" s="58"/>
      <c r="O86" s="58"/>
      <c r="P86" s="58"/>
      <c r="Q86" s="59"/>
      <c r="R86" s="58"/>
      <c r="S86" s="58"/>
      <c r="T86" s="54" t="s">
        <v>56</v>
      </c>
      <c r="U86" s="54" t="s">
        <v>56</v>
      </c>
    </row>
    <row r="87" spans="1:21" ht="100" x14ac:dyDescent="0.25">
      <c r="A87" s="53">
        <v>86</v>
      </c>
      <c r="B87" s="54" t="s">
        <v>425</v>
      </c>
      <c r="C87" s="54" t="s">
        <v>426</v>
      </c>
      <c r="D87" s="54" t="s">
        <v>50</v>
      </c>
      <c r="E87" s="54" t="s">
        <v>154</v>
      </c>
      <c r="F87" s="55" t="s">
        <v>427</v>
      </c>
      <c r="G87" s="56">
        <v>43343</v>
      </c>
      <c r="H87" s="54" t="s">
        <v>428</v>
      </c>
      <c r="I87" s="57">
        <v>43404</v>
      </c>
      <c r="J87" s="54" t="s">
        <v>54</v>
      </c>
      <c r="K87" s="54" t="s">
        <v>55</v>
      </c>
      <c r="L87" s="56"/>
      <c r="M87" s="56"/>
      <c r="N87" s="54"/>
      <c r="O87" s="54"/>
      <c r="P87" s="54"/>
      <c r="Q87" s="54"/>
      <c r="R87" s="54"/>
      <c r="S87" s="54"/>
      <c r="T87" s="54" t="s">
        <v>56</v>
      </c>
      <c r="U87" s="54" t="s">
        <v>56</v>
      </c>
    </row>
    <row r="88" spans="1:21" ht="75" x14ac:dyDescent="0.25">
      <c r="A88" s="53">
        <v>87</v>
      </c>
      <c r="B88" s="54" t="s">
        <v>429</v>
      </c>
      <c r="C88" s="63" t="s">
        <v>430</v>
      </c>
      <c r="D88" s="54" t="s">
        <v>50</v>
      </c>
      <c r="E88" s="64" t="s">
        <v>154</v>
      </c>
      <c r="F88" s="65" t="s">
        <v>431</v>
      </c>
      <c r="G88" s="66" t="s">
        <v>293</v>
      </c>
      <c r="H88" s="64" t="s">
        <v>432</v>
      </c>
      <c r="I88" s="67">
        <v>43696</v>
      </c>
      <c r="J88" s="54" t="s">
        <v>166</v>
      </c>
      <c r="K88" s="54" t="s">
        <v>55</v>
      </c>
      <c r="L88" s="56"/>
      <c r="M88" s="56"/>
      <c r="N88" s="54"/>
      <c r="O88" s="54"/>
      <c r="P88" s="54"/>
      <c r="Q88" s="54"/>
      <c r="R88" s="54"/>
      <c r="S88" s="54"/>
      <c r="T88" s="54" t="s">
        <v>56</v>
      </c>
      <c r="U88" s="54" t="s">
        <v>56</v>
      </c>
    </row>
    <row r="89" spans="1:21" ht="100" x14ac:dyDescent="0.25">
      <c r="A89" s="53">
        <v>88</v>
      </c>
      <c r="B89" s="54" t="s">
        <v>433</v>
      </c>
      <c r="C89" s="54" t="s">
        <v>434</v>
      </c>
      <c r="D89" s="54" t="s">
        <v>50</v>
      </c>
      <c r="E89" s="54" t="s">
        <v>154</v>
      </c>
      <c r="F89" s="55" t="s">
        <v>435</v>
      </c>
      <c r="G89" s="56">
        <v>42685</v>
      </c>
      <c r="H89" s="54" t="s">
        <v>436</v>
      </c>
      <c r="I89" s="57">
        <v>42705</v>
      </c>
      <c r="J89" s="54" t="s">
        <v>54</v>
      </c>
      <c r="K89" s="54" t="s">
        <v>55</v>
      </c>
      <c r="L89" s="56"/>
      <c r="M89" s="56"/>
      <c r="N89" s="58"/>
      <c r="O89" s="58"/>
      <c r="P89" s="58"/>
      <c r="Q89" s="59"/>
      <c r="R89" s="58"/>
      <c r="S89" s="58"/>
      <c r="T89" s="54" t="s">
        <v>56</v>
      </c>
      <c r="U89" s="54" t="s">
        <v>56</v>
      </c>
    </row>
    <row r="90" spans="1:21" ht="112.5" x14ac:dyDescent="0.25">
      <c r="A90" s="53">
        <v>89</v>
      </c>
      <c r="B90" s="60" t="s">
        <v>437</v>
      </c>
      <c r="C90" s="54" t="s">
        <v>438</v>
      </c>
      <c r="D90" s="54" t="s">
        <v>50</v>
      </c>
      <c r="E90" s="54" t="s">
        <v>154</v>
      </c>
      <c r="F90" s="55" t="s">
        <v>439</v>
      </c>
      <c r="G90" s="56">
        <v>43882</v>
      </c>
      <c r="H90" s="54" t="s">
        <v>440</v>
      </c>
      <c r="I90" s="57">
        <v>44133</v>
      </c>
      <c r="J90" s="54" t="s">
        <v>103</v>
      </c>
      <c r="K90" s="54" t="s">
        <v>55</v>
      </c>
      <c r="L90" s="56"/>
      <c r="M90" s="56"/>
      <c r="N90" s="58"/>
      <c r="O90" s="58"/>
      <c r="P90" s="58"/>
      <c r="Q90" s="59"/>
      <c r="R90" s="58"/>
      <c r="S90" s="58"/>
      <c r="T90" s="54" t="s">
        <v>56</v>
      </c>
      <c r="U90" s="54" t="s">
        <v>56</v>
      </c>
    </row>
    <row r="91" spans="1:21" ht="75" x14ac:dyDescent="0.25">
      <c r="A91" s="53">
        <v>90</v>
      </c>
      <c r="B91" s="54" t="s">
        <v>441</v>
      </c>
      <c r="C91" s="63" t="s">
        <v>442</v>
      </c>
      <c r="D91" s="54" t="s">
        <v>50</v>
      </c>
      <c r="E91" s="64" t="s">
        <v>154</v>
      </c>
      <c r="F91" s="65" t="s">
        <v>443</v>
      </c>
      <c r="G91" s="66" t="s">
        <v>293</v>
      </c>
      <c r="H91" s="64" t="s">
        <v>444</v>
      </c>
      <c r="I91" s="67">
        <v>43696</v>
      </c>
      <c r="J91" s="54" t="s">
        <v>166</v>
      </c>
      <c r="K91" s="54" t="s">
        <v>55</v>
      </c>
      <c r="L91" s="56"/>
      <c r="M91" s="56"/>
      <c r="N91" s="54"/>
      <c r="O91" s="54"/>
      <c r="P91" s="54"/>
      <c r="Q91" s="54"/>
      <c r="R91" s="54"/>
      <c r="S91" s="54"/>
      <c r="T91" s="54" t="s">
        <v>56</v>
      </c>
      <c r="U91" s="54" t="s">
        <v>56</v>
      </c>
    </row>
    <row r="92" spans="1:21" ht="112.5" x14ac:dyDescent="0.25">
      <c r="A92" s="53">
        <v>91</v>
      </c>
      <c r="B92" s="54" t="s">
        <v>445</v>
      </c>
      <c r="C92" s="54" t="s">
        <v>446</v>
      </c>
      <c r="D92" s="54" t="s">
        <v>50</v>
      </c>
      <c r="E92" s="54" t="s">
        <v>154</v>
      </c>
      <c r="F92" s="55" t="s">
        <v>447</v>
      </c>
      <c r="G92" s="56">
        <v>42685</v>
      </c>
      <c r="H92" s="54" t="s">
        <v>448</v>
      </c>
      <c r="I92" s="57">
        <v>42712</v>
      </c>
      <c r="J92" s="54" t="s">
        <v>103</v>
      </c>
      <c r="K92" s="54" t="s">
        <v>55</v>
      </c>
      <c r="L92" s="56"/>
      <c r="M92" s="56"/>
      <c r="N92" s="58"/>
      <c r="O92" s="58"/>
      <c r="P92" s="58"/>
      <c r="Q92" s="59"/>
      <c r="R92" s="58"/>
      <c r="S92" s="58"/>
      <c r="T92" s="54" t="s">
        <v>56</v>
      </c>
      <c r="U92" s="54" t="s">
        <v>56</v>
      </c>
    </row>
    <row r="93" spans="1:21" ht="100" x14ac:dyDescent="0.25">
      <c r="A93" s="53">
        <v>92</v>
      </c>
      <c r="B93" s="54" t="s">
        <v>449</v>
      </c>
      <c r="C93" s="54" t="s">
        <v>450</v>
      </c>
      <c r="D93" s="54" t="s">
        <v>50</v>
      </c>
      <c r="E93" s="54" t="s">
        <v>154</v>
      </c>
      <c r="F93" s="55" t="s">
        <v>451</v>
      </c>
      <c r="G93" s="56">
        <v>43006</v>
      </c>
      <c r="H93" s="54" t="s">
        <v>452</v>
      </c>
      <c r="I93" s="57">
        <v>43025</v>
      </c>
      <c r="J93" s="54" t="s">
        <v>54</v>
      </c>
      <c r="K93" s="54" t="s">
        <v>55</v>
      </c>
      <c r="L93" s="56"/>
      <c r="M93" s="56"/>
      <c r="N93" s="54"/>
      <c r="O93" s="54"/>
      <c r="P93" s="54"/>
      <c r="Q93" s="54"/>
      <c r="R93" s="54"/>
      <c r="S93" s="54"/>
      <c r="T93" s="54" t="s">
        <v>56</v>
      </c>
      <c r="U93" s="54" t="s">
        <v>56</v>
      </c>
    </row>
    <row r="94" spans="1:21" ht="50" x14ac:dyDescent="0.25">
      <c r="A94" s="53">
        <v>93</v>
      </c>
      <c r="B94" s="54" t="s">
        <v>453</v>
      </c>
      <c r="C94" s="54" t="s">
        <v>454</v>
      </c>
      <c r="D94" s="54" t="s">
        <v>59</v>
      </c>
      <c r="E94" s="54" t="s">
        <v>154</v>
      </c>
      <c r="F94" s="55" t="s">
        <v>455</v>
      </c>
      <c r="G94" s="56">
        <v>42600.755474537</v>
      </c>
      <c r="H94" s="54" t="s">
        <v>456</v>
      </c>
      <c r="I94" s="57">
        <v>42626</v>
      </c>
      <c r="J94" s="54" t="s">
        <v>311</v>
      </c>
      <c r="K94" s="54" t="s">
        <v>55</v>
      </c>
      <c r="L94" s="56"/>
      <c r="M94" s="56"/>
      <c r="N94" s="58"/>
      <c r="O94" s="58"/>
      <c r="P94" s="58"/>
      <c r="Q94" s="59"/>
      <c r="R94" s="58"/>
      <c r="S94" s="58"/>
      <c r="T94" s="54" t="s">
        <v>56</v>
      </c>
      <c r="U94" s="54" t="s">
        <v>56</v>
      </c>
    </row>
    <row r="95" spans="1:21" ht="75" x14ac:dyDescent="0.25">
      <c r="A95" s="53">
        <v>94</v>
      </c>
      <c r="B95" s="54" t="s">
        <v>457</v>
      </c>
      <c r="C95" s="63" t="s">
        <v>458</v>
      </c>
      <c r="D95" s="54" t="s">
        <v>50</v>
      </c>
      <c r="E95" s="64" t="s">
        <v>154</v>
      </c>
      <c r="F95" s="65" t="s">
        <v>459</v>
      </c>
      <c r="G95" s="66" t="s">
        <v>293</v>
      </c>
      <c r="H95" s="64" t="s">
        <v>460</v>
      </c>
      <c r="I95" s="67">
        <v>43665</v>
      </c>
      <c r="J95" s="54" t="s">
        <v>166</v>
      </c>
      <c r="K95" s="54" t="s">
        <v>55</v>
      </c>
      <c r="L95" s="56"/>
      <c r="M95" s="56"/>
      <c r="N95" s="54"/>
      <c r="O95" s="54"/>
      <c r="P95" s="54"/>
      <c r="Q95" s="54"/>
      <c r="R95" s="54"/>
      <c r="S95" s="54"/>
      <c r="T95" s="54" t="s">
        <v>56</v>
      </c>
      <c r="U95" s="54" t="s">
        <v>56</v>
      </c>
    </row>
    <row r="96" spans="1:21" ht="112.5" x14ac:dyDescent="0.25">
      <c r="A96" s="53">
        <v>95</v>
      </c>
      <c r="B96" s="80" t="s">
        <v>461</v>
      </c>
      <c r="C96" s="81" t="s">
        <v>462</v>
      </c>
      <c r="D96" s="54" t="s">
        <v>50</v>
      </c>
      <c r="E96" s="54" t="s">
        <v>154</v>
      </c>
      <c r="F96" s="72" t="s">
        <v>463</v>
      </c>
      <c r="G96" s="71">
        <v>43882</v>
      </c>
      <c r="H96" s="74" t="s">
        <v>464</v>
      </c>
      <c r="I96" s="57">
        <v>44133</v>
      </c>
      <c r="J96" s="54" t="s">
        <v>103</v>
      </c>
      <c r="K96" s="54" t="s">
        <v>55</v>
      </c>
      <c r="L96" s="56"/>
      <c r="M96" s="56"/>
      <c r="N96" s="58"/>
      <c r="O96" s="58"/>
      <c r="P96" s="58"/>
      <c r="Q96" s="59"/>
      <c r="R96" s="58"/>
      <c r="S96" s="58"/>
      <c r="T96" s="54" t="s">
        <v>56</v>
      </c>
      <c r="U96" s="54" t="s">
        <v>56</v>
      </c>
    </row>
    <row r="97" spans="1:21" ht="75" x14ac:dyDescent="0.25">
      <c r="A97" s="53">
        <v>96</v>
      </c>
      <c r="B97" s="54" t="s">
        <v>465</v>
      </c>
      <c r="C97" s="63" t="s">
        <v>466</v>
      </c>
      <c r="D97" s="54" t="s">
        <v>50</v>
      </c>
      <c r="E97" s="64" t="s">
        <v>154</v>
      </c>
      <c r="F97" s="65" t="s">
        <v>467</v>
      </c>
      <c r="G97" s="66" t="s">
        <v>293</v>
      </c>
      <c r="H97" s="64" t="s">
        <v>468</v>
      </c>
      <c r="I97" s="67">
        <v>43696</v>
      </c>
      <c r="J97" s="54" t="s">
        <v>166</v>
      </c>
      <c r="K97" s="54" t="s">
        <v>55</v>
      </c>
      <c r="L97" s="56"/>
      <c r="M97" s="56"/>
      <c r="N97" s="54"/>
      <c r="O97" s="54"/>
      <c r="P97" s="54"/>
      <c r="Q97" s="54"/>
      <c r="R97" s="54"/>
      <c r="S97" s="54"/>
      <c r="T97" s="54" t="s">
        <v>56</v>
      </c>
      <c r="U97" s="54" t="s">
        <v>56</v>
      </c>
    </row>
    <row r="98" spans="1:21" ht="100" x14ac:dyDescent="0.25">
      <c r="A98" s="53">
        <v>97</v>
      </c>
      <c r="B98" s="54" t="s">
        <v>469</v>
      </c>
      <c r="C98" s="54" t="s">
        <v>470</v>
      </c>
      <c r="D98" s="54" t="s">
        <v>173</v>
      </c>
      <c r="E98" s="54" t="s">
        <v>154</v>
      </c>
      <c r="F98" s="55" t="s">
        <v>471</v>
      </c>
      <c r="G98" s="56">
        <v>43006</v>
      </c>
      <c r="H98" s="54" t="s">
        <v>472</v>
      </c>
      <c r="I98" s="57">
        <v>43025</v>
      </c>
      <c r="J98" s="54" t="s">
        <v>54</v>
      </c>
      <c r="K98" s="54" t="s">
        <v>176</v>
      </c>
      <c r="L98" s="56"/>
      <c r="M98" s="56"/>
      <c r="N98" s="54"/>
      <c r="O98" s="54"/>
      <c r="P98" s="54" t="s">
        <v>473</v>
      </c>
      <c r="Q98" s="59">
        <v>43271</v>
      </c>
      <c r="R98" s="54" t="s">
        <v>179</v>
      </c>
      <c r="S98" s="68">
        <v>43647</v>
      </c>
      <c r="T98" s="54" t="s">
        <v>56</v>
      </c>
      <c r="U98" s="54" t="s">
        <v>56</v>
      </c>
    </row>
    <row r="99" spans="1:21" ht="100" x14ac:dyDescent="0.25">
      <c r="A99" s="53">
        <v>98</v>
      </c>
      <c r="B99" s="54" t="s">
        <v>474</v>
      </c>
      <c r="C99" s="54" t="s">
        <v>475</v>
      </c>
      <c r="D99" s="54" t="s">
        <v>50</v>
      </c>
      <c r="E99" s="54" t="s">
        <v>154</v>
      </c>
      <c r="F99" s="55" t="s">
        <v>476</v>
      </c>
      <c r="G99" s="56">
        <v>42685</v>
      </c>
      <c r="H99" s="54" t="s">
        <v>477</v>
      </c>
      <c r="I99" s="57">
        <v>42705</v>
      </c>
      <c r="J99" s="54" t="s">
        <v>54</v>
      </c>
      <c r="K99" s="54" t="s">
        <v>55</v>
      </c>
      <c r="L99" s="56"/>
      <c r="M99" s="56"/>
      <c r="N99" s="58"/>
      <c r="O99" s="58"/>
      <c r="P99" s="58"/>
      <c r="Q99" s="59"/>
      <c r="R99" s="58"/>
      <c r="S99" s="58"/>
      <c r="T99" s="54" t="s">
        <v>56</v>
      </c>
      <c r="U99" s="54" t="s">
        <v>56</v>
      </c>
    </row>
    <row r="100" spans="1:21" ht="100" x14ac:dyDescent="0.25">
      <c r="A100" s="53">
        <v>99</v>
      </c>
      <c r="B100" s="54" t="s">
        <v>478</v>
      </c>
      <c r="C100" s="54" t="s">
        <v>479</v>
      </c>
      <c r="D100" s="54" t="s">
        <v>50</v>
      </c>
      <c r="E100" s="54" t="s">
        <v>154</v>
      </c>
      <c r="F100" s="55" t="s">
        <v>480</v>
      </c>
      <c r="G100" s="56">
        <v>42685</v>
      </c>
      <c r="H100" s="54" t="s">
        <v>481</v>
      </c>
      <c r="I100" s="57">
        <v>42705</v>
      </c>
      <c r="J100" s="54" t="s">
        <v>54</v>
      </c>
      <c r="K100" s="54" t="s">
        <v>55</v>
      </c>
      <c r="L100" s="56"/>
      <c r="M100" s="56"/>
      <c r="N100" s="58"/>
      <c r="O100" s="58"/>
      <c r="P100" s="58"/>
      <c r="Q100" s="59"/>
      <c r="R100" s="58"/>
      <c r="S100" s="58"/>
      <c r="T100" s="54" t="s">
        <v>56</v>
      </c>
      <c r="U100" s="54" t="s">
        <v>56</v>
      </c>
    </row>
    <row r="101" spans="1:21" ht="100" x14ac:dyDescent="0.25">
      <c r="A101" s="53">
        <v>100</v>
      </c>
      <c r="B101" s="54" t="s">
        <v>482</v>
      </c>
      <c r="C101" s="54" t="s">
        <v>483</v>
      </c>
      <c r="D101" s="54" t="s">
        <v>50</v>
      </c>
      <c r="E101" s="54" t="s">
        <v>484</v>
      </c>
      <c r="F101" s="55" t="s">
        <v>485</v>
      </c>
      <c r="G101" s="56">
        <v>42685</v>
      </c>
      <c r="H101" s="54" t="s">
        <v>486</v>
      </c>
      <c r="I101" s="57">
        <v>42760</v>
      </c>
      <c r="J101" s="54" t="s">
        <v>54</v>
      </c>
      <c r="K101" s="54" t="s">
        <v>55</v>
      </c>
      <c r="L101" s="56"/>
      <c r="M101" s="56"/>
      <c r="N101" s="58"/>
      <c r="O101" s="58"/>
      <c r="P101" s="58"/>
      <c r="Q101" s="59"/>
      <c r="R101" s="58"/>
      <c r="S101" s="58"/>
      <c r="T101" s="54" t="s">
        <v>56</v>
      </c>
      <c r="U101" s="54" t="s">
        <v>56</v>
      </c>
    </row>
    <row r="102" spans="1:21" ht="37.5" x14ac:dyDescent="0.25">
      <c r="A102" s="53">
        <v>101</v>
      </c>
      <c r="B102" s="54" t="s">
        <v>487</v>
      </c>
      <c r="C102" s="54" t="s">
        <v>488</v>
      </c>
      <c r="D102" s="54" t="s">
        <v>59</v>
      </c>
      <c r="E102" s="54" t="s">
        <v>484</v>
      </c>
      <c r="F102" s="55" t="s">
        <v>489</v>
      </c>
      <c r="G102" s="56">
        <v>43049</v>
      </c>
      <c r="H102" s="54" t="s">
        <v>490</v>
      </c>
      <c r="I102" s="57">
        <v>43059</v>
      </c>
      <c r="J102" s="54" t="s">
        <v>491</v>
      </c>
      <c r="K102" s="54" t="s">
        <v>81</v>
      </c>
      <c r="L102" s="56"/>
      <c r="M102" s="56"/>
      <c r="N102" s="54"/>
      <c r="O102" s="54"/>
      <c r="P102" s="54"/>
      <c r="Q102" s="54"/>
      <c r="R102" s="54"/>
      <c r="S102" s="54"/>
      <c r="T102" s="54" t="s">
        <v>56</v>
      </c>
      <c r="U102" s="54" t="s">
        <v>56</v>
      </c>
    </row>
    <row r="103" spans="1:21" ht="50" x14ac:dyDescent="0.25">
      <c r="A103" s="53">
        <v>102</v>
      </c>
      <c r="B103" s="54" t="s">
        <v>492</v>
      </c>
      <c r="C103" s="54" t="s">
        <v>493</v>
      </c>
      <c r="D103" s="54" t="s">
        <v>59</v>
      </c>
      <c r="E103" s="54" t="s">
        <v>484</v>
      </c>
      <c r="F103" s="55" t="s">
        <v>494</v>
      </c>
      <c r="G103" s="56">
        <v>42601.338935185202</v>
      </c>
      <c r="H103" s="54" t="s">
        <v>495</v>
      </c>
      <c r="I103" s="57">
        <v>42622</v>
      </c>
      <c r="J103" s="54" t="s">
        <v>491</v>
      </c>
      <c r="K103" s="54" t="s">
        <v>55</v>
      </c>
      <c r="L103" s="56"/>
      <c r="M103" s="56"/>
      <c r="N103" s="58"/>
      <c r="O103" s="58"/>
      <c r="P103" s="58"/>
      <c r="Q103" s="59"/>
      <c r="R103" s="58"/>
      <c r="S103" s="58"/>
      <c r="T103" s="54" t="s">
        <v>56</v>
      </c>
      <c r="U103" s="54" t="s">
        <v>56</v>
      </c>
    </row>
    <row r="104" spans="1:21" ht="150" x14ac:dyDescent="0.25">
      <c r="A104" s="53">
        <v>103</v>
      </c>
      <c r="B104" s="54" t="s">
        <v>496</v>
      </c>
      <c r="C104" s="54" t="s">
        <v>497</v>
      </c>
      <c r="D104" s="54" t="s">
        <v>59</v>
      </c>
      <c r="E104" s="54" t="s">
        <v>484</v>
      </c>
      <c r="F104" s="55" t="s">
        <v>498</v>
      </c>
      <c r="G104" s="56">
        <v>42600.755474537</v>
      </c>
      <c r="H104" s="54" t="s">
        <v>499</v>
      </c>
      <c r="I104" s="57">
        <v>42622</v>
      </c>
      <c r="J104" s="54" t="s">
        <v>500</v>
      </c>
      <c r="K104" s="54" t="s">
        <v>55</v>
      </c>
      <c r="L104" s="56"/>
      <c r="M104" s="56"/>
      <c r="N104" s="58"/>
      <c r="O104" s="58"/>
      <c r="P104" s="58"/>
      <c r="Q104" s="59"/>
      <c r="R104" s="58"/>
      <c r="S104" s="58"/>
      <c r="T104" s="58" t="s">
        <v>87</v>
      </c>
      <c r="U104" s="58" t="s">
        <v>501</v>
      </c>
    </row>
    <row r="105" spans="1:21" ht="100" x14ac:dyDescent="0.25">
      <c r="A105" s="53">
        <v>104</v>
      </c>
      <c r="B105" s="54" t="s">
        <v>502</v>
      </c>
      <c r="C105" s="54" t="s">
        <v>503</v>
      </c>
      <c r="D105" s="54" t="s">
        <v>50</v>
      </c>
      <c r="E105" s="54" t="s">
        <v>484</v>
      </c>
      <c r="F105" s="55" t="s">
        <v>504</v>
      </c>
      <c r="G105" s="56">
        <v>43580</v>
      </c>
      <c r="H105" s="54" t="s">
        <v>505</v>
      </c>
      <c r="I105" s="57">
        <v>43593</v>
      </c>
      <c r="J105" s="54" t="s">
        <v>54</v>
      </c>
      <c r="K105" s="54" t="s">
        <v>55</v>
      </c>
      <c r="L105" s="56"/>
      <c r="M105" s="56"/>
      <c r="N105" s="54"/>
      <c r="O105" s="54"/>
      <c r="P105" s="54"/>
      <c r="Q105" s="54"/>
      <c r="R105" s="54"/>
      <c r="S105" s="54"/>
      <c r="T105" s="54" t="s">
        <v>56</v>
      </c>
      <c r="U105" s="54" t="s">
        <v>56</v>
      </c>
    </row>
    <row r="106" spans="1:21" ht="150" x14ac:dyDescent="0.25">
      <c r="A106" s="53">
        <v>105</v>
      </c>
      <c r="B106" s="54" t="s">
        <v>506</v>
      </c>
      <c r="C106" s="54" t="s">
        <v>507</v>
      </c>
      <c r="D106" s="54" t="s">
        <v>59</v>
      </c>
      <c r="E106" s="54" t="s">
        <v>484</v>
      </c>
      <c r="F106" s="55" t="s">
        <v>508</v>
      </c>
      <c r="G106" s="56">
        <v>42600.755532407398</v>
      </c>
      <c r="H106" s="54" t="s">
        <v>509</v>
      </c>
      <c r="I106" s="57">
        <v>42629</v>
      </c>
      <c r="J106" s="54" t="s">
        <v>500</v>
      </c>
      <c r="K106" s="54" t="s">
        <v>55</v>
      </c>
      <c r="L106" s="56"/>
      <c r="M106" s="56"/>
      <c r="N106" s="58"/>
      <c r="O106" s="58"/>
      <c r="P106" s="58"/>
      <c r="Q106" s="59"/>
      <c r="R106" s="58"/>
      <c r="S106" s="58"/>
      <c r="T106" s="54" t="s">
        <v>56</v>
      </c>
      <c r="U106" s="54" t="s">
        <v>56</v>
      </c>
    </row>
    <row r="107" spans="1:21" ht="87.5" x14ac:dyDescent="0.25">
      <c r="A107" s="53">
        <v>106</v>
      </c>
      <c r="B107" s="54" t="s">
        <v>510</v>
      </c>
      <c r="C107" s="54" t="s">
        <v>511</v>
      </c>
      <c r="D107" s="54" t="s">
        <v>59</v>
      </c>
      <c r="E107" s="54" t="s">
        <v>484</v>
      </c>
      <c r="F107" s="55" t="s">
        <v>512</v>
      </c>
      <c r="G107" s="56">
        <v>42685</v>
      </c>
      <c r="H107" s="54" t="s">
        <v>513</v>
      </c>
      <c r="I107" s="57">
        <v>42709</v>
      </c>
      <c r="J107" s="54" t="s">
        <v>514</v>
      </c>
      <c r="K107" s="54" t="s">
        <v>55</v>
      </c>
      <c r="L107" s="56"/>
      <c r="M107" s="56"/>
      <c r="N107" s="58"/>
      <c r="O107" s="58"/>
      <c r="P107" s="58"/>
      <c r="Q107" s="59"/>
      <c r="R107" s="58"/>
      <c r="S107" s="58"/>
      <c r="T107" s="54" t="s">
        <v>56</v>
      </c>
      <c r="U107" s="54" t="s">
        <v>56</v>
      </c>
    </row>
    <row r="108" spans="1:21" ht="37.5" x14ac:dyDescent="0.25">
      <c r="A108" s="53">
        <v>107</v>
      </c>
      <c r="B108" s="54" t="s">
        <v>515</v>
      </c>
      <c r="C108" s="54" t="s">
        <v>516</v>
      </c>
      <c r="D108" s="54" t="s">
        <v>59</v>
      </c>
      <c r="E108" s="54" t="s">
        <v>484</v>
      </c>
      <c r="F108" s="55" t="s">
        <v>517</v>
      </c>
      <c r="G108" s="56">
        <v>42600.755532407398</v>
      </c>
      <c r="H108" s="54" t="s">
        <v>518</v>
      </c>
      <c r="I108" s="57">
        <v>42622</v>
      </c>
      <c r="J108" s="54" t="s">
        <v>519</v>
      </c>
      <c r="K108" s="54" t="s">
        <v>55</v>
      </c>
      <c r="L108" s="56"/>
      <c r="M108" s="56"/>
      <c r="N108" s="58"/>
      <c r="O108" s="58"/>
      <c r="P108" s="58"/>
      <c r="Q108" s="59"/>
      <c r="R108" s="58"/>
      <c r="S108" s="58"/>
      <c r="T108" s="54" t="s">
        <v>104</v>
      </c>
      <c r="U108" s="54" t="s">
        <v>105</v>
      </c>
    </row>
    <row r="109" spans="1:21" ht="150" x14ac:dyDescent="0.25">
      <c r="A109" s="53">
        <v>108</v>
      </c>
      <c r="B109" s="54" t="s">
        <v>520</v>
      </c>
      <c r="C109" s="54" t="s">
        <v>521</v>
      </c>
      <c r="D109" s="54" t="s">
        <v>59</v>
      </c>
      <c r="E109" s="54" t="s">
        <v>484</v>
      </c>
      <c r="F109" s="55" t="s">
        <v>522</v>
      </c>
      <c r="G109" s="56">
        <v>42601.338935185202</v>
      </c>
      <c r="H109" s="54" t="s">
        <v>523</v>
      </c>
      <c r="I109" s="57">
        <v>42629</v>
      </c>
      <c r="J109" s="54" t="s">
        <v>500</v>
      </c>
      <c r="K109" s="54" t="s">
        <v>55</v>
      </c>
      <c r="L109" s="56"/>
      <c r="M109" s="56"/>
      <c r="N109" s="58"/>
      <c r="O109" s="58"/>
      <c r="P109" s="58"/>
      <c r="Q109" s="59"/>
      <c r="R109" s="58"/>
      <c r="S109" s="58"/>
      <c r="T109" s="54" t="s">
        <v>56</v>
      </c>
      <c r="U109" s="54" t="s">
        <v>56</v>
      </c>
    </row>
    <row r="110" spans="1:21" ht="100" x14ac:dyDescent="0.25">
      <c r="A110" s="53">
        <v>109</v>
      </c>
      <c r="B110" s="54" t="s">
        <v>524</v>
      </c>
      <c r="C110" s="54" t="s">
        <v>525</v>
      </c>
      <c r="D110" s="54" t="s">
        <v>50</v>
      </c>
      <c r="E110" s="54" t="s">
        <v>484</v>
      </c>
      <c r="F110" s="55" t="s">
        <v>526</v>
      </c>
      <c r="G110" s="56">
        <v>42685</v>
      </c>
      <c r="H110" s="54" t="s">
        <v>527</v>
      </c>
      <c r="I110" s="57">
        <v>42760</v>
      </c>
      <c r="J110" s="54" t="s">
        <v>54</v>
      </c>
      <c r="K110" s="54" t="s">
        <v>55</v>
      </c>
      <c r="L110" s="56"/>
      <c r="M110" s="56"/>
      <c r="N110" s="58"/>
      <c r="O110" s="58"/>
      <c r="P110" s="58"/>
      <c r="Q110" s="59"/>
      <c r="R110" s="58"/>
      <c r="S110" s="58"/>
      <c r="T110" s="54" t="s">
        <v>56</v>
      </c>
      <c r="U110" s="54" t="s">
        <v>56</v>
      </c>
    </row>
    <row r="111" spans="1:21" ht="150" x14ac:dyDescent="0.25">
      <c r="A111" s="53">
        <v>110</v>
      </c>
      <c r="B111" s="54" t="s">
        <v>528</v>
      </c>
      <c r="C111" s="54" t="s">
        <v>529</v>
      </c>
      <c r="D111" s="54" t="s">
        <v>59</v>
      </c>
      <c r="E111" s="54" t="s">
        <v>484</v>
      </c>
      <c r="F111" s="55" t="s">
        <v>530</v>
      </c>
      <c r="G111" s="56">
        <v>42601.338865740698</v>
      </c>
      <c r="H111" s="54" t="s">
        <v>531</v>
      </c>
      <c r="I111" s="57">
        <v>42622</v>
      </c>
      <c r="J111" s="54" t="s">
        <v>500</v>
      </c>
      <c r="K111" s="54" t="s">
        <v>55</v>
      </c>
      <c r="L111" s="56"/>
      <c r="M111" s="56"/>
      <c r="N111" s="58"/>
      <c r="O111" s="58"/>
      <c r="P111" s="58"/>
      <c r="Q111" s="59"/>
      <c r="R111" s="58"/>
      <c r="S111" s="58"/>
      <c r="T111" s="54" t="s">
        <v>56</v>
      </c>
      <c r="U111" s="54" t="s">
        <v>56</v>
      </c>
    </row>
    <row r="112" spans="1:21" ht="112.5" x14ac:dyDescent="0.25">
      <c r="A112" s="53">
        <v>111</v>
      </c>
      <c r="B112" s="54" t="s">
        <v>532</v>
      </c>
      <c r="C112" s="54" t="s">
        <v>533</v>
      </c>
      <c r="D112" s="54" t="s">
        <v>50</v>
      </c>
      <c r="E112" s="54" t="s">
        <v>484</v>
      </c>
      <c r="F112" s="55" t="s">
        <v>534</v>
      </c>
      <c r="G112" s="56">
        <v>43580</v>
      </c>
      <c r="H112" s="54" t="s">
        <v>535</v>
      </c>
      <c r="I112" s="57">
        <v>43593</v>
      </c>
      <c r="J112" s="54" t="s">
        <v>103</v>
      </c>
      <c r="K112" s="54" t="s">
        <v>55</v>
      </c>
      <c r="L112" s="56"/>
      <c r="M112" s="56"/>
      <c r="N112" s="54"/>
      <c r="O112" s="54"/>
      <c r="P112" s="54"/>
      <c r="Q112" s="54"/>
      <c r="R112" s="54"/>
      <c r="S112" s="54"/>
      <c r="T112" s="54" t="s">
        <v>56</v>
      </c>
      <c r="U112" s="54" t="s">
        <v>56</v>
      </c>
    </row>
    <row r="113" spans="1:21" ht="100" x14ac:dyDescent="0.25">
      <c r="A113" s="53">
        <v>112</v>
      </c>
      <c r="B113" s="54" t="s">
        <v>536</v>
      </c>
      <c r="C113" s="54" t="s">
        <v>537</v>
      </c>
      <c r="D113" s="54" t="s">
        <v>50</v>
      </c>
      <c r="E113" s="54" t="s">
        <v>484</v>
      </c>
      <c r="F113" s="55" t="s">
        <v>538</v>
      </c>
      <c r="G113" s="56">
        <v>42685</v>
      </c>
      <c r="H113" s="54" t="s">
        <v>539</v>
      </c>
      <c r="I113" s="57">
        <v>42711</v>
      </c>
      <c r="J113" s="54" t="s">
        <v>54</v>
      </c>
      <c r="K113" s="54" t="s">
        <v>55</v>
      </c>
      <c r="L113" s="56"/>
      <c r="M113" s="56"/>
      <c r="N113" s="58"/>
      <c r="O113" s="58"/>
      <c r="P113" s="58"/>
      <c r="Q113" s="59"/>
      <c r="R113" s="58"/>
      <c r="S113" s="58"/>
      <c r="T113" s="54" t="s">
        <v>56</v>
      </c>
      <c r="U113" s="54" t="s">
        <v>56</v>
      </c>
    </row>
    <row r="114" spans="1:21" ht="150" x14ac:dyDescent="0.25">
      <c r="A114" s="53">
        <v>113</v>
      </c>
      <c r="B114" s="54" t="s">
        <v>540</v>
      </c>
      <c r="C114" s="54" t="s">
        <v>541</v>
      </c>
      <c r="D114" s="54" t="s">
        <v>59</v>
      </c>
      <c r="E114" s="54" t="s">
        <v>542</v>
      </c>
      <c r="F114" s="55" t="s">
        <v>543</v>
      </c>
      <c r="G114" s="56">
        <v>43014.419884259303</v>
      </c>
      <c r="H114" s="59" t="s">
        <v>544</v>
      </c>
      <c r="I114" s="57">
        <v>43045</v>
      </c>
      <c r="J114" s="54" t="s">
        <v>500</v>
      </c>
      <c r="K114" s="54" t="s">
        <v>81</v>
      </c>
      <c r="L114" s="56"/>
      <c r="M114" s="56"/>
      <c r="N114" s="54"/>
      <c r="O114" s="54"/>
      <c r="P114" s="54"/>
      <c r="Q114" s="54"/>
      <c r="R114" s="54"/>
      <c r="S114" s="54"/>
      <c r="T114" s="54" t="s">
        <v>56</v>
      </c>
      <c r="U114" s="54" t="s">
        <v>56</v>
      </c>
    </row>
    <row r="115" spans="1:21" ht="112.5" x14ac:dyDescent="0.25">
      <c r="A115" s="53">
        <v>114</v>
      </c>
      <c r="B115" s="54" t="s">
        <v>545</v>
      </c>
      <c r="C115" s="54" t="s">
        <v>546</v>
      </c>
      <c r="D115" s="54" t="s">
        <v>50</v>
      </c>
      <c r="E115" s="54" t="s">
        <v>542</v>
      </c>
      <c r="F115" s="55" t="s">
        <v>547</v>
      </c>
      <c r="G115" s="56">
        <v>43052</v>
      </c>
      <c r="H115" s="54" t="s">
        <v>548</v>
      </c>
      <c r="I115" s="57">
        <v>43061</v>
      </c>
      <c r="J115" s="54" t="s">
        <v>103</v>
      </c>
      <c r="K115" s="54" t="s">
        <v>55</v>
      </c>
      <c r="L115" s="56"/>
      <c r="M115" s="56"/>
      <c r="N115" s="54"/>
      <c r="O115" s="54"/>
      <c r="P115" s="54"/>
      <c r="Q115" s="54"/>
      <c r="R115" s="54"/>
      <c r="S115" s="54"/>
      <c r="T115" s="54" t="s">
        <v>56</v>
      </c>
      <c r="U115" s="54" t="s">
        <v>56</v>
      </c>
    </row>
    <row r="116" spans="1:21" ht="100" x14ac:dyDescent="0.25">
      <c r="A116" s="53">
        <v>115</v>
      </c>
      <c r="B116" s="54" t="s">
        <v>549</v>
      </c>
      <c r="C116" s="54" t="s">
        <v>550</v>
      </c>
      <c r="D116" s="54" t="s">
        <v>50</v>
      </c>
      <c r="E116" s="54" t="s">
        <v>542</v>
      </c>
      <c r="F116" s="55" t="s">
        <v>551</v>
      </c>
      <c r="G116" s="56">
        <v>43280</v>
      </c>
      <c r="H116" s="54" t="s">
        <v>552</v>
      </c>
      <c r="I116" s="57">
        <v>43305</v>
      </c>
      <c r="J116" s="54" t="s">
        <v>54</v>
      </c>
      <c r="K116" s="54" t="s">
        <v>55</v>
      </c>
      <c r="L116" s="56"/>
      <c r="M116" s="56"/>
      <c r="N116" s="54"/>
      <c r="O116" s="54"/>
      <c r="P116" s="54"/>
      <c r="Q116" s="54"/>
      <c r="R116" s="54"/>
      <c r="S116" s="54"/>
      <c r="T116" s="54" t="s">
        <v>56</v>
      </c>
      <c r="U116" s="54" t="s">
        <v>56</v>
      </c>
    </row>
    <row r="117" spans="1:21" ht="112.5" x14ac:dyDescent="0.25">
      <c r="A117" s="53">
        <v>116</v>
      </c>
      <c r="B117" s="54" t="s">
        <v>553</v>
      </c>
      <c r="C117" s="54" t="s">
        <v>554</v>
      </c>
      <c r="D117" s="54" t="s">
        <v>59</v>
      </c>
      <c r="E117" s="54" t="s">
        <v>542</v>
      </c>
      <c r="F117" s="55" t="s">
        <v>555</v>
      </c>
      <c r="G117" s="56">
        <v>43308</v>
      </c>
      <c r="H117" s="54" t="s">
        <v>556</v>
      </c>
      <c r="I117" s="57">
        <v>43362</v>
      </c>
      <c r="J117" s="54" t="s">
        <v>557</v>
      </c>
      <c r="K117" s="54" t="s">
        <v>81</v>
      </c>
      <c r="L117" s="56"/>
      <c r="M117" s="56"/>
      <c r="N117" s="54"/>
      <c r="O117" s="54"/>
      <c r="P117" s="54"/>
      <c r="Q117" s="54"/>
      <c r="R117" s="54"/>
      <c r="S117" s="54"/>
      <c r="T117" s="54" t="s">
        <v>56</v>
      </c>
      <c r="U117" s="54" t="s">
        <v>56</v>
      </c>
    </row>
    <row r="118" spans="1:21" ht="112.5" x14ac:dyDescent="0.25">
      <c r="A118" s="53">
        <v>117</v>
      </c>
      <c r="B118" s="54" t="s">
        <v>558</v>
      </c>
      <c r="C118" s="54" t="s">
        <v>559</v>
      </c>
      <c r="D118" s="54" t="s">
        <v>50</v>
      </c>
      <c r="E118" s="54" t="s">
        <v>542</v>
      </c>
      <c r="F118" s="55" t="s">
        <v>560</v>
      </c>
      <c r="G118" s="56">
        <v>43280</v>
      </c>
      <c r="H118" s="54" t="s">
        <v>561</v>
      </c>
      <c r="I118" s="57">
        <v>43305</v>
      </c>
      <c r="J118" s="54" t="s">
        <v>103</v>
      </c>
      <c r="K118" s="54" t="s">
        <v>55</v>
      </c>
      <c r="L118" s="56"/>
      <c r="M118" s="56"/>
      <c r="N118" s="54"/>
      <c r="O118" s="54"/>
      <c r="P118" s="54"/>
      <c r="Q118" s="54"/>
      <c r="R118" s="54"/>
      <c r="S118" s="54"/>
      <c r="T118" s="54" t="s">
        <v>56</v>
      </c>
      <c r="U118" s="54" t="s">
        <v>56</v>
      </c>
    </row>
    <row r="119" spans="1:21" ht="100" x14ac:dyDescent="0.25">
      <c r="A119" s="53">
        <v>118</v>
      </c>
      <c r="B119" s="54" t="s">
        <v>562</v>
      </c>
      <c r="C119" s="54" t="s">
        <v>563</v>
      </c>
      <c r="D119" s="54" t="s">
        <v>173</v>
      </c>
      <c r="E119" s="54" t="s">
        <v>542</v>
      </c>
      <c r="F119" s="55" t="s">
        <v>564</v>
      </c>
      <c r="G119" s="56">
        <v>43308</v>
      </c>
      <c r="H119" s="54" t="s">
        <v>565</v>
      </c>
      <c r="I119" s="57">
        <v>43362</v>
      </c>
      <c r="J119" s="54" t="s">
        <v>54</v>
      </c>
      <c r="K119" s="54" t="s">
        <v>55</v>
      </c>
      <c r="L119" s="56"/>
      <c r="M119" s="56"/>
      <c r="N119" s="54"/>
      <c r="O119" s="54"/>
      <c r="P119" s="54" t="s">
        <v>566</v>
      </c>
      <c r="Q119" s="59">
        <v>44900</v>
      </c>
      <c r="R119" s="54" t="s">
        <v>179</v>
      </c>
      <c r="S119" s="54"/>
      <c r="T119" s="54" t="s">
        <v>56</v>
      </c>
      <c r="U119" s="54" t="s">
        <v>56</v>
      </c>
    </row>
    <row r="120" spans="1:21" ht="100" x14ac:dyDescent="0.25">
      <c r="A120" s="53">
        <v>119</v>
      </c>
      <c r="B120" s="54" t="s">
        <v>567</v>
      </c>
      <c r="C120" s="54" t="s">
        <v>568</v>
      </c>
      <c r="D120" s="54" t="s">
        <v>50</v>
      </c>
      <c r="E120" s="54" t="s">
        <v>542</v>
      </c>
      <c r="F120" s="55" t="s">
        <v>569</v>
      </c>
      <c r="G120" s="56">
        <v>42685</v>
      </c>
      <c r="H120" s="54" t="s">
        <v>570</v>
      </c>
      <c r="I120" s="57">
        <v>42718</v>
      </c>
      <c r="J120" s="54" t="s">
        <v>54</v>
      </c>
      <c r="K120" s="54" t="s">
        <v>55</v>
      </c>
      <c r="L120" s="56"/>
      <c r="M120" s="56"/>
      <c r="N120" s="58"/>
      <c r="O120" s="58"/>
      <c r="P120" s="58"/>
      <c r="Q120" s="59"/>
      <c r="R120" s="58"/>
      <c r="S120" s="58"/>
      <c r="T120" s="54" t="s">
        <v>56</v>
      </c>
      <c r="U120" s="54" t="s">
        <v>56</v>
      </c>
    </row>
    <row r="121" spans="1:21" ht="125" x14ac:dyDescent="0.25">
      <c r="A121" s="53">
        <v>120</v>
      </c>
      <c r="B121" s="54" t="s">
        <v>571</v>
      </c>
      <c r="C121" s="54" t="s">
        <v>572</v>
      </c>
      <c r="D121" s="54" t="s">
        <v>59</v>
      </c>
      <c r="E121" s="54" t="s">
        <v>542</v>
      </c>
      <c r="F121" s="55" t="s">
        <v>573</v>
      </c>
      <c r="G121" s="56">
        <v>43021.712094907401</v>
      </c>
      <c r="H121" s="59" t="s">
        <v>574</v>
      </c>
      <c r="I121" s="57">
        <v>43035</v>
      </c>
      <c r="J121" s="54" t="s">
        <v>80</v>
      </c>
      <c r="K121" s="54" t="s">
        <v>55</v>
      </c>
      <c r="L121" s="56"/>
      <c r="M121" s="56"/>
      <c r="N121" s="54"/>
      <c r="O121" s="54"/>
      <c r="P121" s="54"/>
      <c r="Q121" s="54"/>
      <c r="R121" s="54"/>
      <c r="S121" s="54"/>
      <c r="T121" s="54" t="s">
        <v>56</v>
      </c>
      <c r="U121" s="54" t="s">
        <v>56</v>
      </c>
    </row>
    <row r="122" spans="1:21" ht="125" x14ac:dyDescent="0.25">
      <c r="A122" s="53">
        <v>121</v>
      </c>
      <c r="B122" s="54" t="s">
        <v>575</v>
      </c>
      <c r="C122" s="54" t="s">
        <v>576</v>
      </c>
      <c r="D122" s="54" t="s">
        <v>59</v>
      </c>
      <c r="E122" s="54" t="s">
        <v>542</v>
      </c>
      <c r="F122" s="55" t="s">
        <v>577</v>
      </c>
      <c r="G122" s="56">
        <v>42600.7554282407</v>
      </c>
      <c r="H122" s="54" t="s">
        <v>578</v>
      </c>
      <c r="I122" s="57">
        <v>42640</v>
      </c>
      <c r="J122" s="54" t="s">
        <v>80</v>
      </c>
      <c r="K122" s="54" t="s">
        <v>81</v>
      </c>
      <c r="L122" s="56"/>
      <c r="M122" s="56"/>
      <c r="N122" s="58"/>
      <c r="O122" s="58"/>
      <c r="P122" s="58"/>
      <c r="Q122" s="59"/>
      <c r="R122" s="58"/>
      <c r="S122" s="58"/>
      <c r="T122" s="54" t="s">
        <v>56</v>
      </c>
      <c r="U122" s="54" t="s">
        <v>56</v>
      </c>
    </row>
    <row r="123" spans="1:21" ht="125" x14ac:dyDescent="0.25">
      <c r="A123" s="53">
        <v>122</v>
      </c>
      <c r="B123" s="54" t="s">
        <v>579</v>
      </c>
      <c r="C123" s="54" t="s">
        <v>580</v>
      </c>
      <c r="D123" s="54" t="s">
        <v>59</v>
      </c>
      <c r="E123" s="54" t="s">
        <v>542</v>
      </c>
      <c r="F123" s="55" t="s">
        <v>581</v>
      </c>
      <c r="G123" s="56">
        <v>42600.755405092597</v>
      </c>
      <c r="H123" s="54" t="s">
        <v>582</v>
      </c>
      <c r="I123" s="57">
        <v>42629</v>
      </c>
      <c r="J123" s="54" t="s">
        <v>80</v>
      </c>
      <c r="K123" s="54" t="s">
        <v>81</v>
      </c>
      <c r="L123" s="56"/>
      <c r="M123" s="56"/>
      <c r="N123" s="58"/>
      <c r="O123" s="58"/>
      <c r="P123" s="58"/>
      <c r="Q123" s="59"/>
      <c r="R123" s="58"/>
      <c r="S123" s="58"/>
      <c r="T123" s="54" t="s">
        <v>56</v>
      </c>
      <c r="U123" s="54" t="s">
        <v>56</v>
      </c>
    </row>
    <row r="124" spans="1:21" ht="125" x14ac:dyDescent="0.25">
      <c r="A124" s="53">
        <v>123</v>
      </c>
      <c r="B124" s="54" t="s">
        <v>583</v>
      </c>
      <c r="C124" s="54" t="s">
        <v>584</v>
      </c>
      <c r="D124" s="54" t="s">
        <v>59</v>
      </c>
      <c r="E124" s="54" t="s">
        <v>542</v>
      </c>
      <c r="F124" s="55" t="s">
        <v>585</v>
      </c>
      <c r="G124" s="56">
        <v>43280</v>
      </c>
      <c r="H124" s="54" t="s">
        <v>586</v>
      </c>
      <c r="I124" s="57">
        <v>43305</v>
      </c>
      <c r="J124" s="54" t="s">
        <v>80</v>
      </c>
      <c r="K124" s="54" t="s">
        <v>55</v>
      </c>
      <c r="L124" s="56"/>
      <c r="M124" s="56"/>
      <c r="N124" s="54"/>
      <c r="O124" s="54"/>
      <c r="P124" s="54"/>
      <c r="Q124" s="54"/>
      <c r="R124" s="54"/>
      <c r="S124" s="54"/>
      <c r="T124" s="54" t="s">
        <v>56</v>
      </c>
      <c r="U124" s="54" t="s">
        <v>56</v>
      </c>
    </row>
    <row r="125" spans="1:21" ht="100" x14ac:dyDescent="0.25">
      <c r="A125" s="53">
        <v>124</v>
      </c>
      <c r="B125" s="54" t="s">
        <v>587</v>
      </c>
      <c r="C125" s="54" t="s">
        <v>588</v>
      </c>
      <c r="D125" s="54" t="s">
        <v>173</v>
      </c>
      <c r="E125" s="54" t="s">
        <v>589</v>
      </c>
      <c r="F125" s="55" t="s">
        <v>590</v>
      </c>
      <c r="G125" s="56">
        <v>42685</v>
      </c>
      <c r="H125" s="54" t="s">
        <v>591</v>
      </c>
      <c r="I125" s="57">
        <v>42717</v>
      </c>
      <c r="J125" s="54" t="s">
        <v>54</v>
      </c>
      <c r="K125" s="54" t="s">
        <v>176</v>
      </c>
      <c r="L125" s="56"/>
      <c r="M125" s="56"/>
      <c r="N125" s="58"/>
      <c r="O125" s="58"/>
      <c r="P125" s="58" t="s">
        <v>592</v>
      </c>
      <c r="Q125" s="59">
        <v>44715</v>
      </c>
      <c r="R125" s="54" t="s">
        <v>179</v>
      </c>
      <c r="S125" s="58" t="s">
        <v>593</v>
      </c>
      <c r="T125" s="54" t="s">
        <v>56</v>
      </c>
      <c r="U125" s="54" t="s">
        <v>56</v>
      </c>
    </row>
    <row r="126" spans="1:21" ht="62.5" x14ac:dyDescent="0.25">
      <c r="A126" s="53">
        <v>125</v>
      </c>
      <c r="B126" s="60" t="s">
        <v>594</v>
      </c>
      <c r="C126" s="54" t="s">
        <v>595</v>
      </c>
      <c r="D126" s="54" t="s">
        <v>50</v>
      </c>
      <c r="E126" s="54" t="s">
        <v>589</v>
      </c>
      <c r="F126" s="55" t="s">
        <v>596</v>
      </c>
      <c r="G126" s="56">
        <v>44124</v>
      </c>
      <c r="H126" s="54" t="s">
        <v>597</v>
      </c>
      <c r="I126" s="57">
        <v>44146</v>
      </c>
      <c r="J126" s="54" t="s">
        <v>598</v>
      </c>
      <c r="K126" s="54" t="s">
        <v>55</v>
      </c>
      <c r="L126" s="56"/>
      <c r="M126" s="56"/>
      <c r="N126" s="58"/>
      <c r="O126" s="58"/>
      <c r="P126" s="58"/>
      <c r="Q126" s="59"/>
      <c r="R126" s="58"/>
      <c r="S126" s="58"/>
      <c r="T126" s="54" t="s">
        <v>56</v>
      </c>
      <c r="U126" s="54" t="s">
        <v>56</v>
      </c>
    </row>
    <row r="127" spans="1:21" ht="100" x14ac:dyDescent="0.25">
      <c r="A127" s="53">
        <v>126</v>
      </c>
      <c r="B127" s="54" t="s">
        <v>599</v>
      </c>
      <c r="C127" s="54" t="s">
        <v>600</v>
      </c>
      <c r="D127" s="54" t="s">
        <v>50</v>
      </c>
      <c r="E127" s="54" t="s">
        <v>589</v>
      </c>
      <c r="F127" s="55" t="s">
        <v>601</v>
      </c>
      <c r="G127" s="56">
        <v>42685</v>
      </c>
      <c r="H127" s="54" t="s">
        <v>602</v>
      </c>
      <c r="I127" s="57">
        <v>42717</v>
      </c>
      <c r="J127" s="54" t="s">
        <v>54</v>
      </c>
      <c r="K127" s="54" t="s">
        <v>55</v>
      </c>
      <c r="L127" s="56"/>
      <c r="M127" s="56"/>
      <c r="N127" s="58"/>
      <c r="O127" s="58"/>
      <c r="P127" s="58"/>
      <c r="Q127" s="59"/>
      <c r="R127" s="58"/>
      <c r="S127" s="58"/>
      <c r="T127" s="54" t="s">
        <v>56</v>
      </c>
      <c r="U127" s="54" t="s">
        <v>56</v>
      </c>
    </row>
    <row r="128" spans="1:21" ht="112.5" x14ac:dyDescent="0.25">
      <c r="A128" s="53">
        <v>127</v>
      </c>
      <c r="B128" s="54" t="s">
        <v>603</v>
      </c>
      <c r="C128" s="54" t="s">
        <v>604</v>
      </c>
      <c r="D128" s="54" t="s">
        <v>50</v>
      </c>
      <c r="E128" s="54" t="s">
        <v>589</v>
      </c>
      <c r="F128" s="55" t="s">
        <v>605</v>
      </c>
      <c r="G128" s="56">
        <v>42999</v>
      </c>
      <c r="H128" s="54" t="s">
        <v>606</v>
      </c>
      <c r="I128" s="57">
        <v>43012</v>
      </c>
      <c r="J128" s="54" t="s">
        <v>103</v>
      </c>
      <c r="K128" s="54" t="s">
        <v>55</v>
      </c>
      <c r="L128" s="56"/>
      <c r="M128" s="56"/>
      <c r="N128" s="54"/>
      <c r="O128" s="54"/>
      <c r="P128" s="54"/>
      <c r="Q128" s="54"/>
      <c r="R128" s="54"/>
      <c r="S128" s="54"/>
      <c r="T128" s="54" t="s">
        <v>56</v>
      </c>
      <c r="U128" s="54" t="s">
        <v>56</v>
      </c>
    </row>
    <row r="129" spans="1:21" ht="100" x14ac:dyDescent="0.25">
      <c r="A129" s="53">
        <v>128</v>
      </c>
      <c r="B129" s="54" t="s">
        <v>607</v>
      </c>
      <c r="C129" s="54" t="s">
        <v>608</v>
      </c>
      <c r="D129" s="54" t="s">
        <v>50</v>
      </c>
      <c r="E129" s="54" t="s">
        <v>589</v>
      </c>
      <c r="F129" s="55" t="s">
        <v>609</v>
      </c>
      <c r="G129" s="56">
        <v>42685</v>
      </c>
      <c r="H129" s="54" t="s">
        <v>610</v>
      </c>
      <c r="I129" s="57">
        <v>42717</v>
      </c>
      <c r="J129" s="54" t="s">
        <v>54</v>
      </c>
      <c r="K129" s="54" t="s">
        <v>55</v>
      </c>
      <c r="L129" s="56"/>
      <c r="M129" s="56"/>
      <c r="N129" s="58"/>
      <c r="O129" s="58"/>
      <c r="P129" s="58"/>
      <c r="Q129" s="59"/>
      <c r="R129" s="58"/>
      <c r="S129" s="58"/>
      <c r="T129" s="54" t="s">
        <v>56</v>
      </c>
      <c r="U129" s="54" t="s">
        <v>56</v>
      </c>
    </row>
    <row r="130" spans="1:21" ht="100" x14ac:dyDescent="0.25">
      <c r="A130" s="53">
        <v>129</v>
      </c>
      <c r="B130" s="54" t="s">
        <v>611</v>
      </c>
      <c r="C130" s="54" t="s">
        <v>612</v>
      </c>
      <c r="D130" s="54" t="s">
        <v>50</v>
      </c>
      <c r="E130" s="54" t="s">
        <v>589</v>
      </c>
      <c r="F130" s="55" t="s">
        <v>613</v>
      </c>
      <c r="G130" s="56">
        <v>42685</v>
      </c>
      <c r="H130" s="54" t="s">
        <v>614</v>
      </c>
      <c r="I130" s="57">
        <v>42703</v>
      </c>
      <c r="J130" s="54" t="s">
        <v>54</v>
      </c>
      <c r="K130" s="54" t="s">
        <v>55</v>
      </c>
      <c r="L130" s="56"/>
      <c r="M130" s="56"/>
      <c r="N130" s="58"/>
      <c r="O130" s="58"/>
      <c r="P130" s="58"/>
      <c r="Q130" s="59"/>
      <c r="R130" s="58"/>
      <c r="S130" s="58"/>
      <c r="T130" s="54" t="s">
        <v>56</v>
      </c>
      <c r="U130" s="54" t="s">
        <v>56</v>
      </c>
    </row>
    <row r="131" spans="1:21" ht="112.5" x14ac:dyDescent="0.25">
      <c r="A131" s="53">
        <v>130</v>
      </c>
      <c r="B131" s="54" t="s">
        <v>615</v>
      </c>
      <c r="C131" s="54" t="s">
        <v>616</v>
      </c>
      <c r="D131" s="54" t="s">
        <v>50</v>
      </c>
      <c r="E131" s="54" t="s">
        <v>589</v>
      </c>
      <c r="F131" s="55" t="s">
        <v>617</v>
      </c>
      <c r="G131" s="56">
        <v>43301</v>
      </c>
      <c r="H131" s="54" t="s">
        <v>618</v>
      </c>
      <c r="I131" s="57">
        <v>43342</v>
      </c>
      <c r="J131" s="54" t="s">
        <v>103</v>
      </c>
      <c r="K131" s="54" t="s">
        <v>55</v>
      </c>
      <c r="L131" s="56"/>
      <c r="M131" s="56"/>
      <c r="N131" s="54"/>
      <c r="O131" s="54"/>
      <c r="P131" s="54"/>
      <c r="Q131" s="54"/>
      <c r="R131" s="54"/>
      <c r="S131" s="54"/>
      <c r="T131" s="54" t="s">
        <v>56</v>
      </c>
      <c r="U131" s="54" t="s">
        <v>56</v>
      </c>
    </row>
    <row r="132" spans="1:21" ht="112.5" x14ac:dyDescent="0.25">
      <c r="A132" s="53">
        <v>131</v>
      </c>
      <c r="B132" s="54" t="s">
        <v>619</v>
      </c>
      <c r="C132" s="54" t="s">
        <v>620</v>
      </c>
      <c r="D132" s="54" t="s">
        <v>50</v>
      </c>
      <c r="E132" s="54" t="s">
        <v>589</v>
      </c>
      <c r="F132" s="55" t="s">
        <v>621</v>
      </c>
      <c r="G132" s="56">
        <v>42999</v>
      </c>
      <c r="H132" s="54" t="s">
        <v>622</v>
      </c>
      <c r="I132" s="57">
        <v>43012</v>
      </c>
      <c r="J132" s="54" t="s">
        <v>103</v>
      </c>
      <c r="K132" s="54" t="s">
        <v>55</v>
      </c>
      <c r="L132" s="56"/>
      <c r="M132" s="56"/>
      <c r="N132" s="54"/>
      <c r="O132" s="54"/>
      <c r="P132" s="54"/>
      <c r="Q132" s="54"/>
      <c r="R132" s="54"/>
      <c r="S132" s="54"/>
      <c r="T132" s="54" t="s">
        <v>56</v>
      </c>
      <c r="U132" s="54" t="s">
        <v>56</v>
      </c>
    </row>
    <row r="133" spans="1:21" ht="112.5" x14ac:dyDescent="0.25">
      <c r="A133" s="53">
        <v>132</v>
      </c>
      <c r="B133" s="54" t="s">
        <v>623</v>
      </c>
      <c r="C133" s="54" t="s">
        <v>624</v>
      </c>
      <c r="D133" s="54" t="s">
        <v>50</v>
      </c>
      <c r="E133" s="54" t="s">
        <v>589</v>
      </c>
      <c r="F133" s="55" t="s">
        <v>625</v>
      </c>
      <c r="G133" s="56">
        <v>42999</v>
      </c>
      <c r="H133" s="54" t="s">
        <v>626</v>
      </c>
      <c r="I133" s="57">
        <v>43012</v>
      </c>
      <c r="J133" s="54" t="s">
        <v>103</v>
      </c>
      <c r="K133" s="54" t="s">
        <v>55</v>
      </c>
      <c r="L133" s="56"/>
      <c r="M133" s="56"/>
      <c r="N133" s="54"/>
      <c r="O133" s="54"/>
      <c r="P133" s="54"/>
      <c r="Q133" s="54"/>
      <c r="R133" s="54"/>
      <c r="S133" s="54"/>
      <c r="T133" s="54" t="s">
        <v>56</v>
      </c>
      <c r="U133" s="54" t="s">
        <v>56</v>
      </c>
    </row>
    <row r="134" spans="1:21" ht="112.5" x14ac:dyDescent="0.25">
      <c r="A134" s="53">
        <v>133</v>
      </c>
      <c r="B134" s="54" t="s">
        <v>627</v>
      </c>
      <c r="C134" s="54" t="s">
        <v>628</v>
      </c>
      <c r="D134" s="54" t="s">
        <v>50</v>
      </c>
      <c r="E134" s="54" t="s">
        <v>589</v>
      </c>
      <c r="F134" s="55" t="s">
        <v>629</v>
      </c>
      <c r="G134" s="56">
        <v>42685</v>
      </c>
      <c r="H134" s="54" t="s">
        <v>630</v>
      </c>
      <c r="I134" s="57">
        <v>42699</v>
      </c>
      <c r="J134" s="54" t="s">
        <v>103</v>
      </c>
      <c r="K134" s="54" t="s">
        <v>55</v>
      </c>
      <c r="L134" s="56"/>
      <c r="M134" s="56"/>
      <c r="N134" s="58"/>
      <c r="O134" s="58"/>
      <c r="P134" s="58"/>
      <c r="Q134" s="59"/>
      <c r="R134" s="58"/>
      <c r="S134" s="58"/>
      <c r="T134" s="54" t="s">
        <v>56</v>
      </c>
      <c r="U134" s="54" t="s">
        <v>56</v>
      </c>
    </row>
    <row r="135" spans="1:21" ht="112.5" x14ac:dyDescent="0.25">
      <c r="A135" s="53">
        <v>134</v>
      </c>
      <c r="B135" s="54" t="s">
        <v>631</v>
      </c>
      <c r="C135" s="54" t="s">
        <v>632</v>
      </c>
      <c r="D135" s="54" t="s">
        <v>50</v>
      </c>
      <c r="E135" s="54" t="s">
        <v>589</v>
      </c>
      <c r="F135" s="55" t="s">
        <v>633</v>
      </c>
      <c r="G135" s="56">
        <v>42999</v>
      </c>
      <c r="H135" s="54" t="s">
        <v>634</v>
      </c>
      <c r="I135" s="57">
        <v>43012</v>
      </c>
      <c r="J135" s="54" t="s">
        <v>103</v>
      </c>
      <c r="K135" s="54" t="s">
        <v>55</v>
      </c>
      <c r="L135" s="56"/>
      <c r="M135" s="56"/>
      <c r="N135" s="54"/>
      <c r="O135" s="54"/>
      <c r="P135" s="54"/>
      <c r="Q135" s="54"/>
      <c r="R135" s="54"/>
      <c r="S135" s="54"/>
      <c r="T135" s="54" t="s">
        <v>56</v>
      </c>
      <c r="U135" s="54" t="s">
        <v>56</v>
      </c>
    </row>
    <row r="136" spans="1:21" ht="112.5" x14ac:dyDescent="0.25">
      <c r="A136" s="53">
        <v>135</v>
      </c>
      <c r="B136" s="54" t="s">
        <v>635</v>
      </c>
      <c r="C136" s="54" t="s">
        <v>636</v>
      </c>
      <c r="D136" s="54" t="s">
        <v>50</v>
      </c>
      <c r="E136" s="54" t="s">
        <v>589</v>
      </c>
      <c r="F136" s="55" t="s">
        <v>637</v>
      </c>
      <c r="G136" s="56">
        <v>42999</v>
      </c>
      <c r="H136" s="54" t="s">
        <v>638</v>
      </c>
      <c r="I136" s="57">
        <v>43012</v>
      </c>
      <c r="J136" s="54" t="s">
        <v>103</v>
      </c>
      <c r="K136" s="54" t="s">
        <v>55</v>
      </c>
      <c r="L136" s="56"/>
      <c r="M136" s="56"/>
      <c r="N136" s="54"/>
      <c r="O136" s="54"/>
      <c r="P136" s="54"/>
      <c r="Q136" s="54"/>
      <c r="R136" s="54"/>
      <c r="S136" s="54"/>
      <c r="T136" s="54" t="s">
        <v>56</v>
      </c>
      <c r="U136" s="54" t="s">
        <v>56</v>
      </c>
    </row>
    <row r="137" spans="1:21" ht="112.5" x14ac:dyDescent="0.25">
      <c r="A137" s="53">
        <v>136</v>
      </c>
      <c r="B137" s="54" t="s">
        <v>639</v>
      </c>
      <c r="C137" s="54" t="s">
        <v>640</v>
      </c>
      <c r="D137" s="54" t="s">
        <v>50</v>
      </c>
      <c r="E137" s="54" t="s">
        <v>589</v>
      </c>
      <c r="F137" s="55" t="s">
        <v>641</v>
      </c>
      <c r="G137" s="56">
        <v>42999</v>
      </c>
      <c r="H137" s="54" t="s">
        <v>642</v>
      </c>
      <c r="I137" s="57">
        <v>43012</v>
      </c>
      <c r="J137" s="54" t="s">
        <v>103</v>
      </c>
      <c r="K137" s="54" t="s">
        <v>55</v>
      </c>
      <c r="L137" s="56"/>
      <c r="M137" s="56"/>
      <c r="N137" s="54"/>
      <c r="O137" s="54"/>
      <c r="P137" s="54"/>
      <c r="Q137" s="54"/>
      <c r="R137" s="54"/>
      <c r="S137" s="54"/>
      <c r="T137" s="54" t="s">
        <v>56</v>
      </c>
      <c r="U137" s="54" t="s">
        <v>56</v>
      </c>
    </row>
    <row r="138" spans="1:21" ht="112.5" x14ac:dyDescent="0.25">
      <c r="A138" s="53">
        <v>137</v>
      </c>
      <c r="B138" s="54" t="s">
        <v>643</v>
      </c>
      <c r="C138" s="54" t="s">
        <v>644</v>
      </c>
      <c r="D138" s="54" t="s">
        <v>50</v>
      </c>
      <c r="E138" s="54" t="s">
        <v>589</v>
      </c>
      <c r="F138" s="55" t="s">
        <v>645</v>
      </c>
      <c r="G138" s="56">
        <v>42999</v>
      </c>
      <c r="H138" s="54" t="s">
        <v>646</v>
      </c>
      <c r="I138" s="57">
        <v>43012</v>
      </c>
      <c r="J138" s="54" t="s">
        <v>103</v>
      </c>
      <c r="K138" s="54" t="s">
        <v>55</v>
      </c>
      <c r="L138" s="56"/>
      <c r="M138" s="56"/>
      <c r="N138" s="54"/>
      <c r="O138" s="54"/>
      <c r="P138" s="54"/>
      <c r="Q138" s="54"/>
      <c r="R138" s="54"/>
      <c r="S138" s="54"/>
      <c r="T138" s="54" t="s">
        <v>56</v>
      </c>
      <c r="U138" s="54" t="s">
        <v>56</v>
      </c>
    </row>
    <row r="139" spans="1:21" ht="112.5" x14ac:dyDescent="0.25">
      <c r="A139" s="53">
        <v>138</v>
      </c>
      <c r="B139" s="54" t="s">
        <v>647</v>
      </c>
      <c r="C139" s="54" t="s">
        <v>648</v>
      </c>
      <c r="D139" s="54" t="s">
        <v>50</v>
      </c>
      <c r="E139" s="54" t="s">
        <v>589</v>
      </c>
      <c r="F139" s="55" t="s">
        <v>649</v>
      </c>
      <c r="G139" s="56">
        <v>43301</v>
      </c>
      <c r="H139" s="54" t="s">
        <v>650</v>
      </c>
      <c r="I139" s="57">
        <v>43339</v>
      </c>
      <c r="J139" s="54" t="s">
        <v>103</v>
      </c>
      <c r="K139" s="54" t="s">
        <v>55</v>
      </c>
      <c r="L139" s="56"/>
      <c r="M139" s="56"/>
      <c r="N139" s="54"/>
      <c r="O139" s="54"/>
      <c r="P139" s="54"/>
      <c r="Q139" s="54"/>
      <c r="R139" s="54"/>
      <c r="S139" s="54"/>
      <c r="T139" s="54" t="s">
        <v>56</v>
      </c>
      <c r="U139" s="54" t="s">
        <v>56</v>
      </c>
    </row>
    <row r="140" spans="1:21" ht="100" x14ac:dyDescent="0.25">
      <c r="A140" s="53">
        <v>139</v>
      </c>
      <c r="B140" s="54" t="s">
        <v>651</v>
      </c>
      <c r="C140" s="54" t="s">
        <v>652</v>
      </c>
      <c r="D140" s="54" t="s">
        <v>50</v>
      </c>
      <c r="E140" s="54" t="s">
        <v>589</v>
      </c>
      <c r="F140" s="55" t="s">
        <v>653</v>
      </c>
      <c r="G140" s="56">
        <v>42685</v>
      </c>
      <c r="H140" s="54" t="s">
        <v>654</v>
      </c>
      <c r="I140" s="57">
        <v>42704</v>
      </c>
      <c r="J140" s="54" t="s">
        <v>54</v>
      </c>
      <c r="K140" s="54" t="s">
        <v>55</v>
      </c>
      <c r="L140" s="56"/>
      <c r="M140" s="56"/>
      <c r="N140" s="58"/>
      <c r="O140" s="58"/>
      <c r="P140" s="58"/>
      <c r="Q140" s="59"/>
      <c r="R140" s="58"/>
      <c r="S140" s="58"/>
      <c r="T140" s="54" t="s">
        <v>56</v>
      </c>
      <c r="U140" s="54" t="s">
        <v>56</v>
      </c>
    </row>
    <row r="141" spans="1:21" ht="112.5" x14ac:dyDescent="0.25">
      <c r="A141" s="53">
        <v>140</v>
      </c>
      <c r="B141" s="54" t="s">
        <v>655</v>
      </c>
      <c r="C141" s="54" t="s">
        <v>656</v>
      </c>
      <c r="D141" s="54" t="s">
        <v>50</v>
      </c>
      <c r="E141" s="54" t="s">
        <v>589</v>
      </c>
      <c r="F141" s="55" t="s">
        <v>657</v>
      </c>
      <c r="G141" s="56">
        <v>42999</v>
      </c>
      <c r="H141" s="54" t="s">
        <v>658</v>
      </c>
      <c r="I141" s="57">
        <v>43021</v>
      </c>
      <c r="J141" s="54" t="s">
        <v>103</v>
      </c>
      <c r="K141" s="54" t="s">
        <v>55</v>
      </c>
      <c r="L141" s="56"/>
      <c r="M141" s="56"/>
      <c r="N141" s="54"/>
      <c r="O141" s="54"/>
      <c r="P141" s="54"/>
      <c r="Q141" s="54"/>
      <c r="R141" s="54"/>
      <c r="S141" s="54"/>
      <c r="T141" s="54" t="s">
        <v>56</v>
      </c>
      <c r="U141" s="54" t="s">
        <v>56</v>
      </c>
    </row>
    <row r="142" spans="1:21" ht="112.5" x14ac:dyDescent="0.25">
      <c r="A142" s="53">
        <v>141</v>
      </c>
      <c r="B142" s="54" t="s">
        <v>659</v>
      </c>
      <c r="C142" s="54" t="s">
        <v>660</v>
      </c>
      <c r="D142" s="54" t="s">
        <v>50</v>
      </c>
      <c r="E142" s="54" t="s">
        <v>589</v>
      </c>
      <c r="F142" s="55" t="s">
        <v>661</v>
      </c>
      <c r="G142" s="56">
        <v>42999</v>
      </c>
      <c r="H142" s="54" t="s">
        <v>662</v>
      </c>
      <c r="I142" s="57">
        <v>43012</v>
      </c>
      <c r="J142" s="54" t="s">
        <v>103</v>
      </c>
      <c r="K142" s="54" t="s">
        <v>55</v>
      </c>
      <c r="L142" s="56"/>
      <c r="M142" s="56"/>
      <c r="N142" s="54"/>
      <c r="O142" s="54"/>
      <c r="P142" s="54"/>
      <c r="Q142" s="54"/>
      <c r="R142" s="54"/>
      <c r="S142" s="54"/>
      <c r="T142" s="54" t="s">
        <v>56</v>
      </c>
      <c r="U142" s="54" t="s">
        <v>56</v>
      </c>
    </row>
    <row r="143" spans="1:21" ht="112.5" x14ac:dyDescent="0.25">
      <c r="A143" s="53">
        <v>142</v>
      </c>
      <c r="B143" s="54" t="s">
        <v>663</v>
      </c>
      <c r="C143" s="54" t="s">
        <v>664</v>
      </c>
      <c r="D143" s="54" t="s">
        <v>50</v>
      </c>
      <c r="E143" s="54" t="s">
        <v>589</v>
      </c>
      <c r="F143" s="55" t="s">
        <v>665</v>
      </c>
      <c r="G143" s="56">
        <v>42999</v>
      </c>
      <c r="H143" s="54" t="s">
        <v>666</v>
      </c>
      <c r="I143" s="57">
        <v>43012</v>
      </c>
      <c r="J143" s="54" t="s">
        <v>103</v>
      </c>
      <c r="K143" s="54" t="s">
        <v>55</v>
      </c>
      <c r="L143" s="56"/>
      <c r="M143" s="56"/>
      <c r="N143" s="54"/>
      <c r="O143" s="54"/>
      <c r="P143" s="54"/>
      <c r="Q143" s="54"/>
      <c r="R143" s="54"/>
      <c r="S143" s="54"/>
      <c r="T143" s="54" t="s">
        <v>56</v>
      </c>
      <c r="U143" s="54" t="s">
        <v>56</v>
      </c>
    </row>
    <row r="144" spans="1:21" ht="100" x14ac:dyDescent="0.25">
      <c r="A144" s="53">
        <v>143</v>
      </c>
      <c r="B144" s="54" t="s">
        <v>667</v>
      </c>
      <c r="C144" s="54" t="s">
        <v>668</v>
      </c>
      <c r="D144" s="54" t="s">
        <v>50</v>
      </c>
      <c r="E144" s="54" t="s">
        <v>589</v>
      </c>
      <c r="F144" s="55" t="s">
        <v>669</v>
      </c>
      <c r="G144" s="56">
        <v>43326</v>
      </c>
      <c r="H144" s="54" t="s">
        <v>670</v>
      </c>
      <c r="I144" s="57">
        <v>43391</v>
      </c>
      <c r="J144" s="54" t="s">
        <v>54</v>
      </c>
      <c r="K144" s="54" t="s">
        <v>55</v>
      </c>
      <c r="L144" s="56"/>
      <c r="M144" s="56"/>
      <c r="N144" s="54"/>
      <c r="O144" s="54"/>
      <c r="P144" s="54"/>
      <c r="Q144" s="54"/>
      <c r="R144" s="54"/>
      <c r="S144" s="54"/>
      <c r="T144" s="54" t="s">
        <v>56</v>
      </c>
      <c r="U144" s="54" t="s">
        <v>56</v>
      </c>
    </row>
    <row r="145" spans="1:21" ht="100" x14ac:dyDescent="0.25">
      <c r="A145" s="53">
        <v>144</v>
      </c>
      <c r="B145" s="54" t="s">
        <v>671</v>
      </c>
      <c r="C145" s="54" t="s">
        <v>672</v>
      </c>
      <c r="D145" s="54" t="s">
        <v>50</v>
      </c>
      <c r="E145" s="54" t="s">
        <v>589</v>
      </c>
      <c r="F145" s="55" t="s">
        <v>673</v>
      </c>
      <c r="G145" s="56">
        <v>43007</v>
      </c>
      <c r="H145" s="54" t="s">
        <v>674</v>
      </c>
      <c r="I145" s="57">
        <v>43059</v>
      </c>
      <c r="J145" s="54" t="s">
        <v>54</v>
      </c>
      <c r="K145" s="54" t="s">
        <v>55</v>
      </c>
      <c r="L145" s="56"/>
      <c r="M145" s="56"/>
      <c r="N145" s="54"/>
      <c r="O145" s="54"/>
      <c r="P145" s="54"/>
      <c r="Q145" s="54"/>
      <c r="R145" s="54"/>
      <c r="S145" s="54"/>
      <c r="T145" s="54" t="s">
        <v>56</v>
      </c>
      <c r="U145" s="54" t="s">
        <v>56</v>
      </c>
    </row>
    <row r="146" spans="1:21" ht="100" x14ac:dyDescent="0.25">
      <c r="A146" s="53">
        <v>145</v>
      </c>
      <c r="B146" s="54" t="s">
        <v>675</v>
      </c>
      <c r="C146" s="54" t="s">
        <v>676</v>
      </c>
      <c r="D146" s="54" t="s">
        <v>50</v>
      </c>
      <c r="E146" s="54" t="s">
        <v>589</v>
      </c>
      <c r="F146" s="55" t="s">
        <v>677</v>
      </c>
      <c r="G146" s="56">
        <v>42685</v>
      </c>
      <c r="H146" s="54" t="s">
        <v>678</v>
      </c>
      <c r="I146" s="57">
        <v>42717</v>
      </c>
      <c r="J146" s="54" t="s">
        <v>54</v>
      </c>
      <c r="K146" s="54" t="s">
        <v>55</v>
      </c>
      <c r="L146" s="56"/>
      <c r="M146" s="56"/>
      <c r="N146" s="58"/>
      <c r="O146" s="58"/>
      <c r="P146" s="58"/>
      <c r="Q146" s="59"/>
      <c r="R146" s="58"/>
      <c r="S146" s="58"/>
      <c r="T146" s="54" t="s">
        <v>56</v>
      </c>
      <c r="U146" s="54" t="s">
        <v>56</v>
      </c>
    </row>
    <row r="147" spans="1:21" ht="150" x14ac:dyDescent="0.25">
      <c r="A147" s="53">
        <v>146</v>
      </c>
      <c r="B147" s="54" t="s">
        <v>679</v>
      </c>
      <c r="C147" s="54" t="s">
        <v>680</v>
      </c>
      <c r="D147" s="54" t="s">
        <v>59</v>
      </c>
      <c r="E147" s="54" t="s">
        <v>589</v>
      </c>
      <c r="F147" s="55" t="s">
        <v>681</v>
      </c>
      <c r="G147" s="56">
        <v>42600.755439814799</v>
      </c>
      <c r="H147" s="54" t="s">
        <v>682</v>
      </c>
      <c r="I147" s="57">
        <v>42621</v>
      </c>
      <c r="J147" s="54" t="s">
        <v>500</v>
      </c>
      <c r="K147" s="54" t="s">
        <v>55</v>
      </c>
      <c r="L147" s="56"/>
      <c r="M147" s="56"/>
      <c r="N147" s="58"/>
      <c r="O147" s="58"/>
      <c r="P147" s="58"/>
      <c r="Q147" s="59"/>
      <c r="R147" s="58"/>
      <c r="S147" s="58"/>
      <c r="T147" s="54" t="s">
        <v>104</v>
      </c>
      <c r="U147" s="54" t="s">
        <v>105</v>
      </c>
    </row>
    <row r="148" spans="1:21" ht="100" x14ac:dyDescent="0.25">
      <c r="A148" s="53">
        <v>147</v>
      </c>
      <c r="B148" s="54" t="s">
        <v>683</v>
      </c>
      <c r="C148" s="54" t="s">
        <v>684</v>
      </c>
      <c r="D148" s="54" t="s">
        <v>50</v>
      </c>
      <c r="E148" s="54" t="s">
        <v>589</v>
      </c>
      <c r="F148" s="55" t="s">
        <v>685</v>
      </c>
      <c r="G148" s="56">
        <v>42685</v>
      </c>
      <c r="H148" s="54" t="s">
        <v>686</v>
      </c>
      <c r="I148" s="57">
        <v>42703</v>
      </c>
      <c r="J148" s="54" t="s">
        <v>54</v>
      </c>
      <c r="K148" s="54" t="s">
        <v>55</v>
      </c>
      <c r="L148" s="56"/>
      <c r="M148" s="56"/>
      <c r="N148" s="58"/>
      <c r="O148" s="58"/>
      <c r="P148" s="58"/>
      <c r="Q148" s="59"/>
      <c r="R148" s="58"/>
      <c r="S148" s="58"/>
      <c r="T148" s="54" t="s">
        <v>56</v>
      </c>
      <c r="U148" s="54" t="s">
        <v>56</v>
      </c>
    </row>
    <row r="149" spans="1:21" ht="100" x14ac:dyDescent="0.25">
      <c r="A149" s="53">
        <v>148</v>
      </c>
      <c r="B149" s="54" t="s">
        <v>687</v>
      </c>
      <c r="C149" s="54" t="s">
        <v>688</v>
      </c>
      <c r="D149" s="54" t="s">
        <v>50</v>
      </c>
      <c r="E149" s="54" t="s">
        <v>589</v>
      </c>
      <c r="F149" s="55" t="s">
        <v>689</v>
      </c>
      <c r="G149" s="56">
        <v>42999</v>
      </c>
      <c r="H149" s="54" t="s">
        <v>690</v>
      </c>
      <c r="I149" s="57">
        <v>43012</v>
      </c>
      <c r="J149" s="54" t="s">
        <v>54</v>
      </c>
      <c r="K149" s="54" t="s">
        <v>55</v>
      </c>
      <c r="L149" s="56"/>
      <c r="M149" s="56"/>
      <c r="N149" s="54"/>
      <c r="O149" s="54"/>
      <c r="P149" s="54"/>
      <c r="Q149" s="54"/>
      <c r="R149" s="54"/>
      <c r="S149" s="54"/>
      <c r="T149" s="54" t="s">
        <v>56</v>
      </c>
      <c r="U149" s="54" t="s">
        <v>56</v>
      </c>
    </row>
    <row r="150" spans="1:21" ht="112.5" x14ac:dyDescent="0.25">
      <c r="A150" s="53">
        <v>149</v>
      </c>
      <c r="B150" s="54" t="s">
        <v>691</v>
      </c>
      <c r="C150" s="54" t="s">
        <v>692</v>
      </c>
      <c r="D150" s="54" t="s">
        <v>59</v>
      </c>
      <c r="E150" s="54" t="s">
        <v>589</v>
      </c>
      <c r="F150" s="55" t="s">
        <v>693</v>
      </c>
      <c r="G150" s="56">
        <v>43404</v>
      </c>
      <c r="H150" s="54" t="s">
        <v>694</v>
      </c>
      <c r="I150" s="57">
        <v>43462</v>
      </c>
      <c r="J150" s="54" t="s">
        <v>557</v>
      </c>
      <c r="K150" s="54" t="s">
        <v>55</v>
      </c>
      <c r="L150" s="56"/>
      <c r="M150" s="56"/>
      <c r="N150" s="54"/>
      <c r="O150" s="54"/>
      <c r="P150" s="54"/>
      <c r="Q150" s="54"/>
      <c r="R150" s="54"/>
      <c r="S150" s="54"/>
      <c r="T150" s="54" t="s">
        <v>56</v>
      </c>
      <c r="U150" s="54" t="s">
        <v>56</v>
      </c>
    </row>
    <row r="151" spans="1:21" ht="100" x14ac:dyDescent="0.25">
      <c r="A151" s="53">
        <v>150</v>
      </c>
      <c r="B151" s="54" t="s">
        <v>695</v>
      </c>
      <c r="C151" s="54" t="s">
        <v>696</v>
      </c>
      <c r="D151" s="54" t="s">
        <v>50</v>
      </c>
      <c r="E151" s="54" t="s">
        <v>589</v>
      </c>
      <c r="F151" s="55" t="s">
        <v>697</v>
      </c>
      <c r="G151" s="56">
        <v>43055</v>
      </c>
      <c r="H151" s="54" t="s">
        <v>698</v>
      </c>
      <c r="I151" s="57">
        <v>43066</v>
      </c>
      <c r="J151" s="54" t="s">
        <v>54</v>
      </c>
      <c r="K151" s="54" t="s">
        <v>55</v>
      </c>
      <c r="L151" s="56"/>
      <c r="M151" s="56">
        <v>42735</v>
      </c>
      <c r="N151" s="54" t="s">
        <v>699</v>
      </c>
      <c r="O151" s="59">
        <v>44207</v>
      </c>
      <c r="P151" s="54"/>
      <c r="Q151" s="54"/>
      <c r="R151" s="54"/>
      <c r="S151" s="54"/>
      <c r="T151" s="54" t="s">
        <v>87</v>
      </c>
      <c r="U151" s="58" t="s">
        <v>88</v>
      </c>
    </row>
    <row r="152" spans="1:21" ht="100" x14ac:dyDescent="0.25">
      <c r="A152" s="53">
        <v>151</v>
      </c>
      <c r="B152" s="54" t="s">
        <v>700</v>
      </c>
      <c r="C152" s="54" t="s">
        <v>701</v>
      </c>
      <c r="D152" s="54" t="s">
        <v>50</v>
      </c>
      <c r="E152" s="54" t="s">
        <v>589</v>
      </c>
      <c r="F152" s="55" t="s">
        <v>702</v>
      </c>
      <c r="G152" s="56">
        <v>42999</v>
      </c>
      <c r="H152" s="54" t="s">
        <v>703</v>
      </c>
      <c r="I152" s="57">
        <v>43012</v>
      </c>
      <c r="J152" s="54" t="s">
        <v>54</v>
      </c>
      <c r="K152" s="54" t="s">
        <v>55</v>
      </c>
      <c r="L152" s="56"/>
      <c r="M152" s="56"/>
      <c r="N152" s="54"/>
      <c r="O152" s="54"/>
      <c r="P152" s="54"/>
      <c r="Q152" s="54"/>
      <c r="R152" s="54"/>
      <c r="S152" s="54"/>
      <c r="T152" s="54" t="s">
        <v>56</v>
      </c>
      <c r="U152" s="54" t="s">
        <v>56</v>
      </c>
    </row>
    <row r="153" spans="1:21" ht="100" x14ac:dyDescent="0.25">
      <c r="A153" s="53">
        <v>152</v>
      </c>
      <c r="B153" s="54" t="s">
        <v>704</v>
      </c>
      <c r="C153" s="54" t="s">
        <v>705</v>
      </c>
      <c r="D153" s="54" t="s">
        <v>173</v>
      </c>
      <c r="E153" s="54" t="s">
        <v>542</v>
      </c>
      <c r="F153" s="55" t="s">
        <v>706</v>
      </c>
      <c r="G153" s="56">
        <v>42685</v>
      </c>
      <c r="H153" s="54" t="s">
        <v>707</v>
      </c>
      <c r="I153" s="57">
        <v>42703</v>
      </c>
      <c r="J153" s="54" t="s">
        <v>54</v>
      </c>
      <c r="K153" s="54" t="s">
        <v>176</v>
      </c>
      <c r="L153" s="56"/>
      <c r="M153" s="56">
        <v>42735</v>
      </c>
      <c r="N153" s="59" t="s">
        <v>708</v>
      </c>
      <c r="O153" s="59">
        <v>44151</v>
      </c>
      <c r="P153" s="58" t="s">
        <v>709</v>
      </c>
      <c r="Q153" s="59">
        <v>42927</v>
      </c>
      <c r="R153" s="54" t="s">
        <v>179</v>
      </c>
      <c r="S153" s="68">
        <v>42934</v>
      </c>
      <c r="T153" s="54" t="s">
        <v>87</v>
      </c>
      <c r="U153" s="54" t="s">
        <v>88</v>
      </c>
    </row>
    <row r="154" spans="1:21" ht="100" x14ac:dyDescent="0.25">
      <c r="A154" s="53">
        <v>153</v>
      </c>
      <c r="B154" s="54" t="s">
        <v>710</v>
      </c>
      <c r="C154" s="54" t="s">
        <v>711</v>
      </c>
      <c r="D154" s="54" t="s">
        <v>50</v>
      </c>
      <c r="E154" s="54" t="s">
        <v>589</v>
      </c>
      <c r="F154" s="55" t="s">
        <v>712</v>
      </c>
      <c r="G154" s="56">
        <v>42685</v>
      </c>
      <c r="H154" s="54" t="s">
        <v>713</v>
      </c>
      <c r="I154" s="57">
        <v>42717</v>
      </c>
      <c r="J154" s="54" t="s">
        <v>54</v>
      </c>
      <c r="K154" s="54" t="s">
        <v>55</v>
      </c>
      <c r="L154" s="56"/>
      <c r="M154" s="56"/>
      <c r="N154" s="58"/>
      <c r="O154" s="58"/>
      <c r="P154" s="58"/>
      <c r="Q154" s="59"/>
      <c r="R154" s="58"/>
      <c r="S154" s="58"/>
      <c r="T154" s="54" t="s">
        <v>56</v>
      </c>
      <c r="U154" s="54" t="s">
        <v>56</v>
      </c>
    </row>
    <row r="155" spans="1:21" ht="100" x14ac:dyDescent="0.25">
      <c r="A155" s="53">
        <v>154</v>
      </c>
      <c r="B155" s="54" t="s">
        <v>714</v>
      </c>
      <c r="C155" s="54" t="s">
        <v>715</v>
      </c>
      <c r="D155" s="54" t="s">
        <v>50</v>
      </c>
      <c r="E155" s="54" t="s">
        <v>589</v>
      </c>
      <c r="F155" s="55" t="s">
        <v>716</v>
      </c>
      <c r="G155" s="56">
        <v>43301</v>
      </c>
      <c r="H155" s="54" t="s">
        <v>717</v>
      </c>
      <c r="I155" s="57">
        <v>43342</v>
      </c>
      <c r="J155" s="54" t="s">
        <v>54</v>
      </c>
      <c r="K155" s="54" t="s">
        <v>55</v>
      </c>
      <c r="L155" s="56"/>
      <c r="M155" s="56"/>
      <c r="N155" s="54"/>
      <c r="O155" s="54"/>
      <c r="P155" s="54"/>
      <c r="Q155" s="54"/>
      <c r="R155" s="54"/>
      <c r="S155" s="54"/>
      <c r="T155" s="54" t="s">
        <v>56</v>
      </c>
      <c r="U155" s="54" t="s">
        <v>56</v>
      </c>
    </row>
    <row r="156" spans="1:21" ht="100" x14ac:dyDescent="0.25">
      <c r="A156" s="53">
        <v>155</v>
      </c>
      <c r="B156" s="54" t="s">
        <v>718</v>
      </c>
      <c r="C156" s="54" t="s">
        <v>719</v>
      </c>
      <c r="D156" s="54" t="s">
        <v>50</v>
      </c>
      <c r="E156" s="54" t="s">
        <v>589</v>
      </c>
      <c r="F156" s="55" t="s">
        <v>720</v>
      </c>
      <c r="G156" s="56">
        <v>43431</v>
      </c>
      <c r="H156" s="54" t="s">
        <v>721</v>
      </c>
      <c r="I156" s="57">
        <v>43472</v>
      </c>
      <c r="J156" s="54" t="s">
        <v>54</v>
      </c>
      <c r="K156" s="54" t="s">
        <v>55</v>
      </c>
      <c r="L156" s="56"/>
      <c r="M156" s="56"/>
      <c r="N156" s="54"/>
      <c r="O156" s="54"/>
      <c r="P156" s="54"/>
      <c r="Q156" s="54"/>
      <c r="R156" s="54"/>
      <c r="S156" s="54"/>
      <c r="T156" s="54" t="s">
        <v>56</v>
      </c>
      <c r="U156" s="54" t="s">
        <v>56</v>
      </c>
    </row>
    <row r="157" spans="1:21" ht="100" x14ac:dyDescent="0.25">
      <c r="A157" s="53">
        <v>156</v>
      </c>
      <c r="B157" s="54" t="s">
        <v>722</v>
      </c>
      <c r="C157" s="54" t="s">
        <v>723</v>
      </c>
      <c r="D157" s="54" t="s">
        <v>50</v>
      </c>
      <c r="E157" s="54" t="s">
        <v>589</v>
      </c>
      <c r="F157" s="55" t="s">
        <v>724</v>
      </c>
      <c r="G157" s="56">
        <v>42999</v>
      </c>
      <c r="H157" s="54" t="s">
        <v>725</v>
      </c>
      <c r="I157" s="57">
        <v>43012</v>
      </c>
      <c r="J157" s="54" t="s">
        <v>54</v>
      </c>
      <c r="K157" s="54" t="s">
        <v>55</v>
      </c>
      <c r="L157" s="56"/>
      <c r="M157" s="56"/>
      <c r="N157" s="54"/>
      <c r="O157" s="54"/>
      <c r="P157" s="54"/>
      <c r="Q157" s="54"/>
      <c r="R157" s="54"/>
      <c r="S157" s="54"/>
      <c r="T157" s="54" t="s">
        <v>56</v>
      </c>
      <c r="U157" s="54" t="s">
        <v>56</v>
      </c>
    </row>
    <row r="158" spans="1:21" ht="100" x14ac:dyDescent="0.25">
      <c r="A158" s="53">
        <v>157</v>
      </c>
      <c r="B158" s="54" t="s">
        <v>726</v>
      </c>
      <c r="C158" s="54" t="s">
        <v>727</v>
      </c>
      <c r="D158" s="54" t="s">
        <v>50</v>
      </c>
      <c r="E158" s="54" t="s">
        <v>589</v>
      </c>
      <c r="F158" s="55" t="s">
        <v>728</v>
      </c>
      <c r="G158" s="56">
        <v>42999</v>
      </c>
      <c r="H158" s="54" t="s">
        <v>729</v>
      </c>
      <c r="I158" s="57">
        <v>43012</v>
      </c>
      <c r="J158" s="54" t="s">
        <v>54</v>
      </c>
      <c r="K158" s="54" t="s">
        <v>55</v>
      </c>
      <c r="L158" s="56"/>
      <c r="M158" s="56"/>
      <c r="N158" s="54"/>
      <c r="O158" s="54"/>
      <c r="P158" s="54"/>
      <c r="Q158" s="54"/>
      <c r="R158" s="54"/>
      <c r="S158" s="54"/>
      <c r="T158" s="54" t="s">
        <v>56</v>
      </c>
      <c r="U158" s="54" t="s">
        <v>56</v>
      </c>
    </row>
    <row r="159" spans="1:21" ht="100" x14ac:dyDescent="0.25">
      <c r="A159" s="53">
        <v>158</v>
      </c>
      <c r="B159" s="54" t="s">
        <v>730</v>
      </c>
      <c r="C159" s="54" t="s">
        <v>731</v>
      </c>
      <c r="D159" s="54" t="s">
        <v>50</v>
      </c>
      <c r="E159" s="54" t="s">
        <v>589</v>
      </c>
      <c r="F159" s="55" t="s">
        <v>732</v>
      </c>
      <c r="G159" s="56">
        <v>43431</v>
      </c>
      <c r="H159" s="54" t="s">
        <v>733</v>
      </c>
      <c r="I159" s="57">
        <v>43472</v>
      </c>
      <c r="J159" s="54" t="s">
        <v>54</v>
      </c>
      <c r="K159" s="54" t="s">
        <v>55</v>
      </c>
      <c r="L159" s="56"/>
      <c r="M159" s="56"/>
      <c r="N159" s="54"/>
      <c r="O159" s="54"/>
      <c r="P159" s="54"/>
      <c r="Q159" s="54"/>
      <c r="R159" s="54"/>
      <c r="S159" s="54"/>
      <c r="T159" s="54" t="s">
        <v>56</v>
      </c>
      <c r="U159" s="54" t="s">
        <v>56</v>
      </c>
    </row>
    <row r="160" spans="1:21" ht="100" x14ac:dyDescent="0.25">
      <c r="A160" s="53">
        <v>159</v>
      </c>
      <c r="B160" s="54" t="s">
        <v>734</v>
      </c>
      <c r="C160" s="54" t="s">
        <v>735</v>
      </c>
      <c r="D160" s="54" t="s">
        <v>50</v>
      </c>
      <c r="E160" s="54" t="s">
        <v>589</v>
      </c>
      <c r="F160" s="55" t="s">
        <v>736</v>
      </c>
      <c r="G160" s="56">
        <v>43301</v>
      </c>
      <c r="H160" s="54" t="s">
        <v>737</v>
      </c>
      <c r="I160" s="57">
        <v>43321</v>
      </c>
      <c r="J160" s="54" t="s">
        <v>54</v>
      </c>
      <c r="K160" s="54" t="s">
        <v>55</v>
      </c>
      <c r="L160" s="56"/>
      <c r="M160" s="56"/>
      <c r="N160" s="54"/>
      <c r="O160" s="54"/>
      <c r="P160" s="54"/>
      <c r="Q160" s="54"/>
      <c r="R160" s="54"/>
      <c r="S160" s="54"/>
      <c r="T160" s="54" t="s">
        <v>87</v>
      </c>
      <c r="U160" s="54" t="s">
        <v>105</v>
      </c>
    </row>
    <row r="161" spans="1:21" ht="100" x14ac:dyDescent="0.25">
      <c r="A161" s="53">
        <v>160</v>
      </c>
      <c r="B161" s="54" t="s">
        <v>738</v>
      </c>
      <c r="C161" s="54" t="s">
        <v>739</v>
      </c>
      <c r="D161" s="54" t="s">
        <v>50</v>
      </c>
      <c r="E161" s="54" t="s">
        <v>589</v>
      </c>
      <c r="F161" s="55" t="s">
        <v>740</v>
      </c>
      <c r="G161" s="56">
        <v>43431</v>
      </c>
      <c r="H161" s="54" t="s">
        <v>741</v>
      </c>
      <c r="I161" s="57">
        <v>43472</v>
      </c>
      <c r="J161" s="54" t="s">
        <v>54</v>
      </c>
      <c r="K161" s="54" t="s">
        <v>55</v>
      </c>
      <c r="L161" s="56"/>
      <c r="M161" s="56"/>
      <c r="N161" s="54"/>
      <c r="O161" s="54"/>
      <c r="P161" s="54"/>
      <c r="Q161" s="54"/>
      <c r="R161" s="54"/>
      <c r="S161" s="54"/>
      <c r="T161" s="54" t="s">
        <v>56</v>
      </c>
      <c r="U161" s="54" t="s">
        <v>56</v>
      </c>
    </row>
    <row r="162" spans="1:21" ht="100" x14ac:dyDescent="0.25">
      <c r="A162" s="53">
        <v>161</v>
      </c>
      <c r="B162" s="54" t="s">
        <v>742</v>
      </c>
      <c r="C162" s="54" t="s">
        <v>743</v>
      </c>
      <c r="D162" s="54" t="s">
        <v>50</v>
      </c>
      <c r="E162" s="54" t="s">
        <v>589</v>
      </c>
      <c r="F162" s="55" t="s">
        <v>744</v>
      </c>
      <c r="G162" s="56">
        <v>42999</v>
      </c>
      <c r="H162" s="54" t="s">
        <v>745</v>
      </c>
      <c r="I162" s="57">
        <v>43012</v>
      </c>
      <c r="J162" s="54" t="s">
        <v>54</v>
      </c>
      <c r="K162" s="54" t="s">
        <v>55</v>
      </c>
      <c r="L162" s="56"/>
      <c r="M162" s="56"/>
      <c r="N162" s="54"/>
      <c r="O162" s="54"/>
      <c r="P162" s="54"/>
      <c r="Q162" s="54"/>
      <c r="R162" s="54"/>
      <c r="S162" s="54"/>
      <c r="T162" s="54" t="s">
        <v>56</v>
      </c>
      <c r="U162" s="54" t="s">
        <v>56</v>
      </c>
    </row>
    <row r="163" spans="1:21" ht="100" x14ac:dyDescent="0.25">
      <c r="A163" s="53">
        <v>162</v>
      </c>
      <c r="B163" s="54" t="s">
        <v>746</v>
      </c>
      <c r="C163" s="54" t="s">
        <v>747</v>
      </c>
      <c r="D163" s="54" t="s">
        <v>50</v>
      </c>
      <c r="E163" s="54" t="s">
        <v>589</v>
      </c>
      <c r="F163" s="55" t="s">
        <v>748</v>
      </c>
      <c r="G163" s="56">
        <v>42685</v>
      </c>
      <c r="H163" s="54" t="s">
        <v>749</v>
      </c>
      <c r="I163" s="57">
        <v>42717</v>
      </c>
      <c r="J163" s="54" t="s">
        <v>54</v>
      </c>
      <c r="K163" s="54" t="s">
        <v>55</v>
      </c>
      <c r="L163" s="56"/>
      <c r="M163" s="56"/>
      <c r="N163" s="58"/>
      <c r="O163" s="58"/>
      <c r="P163" s="58"/>
      <c r="Q163" s="59"/>
      <c r="R163" s="58"/>
      <c r="S163" s="58"/>
      <c r="T163" s="54" t="s">
        <v>56</v>
      </c>
      <c r="U163" s="54" t="s">
        <v>56</v>
      </c>
    </row>
    <row r="164" spans="1:21" ht="100" x14ac:dyDescent="0.25">
      <c r="A164" s="53">
        <v>163</v>
      </c>
      <c r="B164" s="54" t="s">
        <v>750</v>
      </c>
      <c r="C164" s="54" t="s">
        <v>751</v>
      </c>
      <c r="D164" s="54" t="s">
        <v>50</v>
      </c>
      <c r="E164" s="54" t="s">
        <v>589</v>
      </c>
      <c r="F164" s="55" t="s">
        <v>752</v>
      </c>
      <c r="G164" s="56">
        <v>42999</v>
      </c>
      <c r="H164" s="54" t="s">
        <v>753</v>
      </c>
      <c r="I164" s="57">
        <v>43012</v>
      </c>
      <c r="J164" s="54" t="s">
        <v>54</v>
      </c>
      <c r="K164" s="54" t="s">
        <v>55</v>
      </c>
      <c r="L164" s="56"/>
      <c r="M164" s="56"/>
      <c r="N164" s="54"/>
      <c r="O164" s="54"/>
      <c r="P164" s="54"/>
      <c r="Q164" s="54"/>
      <c r="R164" s="54"/>
      <c r="S164" s="54"/>
      <c r="T164" s="54" t="s">
        <v>56</v>
      </c>
      <c r="U164" s="54" t="s">
        <v>56</v>
      </c>
    </row>
    <row r="165" spans="1:21" ht="100" x14ac:dyDescent="0.25">
      <c r="A165" s="53">
        <v>164</v>
      </c>
      <c r="B165" s="54" t="s">
        <v>754</v>
      </c>
      <c r="C165" s="54" t="s">
        <v>755</v>
      </c>
      <c r="D165" s="54" t="s">
        <v>50</v>
      </c>
      <c r="E165" s="54" t="s">
        <v>589</v>
      </c>
      <c r="F165" s="55" t="s">
        <v>756</v>
      </c>
      <c r="G165" s="56">
        <v>42685</v>
      </c>
      <c r="H165" s="54" t="s">
        <v>757</v>
      </c>
      <c r="I165" s="57">
        <v>42703</v>
      </c>
      <c r="J165" s="54" t="s">
        <v>54</v>
      </c>
      <c r="K165" s="54" t="s">
        <v>55</v>
      </c>
      <c r="L165" s="56"/>
      <c r="M165" s="56">
        <v>41274</v>
      </c>
      <c r="N165" s="58" t="s">
        <v>758</v>
      </c>
      <c r="O165" s="59">
        <v>44208</v>
      </c>
      <c r="P165" s="58"/>
      <c r="Q165" s="59"/>
      <c r="R165" s="58"/>
      <c r="S165" s="58"/>
      <c r="T165" s="54" t="s">
        <v>87</v>
      </c>
      <c r="U165" s="54" t="s">
        <v>88</v>
      </c>
    </row>
    <row r="166" spans="1:21" ht="100" x14ac:dyDescent="0.25">
      <c r="A166" s="53">
        <v>165</v>
      </c>
      <c r="B166" s="54" t="s">
        <v>759</v>
      </c>
      <c r="C166" s="54" t="s">
        <v>760</v>
      </c>
      <c r="D166" s="54" t="s">
        <v>50</v>
      </c>
      <c r="E166" s="54" t="s">
        <v>589</v>
      </c>
      <c r="F166" s="55" t="s">
        <v>761</v>
      </c>
      <c r="G166" s="56">
        <v>43326</v>
      </c>
      <c r="H166" s="54" t="s">
        <v>762</v>
      </c>
      <c r="I166" s="57">
        <v>43391</v>
      </c>
      <c r="J166" s="54" t="s">
        <v>54</v>
      </c>
      <c r="K166" s="54" t="s">
        <v>55</v>
      </c>
      <c r="L166" s="56"/>
      <c r="M166" s="56"/>
      <c r="N166" s="54"/>
      <c r="O166" s="54"/>
      <c r="P166" s="54"/>
      <c r="Q166" s="54"/>
      <c r="R166" s="54"/>
      <c r="S166" s="54"/>
      <c r="T166" s="54" t="s">
        <v>56</v>
      </c>
      <c r="U166" s="54" t="s">
        <v>56</v>
      </c>
    </row>
    <row r="167" spans="1:21" ht="100" x14ac:dyDescent="0.25">
      <c r="A167" s="53">
        <v>166</v>
      </c>
      <c r="B167" s="54" t="s">
        <v>763</v>
      </c>
      <c r="C167" s="54" t="s">
        <v>764</v>
      </c>
      <c r="D167" s="54" t="s">
        <v>50</v>
      </c>
      <c r="E167" s="54" t="s">
        <v>589</v>
      </c>
      <c r="F167" s="55" t="s">
        <v>765</v>
      </c>
      <c r="G167" s="56">
        <v>42685</v>
      </c>
      <c r="H167" s="54" t="s">
        <v>766</v>
      </c>
      <c r="I167" s="57">
        <v>42717</v>
      </c>
      <c r="J167" s="54" t="s">
        <v>54</v>
      </c>
      <c r="K167" s="54" t="s">
        <v>55</v>
      </c>
      <c r="L167" s="56"/>
      <c r="M167" s="56"/>
      <c r="N167" s="58"/>
      <c r="O167" s="58"/>
      <c r="P167" s="58"/>
      <c r="Q167" s="59"/>
      <c r="R167" s="58"/>
      <c r="S167" s="58"/>
      <c r="T167" s="54" t="s">
        <v>56</v>
      </c>
      <c r="U167" s="54" t="s">
        <v>56</v>
      </c>
    </row>
    <row r="168" spans="1:21" ht="100" x14ac:dyDescent="0.25">
      <c r="A168" s="53">
        <v>167</v>
      </c>
      <c r="B168" s="54" t="s">
        <v>767</v>
      </c>
      <c r="C168" s="54" t="s">
        <v>768</v>
      </c>
      <c r="D168" s="54" t="s">
        <v>50</v>
      </c>
      <c r="E168" s="54" t="s">
        <v>589</v>
      </c>
      <c r="F168" s="55" t="s">
        <v>769</v>
      </c>
      <c r="G168" s="56">
        <v>42999</v>
      </c>
      <c r="H168" s="54" t="s">
        <v>770</v>
      </c>
      <c r="I168" s="57">
        <v>43012</v>
      </c>
      <c r="J168" s="54" t="s">
        <v>54</v>
      </c>
      <c r="K168" s="54" t="s">
        <v>55</v>
      </c>
      <c r="L168" s="56"/>
      <c r="M168" s="56"/>
      <c r="N168" s="54"/>
      <c r="O168" s="54"/>
      <c r="P168" s="54"/>
      <c r="Q168" s="54"/>
      <c r="R168" s="54"/>
      <c r="S168" s="54"/>
      <c r="T168" s="54" t="s">
        <v>56</v>
      </c>
      <c r="U168" s="54" t="s">
        <v>56</v>
      </c>
    </row>
    <row r="169" spans="1:21" ht="100" x14ac:dyDescent="0.25">
      <c r="A169" s="53">
        <v>168</v>
      </c>
      <c r="B169" s="54" t="s">
        <v>771</v>
      </c>
      <c r="C169" s="54" t="s">
        <v>772</v>
      </c>
      <c r="D169" s="54" t="s">
        <v>50</v>
      </c>
      <c r="E169" s="54" t="s">
        <v>589</v>
      </c>
      <c r="F169" s="55" t="s">
        <v>773</v>
      </c>
      <c r="G169" s="56">
        <v>43385</v>
      </c>
      <c r="H169" s="54" t="s">
        <v>774</v>
      </c>
      <c r="I169" s="57">
        <v>43427</v>
      </c>
      <c r="J169" s="54" t="s">
        <v>54</v>
      </c>
      <c r="K169" s="54" t="s">
        <v>55</v>
      </c>
      <c r="L169" s="56"/>
      <c r="M169" s="56"/>
      <c r="N169" s="54"/>
      <c r="O169" s="54"/>
      <c r="P169" s="54"/>
      <c r="Q169" s="54"/>
      <c r="R169" s="54"/>
      <c r="S169" s="54"/>
      <c r="T169" s="54" t="s">
        <v>56</v>
      </c>
      <c r="U169" s="54" t="s">
        <v>56</v>
      </c>
    </row>
    <row r="170" spans="1:21" ht="50" x14ac:dyDescent="0.25">
      <c r="A170" s="53">
        <v>169</v>
      </c>
      <c r="B170" s="54" t="s">
        <v>775</v>
      </c>
      <c r="C170" s="54" t="s">
        <v>776</v>
      </c>
      <c r="D170" s="54" t="s">
        <v>59</v>
      </c>
      <c r="E170" s="54" t="s">
        <v>589</v>
      </c>
      <c r="F170" s="55" t="s">
        <v>777</v>
      </c>
      <c r="G170" s="56">
        <v>42600.7554282407</v>
      </c>
      <c r="H170" s="54" t="s">
        <v>778</v>
      </c>
      <c r="I170" s="57">
        <v>42629</v>
      </c>
      <c r="J170" s="54" t="s">
        <v>779</v>
      </c>
      <c r="K170" s="54" t="s">
        <v>81</v>
      </c>
      <c r="L170" s="56"/>
      <c r="M170" s="56"/>
      <c r="N170" s="58"/>
      <c r="O170" s="58"/>
      <c r="P170" s="58"/>
      <c r="Q170" s="59"/>
      <c r="R170" s="58"/>
      <c r="S170" s="58"/>
      <c r="T170" s="54" t="s">
        <v>56</v>
      </c>
      <c r="U170" s="54" t="s">
        <v>56</v>
      </c>
    </row>
    <row r="171" spans="1:21" ht="100" x14ac:dyDescent="0.25">
      <c r="A171" s="53">
        <v>170</v>
      </c>
      <c r="B171" s="54" t="s">
        <v>780</v>
      </c>
      <c r="C171" s="54" t="s">
        <v>781</v>
      </c>
      <c r="D171" s="54" t="s">
        <v>50</v>
      </c>
      <c r="E171" s="54" t="s">
        <v>589</v>
      </c>
      <c r="F171" s="55" t="s">
        <v>782</v>
      </c>
      <c r="G171" s="56">
        <v>43301</v>
      </c>
      <c r="H171" s="54" t="s">
        <v>783</v>
      </c>
      <c r="I171" s="57">
        <v>43339</v>
      </c>
      <c r="J171" s="54" t="s">
        <v>54</v>
      </c>
      <c r="K171" s="54" t="s">
        <v>81</v>
      </c>
      <c r="L171" s="56"/>
      <c r="M171" s="56"/>
      <c r="N171" s="54"/>
      <c r="O171" s="54"/>
      <c r="P171" s="54"/>
      <c r="Q171" s="54"/>
      <c r="R171" s="54"/>
      <c r="S171" s="54"/>
      <c r="T171" s="54" t="s">
        <v>56</v>
      </c>
      <c r="U171" s="54" t="s">
        <v>56</v>
      </c>
    </row>
    <row r="172" spans="1:21" ht="100" x14ac:dyDescent="0.25">
      <c r="A172" s="53">
        <v>171</v>
      </c>
      <c r="B172" s="54" t="s">
        <v>784</v>
      </c>
      <c r="C172" s="54" t="s">
        <v>785</v>
      </c>
      <c r="D172" s="54" t="s">
        <v>50</v>
      </c>
      <c r="E172" s="54" t="s">
        <v>589</v>
      </c>
      <c r="F172" s="55" t="s">
        <v>786</v>
      </c>
      <c r="G172" s="56">
        <v>42999</v>
      </c>
      <c r="H172" s="54" t="s">
        <v>787</v>
      </c>
      <c r="I172" s="57">
        <v>43012</v>
      </c>
      <c r="J172" s="54" t="s">
        <v>54</v>
      </c>
      <c r="K172" s="54" t="s">
        <v>55</v>
      </c>
      <c r="L172" s="56"/>
      <c r="M172" s="56"/>
      <c r="N172" s="54"/>
      <c r="O172" s="54"/>
      <c r="P172" s="54"/>
      <c r="Q172" s="54"/>
      <c r="R172" s="54"/>
      <c r="S172" s="54"/>
      <c r="T172" s="54" t="s">
        <v>56</v>
      </c>
      <c r="U172" s="54" t="s">
        <v>56</v>
      </c>
    </row>
    <row r="173" spans="1:21" ht="100" x14ac:dyDescent="0.25">
      <c r="A173" s="53">
        <v>172</v>
      </c>
      <c r="B173" s="54" t="s">
        <v>788</v>
      </c>
      <c r="C173" s="54" t="s">
        <v>789</v>
      </c>
      <c r="D173" s="54" t="s">
        <v>50</v>
      </c>
      <c r="E173" s="54" t="s">
        <v>589</v>
      </c>
      <c r="F173" s="55" t="s">
        <v>790</v>
      </c>
      <c r="G173" s="56">
        <v>43297</v>
      </c>
      <c r="H173" s="54" t="s">
        <v>791</v>
      </c>
      <c r="I173" s="57">
        <v>43371</v>
      </c>
      <c r="J173" s="54" t="s">
        <v>54</v>
      </c>
      <c r="K173" s="54" t="s">
        <v>55</v>
      </c>
      <c r="L173" s="56"/>
      <c r="M173" s="56"/>
      <c r="N173" s="54"/>
      <c r="O173" s="54"/>
      <c r="P173" s="54"/>
      <c r="Q173" s="54"/>
      <c r="R173" s="54"/>
      <c r="S173" s="54"/>
      <c r="T173" s="54" t="s">
        <v>56</v>
      </c>
      <c r="U173" s="54" t="s">
        <v>56</v>
      </c>
    </row>
    <row r="174" spans="1:21" ht="100" x14ac:dyDescent="0.25">
      <c r="A174" s="53">
        <v>173</v>
      </c>
      <c r="B174" s="54" t="s">
        <v>792</v>
      </c>
      <c r="C174" s="54" t="s">
        <v>793</v>
      </c>
      <c r="D174" s="54" t="s">
        <v>50</v>
      </c>
      <c r="E174" s="54" t="s">
        <v>589</v>
      </c>
      <c r="F174" s="55" t="s">
        <v>794</v>
      </c>
      <c r="G174" s="56">
        <v>43396</v>
      </c>
      <c r="H174" s="54" t="s">
        <v>795</v>
      </c>
      <c r="I174" s="57">
        <v>43427</v>
      </c>
      <c r="J174" s="54" t="s">
        <v>54</v>
      </c>
      <c r="K174" s="54" t="s">
        <v>55</v>
      </c>
      <c r="L174" s="56"/>
      <c r="M174" s="56"/>
      <c r="N174" s="54"/>
      <c r="O174" s="54"/>
      <c r="P174" s="54"/>
      <c r="Q174" s="54"/>
      <c r="R174" s="54"/>
      <c r="S174" s="54"/>
      <c r="T174" s="54" t="s">
        <v>56</v>
      </c>
      <c r="U174" s="54" t="s">
        <v>56</v>
      </c>
    </row>
    <row r="175" spans="1:21" ht="100" x14ac:dyDescent="0.25">
      <c r="A175" s="53">
        <v>174</v>
      </c>
      <c r="B175" s="54" t="s">
        <v>796</v>
      </c>
      <c r="C175" s="54" t="s">
        <v>797</v>
      </c>
      <c r="D175" s="54" t="s">
        <v>50</v>
      </c>
      <c r="E175" s="54" t="s">
        <v>589</v>
      </c>
      <c r="F175" s="55" t="s">
        <v>798</v>
      </c>
      <c r="G175" s="56">
        <v>43551</v>
      </c>
      <c r="H175" s="54" t="s">
        <v>799</v>
      </c>
      <c r="I175" s="57">
        <v>43615</v>
      </c>
      <c r="J175" s="54" t="s">
        <v>54</v>
      </c>
      <c r="K175" s="54" t="s">
        <v>55</v>
      </c>
      <c r="L175" s="56"/>
      <c r="M175" s="56"/>
      <c r="N175" s="54"/>
      <c r="O175" s="54"/>
      <c r="P175" s="54"/>
      <c r="Q175" s="54"/>
      <c r="R175" s="54"/>
      <c r="S175" s="54"/>
      <c r="T175" s="54" t="s">
        <v>56</v>
      </c>
      <c r="U175" s="54" t="s">
        <v>56</v>
      </c>
    </row>
    <row r="176" spans="1:21" ht="112.5" x14ac:dyDescent="0.25">
      <c r="A176" s="53">
        <v>175</v>
      </c>
      <c r="B176" s="54" t="s">
        <v>800</v>
      </c>
      <c r="C176" s="54" t="s">
        <v>801</v>
      </c>
      <c r="D176" s="54" t="s">
        <v>50</v>
      </c>
      <c r="E176" s="54" t="s">
        <v>589</v>
      </c>
      <c r="F176" s="55" t="s">
        <v>802</v>
      </c>
      <c r="G176" s="56">
        <v>43628</v>
      </c>
      <c r="H176" s="54" t="s">
        <v>803</v>
      </c>
      <c r="I176" s="57">
        <v>43672</v>
      </c>
      <c r="J176" s="54" t="s">
        <v>103</v>
      </c>
      <c r="K176" s="54" t="s">
        <v>55</v>
      </c>
      <c r="L176" s="56"/>
      <c r="M176" s="56"/>
      <c r="N176" s="54"/>
      <c r="O176" s="54"/>
      <c r="P176" s="54"/>
      <c r="Q176" s="54"/>
      <c r="R176" s="54"/>
      <c r="S176" s="54"/>
      <c r="T176" s="54" t="s">
        <v>56</v>
      </c>
      <c r="U176" s="54" t="s">
        <v>56</v>
      </c>
    </row>
    <row r="177" spans="1:21" ht="100" x14ac:dyDescent="0.25">
      <c r="A177" s="53">
        <v>176</v>
      </c>
      <c r="B177" s="54" t="s">
        <v>804</v>
      </c>
      <c r="C177" s="54" t="s">
        <v>805</v>
      </c>
      <c r="D177" s="54" t="s">
        <v>50</v>
      </c>
      <c r="E177" s="54" t="s">
        <v>589</v>
      </c>
      <c r="F177" s="55" t="s">
        <v>806</v>
      </c>
      <c r="G177" s="56">
        <v>42999</v>
      </c>
      <c r="H177" s="54" t="s">
        <v>807</v>
      </c>
      <c r="I177" s="57">
        <v>43012</v>
      </c>
      <c r="J177" s="54" t="s">
        <v>54</v>
      </c>
      <c r="K177" s="54" t="s">
        <v>55</v>
      </c>
      <c r="L177" s="56"/>
      <c r="M177" s="56"/>
      <c r="N177" s="54"/>
      <c r="O177" s="54"/>
      <c r="P177" s="54"/>
      <c r="Q177" s="54"/>
      <c r="R177" s="54"/>
      <c r="S177" s="54"/>
      <c r="T177" s="54" t="s">
        <v>56</v>
      </c>
      <c r="U177" s="54" t="s">
        <v>56</v>
      </c>
    </row>
    <row r="178" spans="1:21" ht="100" x14ac:dyDescent="0.25">
      <c r="A178" s="53">
        <v>177</v>
      </c>
      <c r="B178" s="54" t="s">
        <v>808</v>
      </c>
      <c r="C178" s="54" t="s">
        <v>809</v>
      </c>
      <c r="D178" s="54" t="s">
        <v>50</v>
      </c>
      <c r="E178" s="54" t="s">
        <v>589</v>
      </c>
      <c r="F178" s="55" t="s">
        <v>810</v>
      </c>
      <c r="G178" s="56">
        <v>42689</v>
      </c>
      <c r="H178" s="54" t="s">
        <v>811</v>
      </c>
      <c r="I178" s="57">
        <v>42712</v>
      </c>
      <c r="J178" s="54" t="s">
        <v>54</v>
      </c>
      <c r="K178" s="54" t="s">
        <v>55</v>
      </c>
      <c r="L178" s="56"/>
      <c r="M178" s="56"/>
      <c r="N178" s="58"/>
      <c r="O178" s="58"/>
      <c r="P178" s="58"/>
      <c r="Q178" s="59"/>
      <c r="R178" s="58"/>
      <c r="S178" s="58"/>
      <c r="T178" s="54" t="s">
        <v>56</v>
      </c>
      <c r="U178" s="54" t="s">
        <v>56</v>
      </c>
    </row>
    <row r="179" spans="1:21" ht="100" x14ac:dyDescent="0.25">
      <c r="A179" s="53">
        <v>178</v>
      </c>
      <c r="B179" s="54" t="s">
        <v>812</v>
      </c>
      <c r="C179" s="54" t="s">
        <v>813</v>
      </c>
      <c r="D179" s="54" t="s">
        <v>50</v>
      </c>
      <c r="E179" s="54" t="s">
        <v>589</v>
      </c>
      <c r="F179" s="55" t="s">
        <v>814</v>
      </c>
      <c r="G179" s="56">
        <v>43055</v>
      </c>
      <c r="H179" s="54" t="s">
        <v>815</v>
      </c>
      <c r="I179" s="57">
        <v>43066</v>
      </c>
      <c r="J179" s="54" t="s">
        <v>54</v>
      </c>
      <c r="K179" s="54" t="s">
        <v>55</v>
      </c>
      <c r="L179" s="56"/>
      <c r="M179" s="56"/>
      <c r="N179" s="54"/>
      <c r="O179" s="54"/>
      <c r="P179" s="54"/>
      <c r="Q179" s="54"/>
      <c r="R179" s="54"/>
      <c r="S179" s="54"/>
      <c r="T179" s="54" t="s">
        <v>56</v>
      </c>
      <c r="U179" s="54" t="s">
        <v>56</v>
      </c>
    </row>
    <row r="180" spans="1:21" ht="100" x14ac:dyDescent="0.25">
      <c r="A180" s="53">
        <v>179</v>
      </c>
      <c r="B180" s="54" t="s">
        <v>816</v>
      </c>
      <c r="C180" s="54" t="s">
        <v>817</v>
      </c>
      <c r="D180" s="54" t="s">
        <v>50</v>
      </c>
      <c r="E180" s="54" t="s">
        <v>589</v>
      </c>
      <c r="F180" s="55" t="s">
        <v>818</v>
      </c>
      <c r="G180" s="56">
        <v>42999</v>
      </c>
      <c r="H180" s="54" t="s">
        <v>819</v>
      </c>
      <c r="I180" s="57">
        <v>43012</v>
      </c>
      <c r="J180" s="54" t="s">
        <v>54</v>
      </c>
      <c r="K180" s="54" t="s">
        <v>55</v>
      </c>
      <c r="L180" s="56"/>
      <c r="M180" s="56"/>
      <c r="N180" s="54"/>
      <c r="O180" s="54"/>
      <c r="P180" s="54"/>
      <c r="Q180" s="54"/>
      <c r="R180" s="54"/>
      <c r="S180" s="54"/>
      <c r="T180" s="54" t="s">
        <v>56</v>
      </c>
      <c r="U180" s="54" t="s">
        <v>56</v>
      </c>
    </row>
    <row r="181" spans="1:21" ht="100" x14ac:dyDescent="0.25">
      <c r="A181" s="53">
        <v>180</v>
      </c>
      <c r="B181" s="54" t="s">
        <v>820</v>
      </c>
      <c r="C181" s="54" t="s">
        <v>821</v>
      </c>
      <c r="D181" s="54" t="s">
        <v>50</v>
      </c>
      <c r="E181" s="54" t="s">
        <v>589</v>
      </c>
      <c r="F181" s="55" t="s">
        <v>822</v>
      </c>
      <c r="G181" s="56">
        <v>42685</v>
      </c>
      <c r="H181" s="54" t="s">
        <v>823</v>
      </c>
      <c r="I181" s="57">
        <v>42703</v>
      </c>
      <c r="J181" s="54" t="s">
        <v>54</v>
      </c>
      <c r="K181" s="54" t="s">
        <v>55</v>
      </c>
      <c r="L181" s="56"/>
      <c r="M181" s="56"/>
      <c r="N181" s="58"/>
      <c r="O181" s="58"/>
      <c r="P181" s="58"/>
      <c r="Q181" s="59"/>
      <c r="R181" s="58"/>
      <c r="S181" s="58"/>
      <c r="T181" s="54" t="s">
        <v>56</v>
      </c>
      <c r="U181" s="54" t="s">
        <v>56</v>
      </c>
    </row>
    <row r="182" spans="1:21" ht="100" x14ac:dyDescent="0.25">
      <c r="A182" s="53">
        <v>181</v>
      </c>
      <c r="B182" s="54" t="s">
        <v>824</v>
      </c>
      <c r="C182" s="54" t="s">
        <v>825</v>
      </c>
      <c r="D182" s="54" t="s">
        <v>50</v>
      </c>
      <c r="E182" s="54" t="s">
        <v>589</v>
      </c>
      <c r="F182" s="55" t="s">
        <v>826</v>
      </c>
      <c r="G182" s="56">
        <v>42685</v>
      </c>
      <c r="H182" s="54" t="s">
        <v>827</v>
      </c>
      <c r="I182" s="57">
        <v>42717</v>
      </c>
      <c r="J182" s="54" t="s">
        <v>54</v>
      </c>
      <c r="K182" s="54" t="s">
        <v>55</v>
      </c>
      <c r="L182" s="56"/>
      <c r="M182" s="56"/>
      <c r="N182" s="58"/>
      <c r="O182" s="58"/>
      <c r="P182" s="58"/>
      <c r="Q182" s="59"/>
      <c r="R182" s="58"/>
      <c r="S182" s="58"/>
      <c r="T182" s="54" t="s">
        <v>56</v>
      </c>
      <c r="U182" s="54" t="s">
        <v>56</v>
      </c>
    </row>
    <row r="183" spans="1:21" ht="112.5" x14ac:dyDescent="0.25">
      <c r="A183" s="53">
        <v>182</v>
      </c>
      <c r="B183" s="54" t="s">
        <v>828</v>
      </c>
      <c r="C183" s="54" t="s">
        <v>829</v>
      </c>
      <c r="D183" s="54" t="s">
        <v>50</v>
      </c>
      <c r="E183" s="54" t="s">
        <v>589</v>
      </c>
      <c r="F183" s="55" t="s">
        <v>830</v>
      </c>
      <c r="G183" s="56">
        <v>43615</v>
      </c>
      <c r="H183" s="54" t="s">
        <v>831</v>
      </c>
      <c r="I183" s="57">
        <v>43656</v>
      </c>
      <c r="J183" s="54" t="s">
        <v>103</v>
      </c>
      <c r="K183" s="54" t="s">
        <v>55</v>
      </c>
      <c r="L183" s="56"/>
      <c r="M183" s="56"/>
      <c r="N183" s="54"/>
      <c r="O183" s="54"/>
      <c r="P183" s="54"/>
      <c r="Q183" s="54"/>
      <c r="R183" s="54"/>
      <c r="S183" s="54"/>
      <c r="T183" s="54" t="s">
        <v>56</v>
      </c>
      <c r="U183" s="54" t="s">
        <v>56</v>
      </c>
    </row>
    <row r="184" spans="1:21" ht="100" x14ac:dyDescent="0.25">
      <c r="A184" s="53">
        <v>183</v>
      </c>
      <c r="B184" s="54" t="s">
        <v>832</v>
      </c>
      <c r="C184" s="54" t="s">
        <v>833</v>
      </c>
      <c r="D184" s="54" t="s">
        <v>50</v>
      </c>
      <c r="E184" s="54" t="s">
        <v>589</v>
      </c>
      <c r="F184" s="55" t="s">
        <v>834</v>
      </c>
      <c r="G184" s="56">
        <v>42685</v>
      </c>
      <c r="H184" s="54" t="s">
        <v>835</v>
      </c>
      <c r="I184" s="57">
        <v>42717</v>
      </c>
      <c r="J184" s="54" t="s">
        <v>54</v>
      </c>
      <c r="K184" s="54" t="s">
        <v>55</v>
      </c>
      <c r="L184" s="56"/>
      <c r="M184" s="56"/>
      <c r="N184" s="58"/>
      <c r="O184" s="58"/>
      <c r="P184" s="58"/>
      <c r="Q184" s="59"/>
      <c r="R184" s="58"/>
      <c r="S184" s="58"/>
      <c r="T184" s="54" t="s">
        <v>56</v>
      </c>
      <c r="U184" s="54" t="s">
        <v>56</v>
      </c>
    </row>
    <row r="185" spans="1:21" ht="100" x14ac:dyDescent="0.25">
      <c r="A185" s="53">
        <v>184</v>
      </c>
      <c r="B185" s="54" t="s">
        <v>836</v>
      </c>
      <c r="C185" s="54" t="s">
        <v>837</v>
      </c>
      <c r="D185" s="54" t="s">
        <v>50</v>
      </c>
      <c r="E185" s="54" t="s">
        <v>589</v>
      </c>
      <c r="F185" s="55" t="s">
        <v>838</v>
      </c>
      <c r="G185" s="56">
        <v>43000</v>
      </c>
      <c r="H185" s="54" t="s">
        <v>839</v>
      </c>
      <c r="I185" s="57">
        <v>43012</v>
      </c>
      <c r="J185" s="54" t="s">
        <v>54</v>
      </c>
      <c r="K185" s="54" t="s">
        <v>55</v>
      </c>
      <c r="L185" s="56"/>
      <c r="M185" s="56"/>
      <c r="N185" s="54"/>
      <c r="O185" s="54"/>
      <c r="P185" s="54"/>
      <c r="Q185" s="54"/>
      <c r="R185" s="54"/>
      <c r="S185" s="54"/>
      <c r="T185" s="54" t="s">
        <v>56</v>
      </c>
      <c r="U185" s="54" t="s">
        <v>56</v>
      </c>
    </row>
    <row r="186" spans="1:21" ht="100" x14ac:dyDescent="0.25">
      <c r="A186" s="53">
        <v>185</v>
      </c>
      <c r="B186" s="54" t="s">
        <v>840</v>
      </c>
      <c r="C186" s="54" t="s">
        <v>841</v>
      </c>
      <c r="D186" s="54" t="s">
        <v>50</v>
      </c>
      <c r="E186" s="54" t="s">
        <v>589</v>
      </c>
      <c r="F186" s="55" t="s">
        <v>842</v>
      </c>
      <c r="G186" s="56">
        <v>42999</v>
      </c>
      <c r="H186" s="54" t="s">
        <v>843</v>
      </c>
      <c r="I186" s="57">
        <v>43012</v>
      </c>
      <c r="J186" s="54" t="s">
        <v>54</v>
      </c>
      <c r="K186" s="54" t="s">
        <v>55</v>
      </c>
      <c r="L186" s="56"/>
      <c r="M186" s="56"/>
      <c r="N186" s="54"/>
      <c r="O186" s="54"/>
      <c r="P186" s="54"/>
      <c r="Q186" s="54"/>
      <c r="R186" s="54"/>
      <c r="S186" s="54"/>
      <c r="T186" s="54" t="s">
        <v>56</v>
      </c>
      <c r="U186" s="54" t="s">
        <v>56</v>
      </c>
    </row>
    <row r="187" spans="1:21" ht="100" x14ac:dyDescent="0.25">
      <c r="A187" s="53">
        <v>186</v>
      </c>
      <c r="B187" s="54" t="s">
        <v>844</v>
      </c>
      <c r="C187" s="54" t="s">
        <v>845</v>
      </c>
      <c r="D187" s="54" t="s">
        <v>50</v>
      </c>
      <c r="E187" s="54" t="s">
        <v>589</v>
      </c>
      <c r="F187" s="55" t="s">
        <v>846</v>
      </c>
      <c r="G187" s="56">
        <v>42685</v>
      </c>
      <c r="H187" s="54" t="s">
        <v>847</v>
      </c>
      <c r="I187" s="57">
        <v>42703</v>
      </c>
      <c r="J187" s="54" t="s">
        <v>54</v>
      </c>
      <c r="K187" s="54" t="s">
        <v>55</v>
      </c>
      <c r="L187" s="56"/>
      <c r="M187" s="56"/>
      <c r="N187" s="58"/>
      <c r="O187" s="58"/>
      <c r="P187" s="58"/>
      <c r="Q187" s="59"/>
      <c r="R187" s="58"/>
      <c r="S187" s="58"/>
      <c r="T187" s="54" t="s">
        <v>56</v>
      </c>
      <c r="U187" s="54" t="s">
        <v>56</v>
      </c>
    </row>
    <row r="188" spans="1:21" ht="100" x14ac:dyDescent="0.25">
      <c r="A188" s="53">
        <v>187</v>
      </c>
      <c r="B188" s="54" t="s">
        <v>848</v>
      </c>
      <c r="C188" s="54" t="s">
        <v>849</v>
      </c>
      <c r="D188" s="54" t="s">
        <v>50</v>
      </c>
      <c r="E188" s="54" t="s">
        <v>589</v>
      </c>
      <c r="F188" s="55" t="s">
        <v>850</v>
      </c>
      <c r="G188" s="56">
        <v>43551</v>
      </c>
      <c r="H188" s="54" t="s">
        <v>851</v>
      </c>
      <c r="I188" s="57">
        <v>43615</v>
      </c>
      <c r="J188" s="54" t="s">
        <v>54</v>
      </c>
      <c r="K188" s="54" t="s">
        <v>55</v>
      </c>
      <c r="L188" s="56"/>
      <c r="M188" s="56"/>
      <c r="N188" s="54"/>
      <c r="O188" s="54"/>
      <c r="P188" s="54"/>
      <c r="Q188" s="54"/>
      <c r="R188" s="54"/>
      <c r="S188" s="54"/>
      <c r="T188" s="54" t="s">
        <v>56</v>
      </c>
      <c r="U188" s="54" t="s">
        <v>56</v>
      </c>
    </row>
    <row r="189" spans="1:21" ht="100" x14ac:dyDescent="0.25">
      <c r="A189" s="53">
        <v>188</v>
      </c>
      <c r="B189" s="54" t="s">
        <v>852</v>
      </c>
      <c r="C189" s="54" t="s">
        <v>853</v>
      </c>
      <c r="D189" s="54" t="s">
        <v>50</v>
      </c>
      <c r="E189" s="54" t="s">
        <v>589</v>
      </c>
      <c r="F189" s="55" t="s">
        <v>854</v>
      </c>
      <c r="G189" s="56">
        <v>42685</v>
      </c>
      <c r="H189" s="54" t="s">
        <v>855</v>
      </c>
      <c r="I189" s="57">
        <v>42703</v>
      </c>
      <c r="J189" s="54" t="s">
        <v>54</v>
      </c>
      <c r="K189" s="54" t="s">
        <v>55</v>
      </c>
      <c r="L189" s="56"/>
      <c r="M189" s="56"/>
      <c r="N189" s="58"/>
      <c r="O189" s="58"/>
      <c r="P189" s="58"/>
      <c r="Q189" s="59"/>
      <c r="R189" s="58"/>
      <c r="S189" s="58"/>
      <c r="T189" s="54" t="s">
        <v>87</v>
      </c>
      <c r="U189" s="58" t="s">
        <v>105</v>
      </c>
    </row>
    <row r="190" spans="1:21" ht="100" x14ac:dyDescent="0.25">
      <c r="A190" s="53">
        <v>189</v>
      </c>
      <c r="B190" s="54" t="s">
        <v>856</v>
      </c>
      <c r="C190" s="54" t="s">
        <v>857</v>
      </c>
      <c r="D190" s="54" t="s">
        <v>50</v>
      </c>
      <c r="E190" s="54" t="s">
        <v>589</v>
      </c>
      <c r="F190" s="55" t="s">
        <v>858</v>
      </c>
      <c r="G190" s="56">
        <v>43301</v>
      </c>
      <c r="H190" s="54" t="s">
        <v>859</v>
      </c>
      <c r="I190" s="57">
        <v>43339</v>
      </c>
      <c r="J190" s="54" t="s">
        <v>54</v>
      </c>
      <c r="K190" s="54" t="s">
        <v>55</v>
      </c>
      <c r="L190" s="56"/>
      <c r="M190" s="56"/>
      <c r="N190" s="54"/>
      <c r="O190" s="54"/>
      <c r="P190" s="54"/>
      <c r="Q190" s="54"/>
      <c r="R190" s="54"/>
      <c r="S190" s="54"/>
      <c r="T190" s="54" t="s">
        <v>56</v>
      </c>
      <c r="U190" s="54" t="s">
        <v>56</v>
      </c>
    </row>
    <row r="191" spans="1:21" ht="100" x14ac:dyDescent="0.25">
      <c r="A191" s="53">
        <v>190</v>
      </c>
      <c r="B191" s="54" t="s">
        <v>860</v>
      </c>
      <c r="C191" s="54" t="s">
        <v>861</v>
      </c>
      <c r="D191" s="54" t="s">
        <v>50</v>
      </c>
      <c r="E191" s="54" t="s">
        <v>589</v>
      </c>
      <c r="F191" s="55" t="s">
        <v>862</v>
      </c>
      <c r="G191" s="56">
        <v>42685</v>
      </c>
      <c r="H191" s="54" t="s">
        <v>863</v>
      </c>
      <c r="I191" s="57">
        <v>42717</v>
      </c>
      <c r="J191" s="54" t="s">
        <v>54</v>
      </c>
      <c r="K191" s="54" t="s">
        <v>55</v>
      </c>
      <c r="L191" s="56"/>
      <c r="M191" s="56"/>
      <c r="N191" s="58"/>
      <c r="O191" s="58"/>
      <c r="P191" s="58"/>
      <c r="Q191" s="59"/>
      <c r="R191" s="58"/>
      <c r="S191" s="58"/>
      <c r="T191" s="54" t="s">
        <v>56</v>
      </c>
      <c r="U191" s="54" t="s">
        <v>56</v>
      </c>
    </row>
    <row r="192" spans="1:21" ht="100" x14ac:dyDescent="0.25">
      <c r="A192" s="53">
        <v>191</v>
      </c>
      <c r="B192" s="54" t="s">
        <v>864</v>
      </c>
      <c r="C192" s="54" t="s">
        <v>865</v>
      </c>
      <c r="D192" s="54" t="s">
        <v>50</v>
      </c>
      <c r="E192" s="54" t="s">
        <v>589</v>
      </c>
      <c r="F192" s="55" t="s">
        <v>866</v>
      </c>
      <c r="G192" s="56">
        <v>42999</v>
      </c>
      <c r="H192" s="54" t="s">
        <v>867</v>
      </c>
      <c r="I192" s="57">
        <v>43012</v>
      </c>
      <c r="J192" s="54" t="s">
        <v>54</v>
      </c>
      <c r="K192" s="54" t="s">
        <v>55</v>
      </c>
      <c r="L192" s="56"/>
      <c r="M192" s="56"/>
      <c r="N192" s="54"/>
      <c r="O192" s="54"/>
      <c r="P192" s="54"/>
      <c r="Q192" s="54"/>
      <c r="R192" s="54"/>
      <c r="S192" s="54"/>
      <c r="T192" s="54" t="s">
        <v>56</v>
      </c>
      <c r="U192" s="54" t="s">
        <v>56</v>
      </c>
    </row>
    <row r="193" spans="1:21" ht="100" x14ac:dyDescent="0.25">
      <c r="A193" s="53">
        <v>192</v>
      </c>
      <c r="B193" s="54" t="s">
        <v>868</v>
      </c>
      <c r="C193" s="54" t="s">
        <v>869</v>
      </c>
      <c r="D193" s="54" t="s">
        <v>50</v>
      </c>
      <c r="E193" s="54" t="s">
        <v>589</v>
      </c>
      <c r="F193" s="55" t="s">
        <v>870</v>
      </c>
      <c r="G193" s="56">
        <v>43489</v>
      </c>
      <c r="H193" s="54" t="s">
        <v>871</v>
      </c>
      <c r="I193" s="57">
        <v>43521</v>
      </c>
      <c r="J193" s="54" t="s">
        <v>54</v>
      </c>
      <c r="K193" s="54" t="s">
        <v>55</v>
      </c>
      <c r="L193" s="56"/>
      <c r="M193" s="56"/>
      <c r="N193" s="54"/>
      <c r="O193" s="54"/>
      <c r="P193" s="54"/>
      <c r="Q193" s="54"/>
      <c r="R193" s="54"/>
      <c r="S193" s="54"/>
      <c r="T193" s="54" t="s">
        <v>56</v>
      </c>
      <c r="U193" s="54" t="s">
        <v>56</v>
      </c>
    </row>
    <row r="194" spans="1:21" ht="100" x14ac:dyDescent="0.25">
      <c r="A194" s="53">
        <v>193</v>
      </c>
      <c r="B194" s="54" t="s">
        <v>872</v>
      </c>
      <c r="C194" s="54" t="s">
        <v>873</v>
      </c>
      <c r="D194" s="54" t="s">
        <v>50</v>
      </c>
      <c r="E194" s="54" t="s">
        <v>589</v>
      </c>
      <c r="F194" s="55" t="s">
        <v>874</v>
      </c>
      <c r="G194" s="56">
        <v>42999</v>
      </c>
      <c r="H194" s="54" t="s">
        <v>875</v>
      </c>
      <c r="I194" s="57">
        <v>43012</v>
      </c>
      <c r="J194" s="54" t="s">
        <v>54</v>
      </c>
      <c r="K194" s="54" t="s">
        <v>55</v>
      </c>
      <c r="L194" s="56"/>
      <c r="M194" s="56"/>
      <c r="N194" s="54"/>
      <c r="O194" s="54"/>
      <c r="P194" s="54"/>
      <c r="Q194" s="54"/>
      <c r="R194" s="54"/>
      <c r="S194" s="54"/>
      <c r="T194" s="54" t="s">
        <v>56</v>
      </c>
      <c r="U194" s="54" t="s">
        <v>56</v>
      </c>
    </row>
    <row r="195" spans="1:21" ht="100" x14ac:dyDescent="0.25">
      <c r="A195" s="53">
        <v>194</v>
      </c>
      <c r="B195" s="54" t="s">
        <v>876</v>
      </c>
      <c r="C195" s="54" t="s">
        <v>877</v>
      </c>
      <c r="D195" s="54" t="s">
        <v>50</v>
      </c>
      <c r="E195" s="54" t="s">
        <v>589</v>
      </c>
      <c r="F195" s="55" t="s">
        <v>878</v>
      </c>
      <c r="G195" s="56">
        <v>42689</v>
      </c>
      <c r="H195" s="54" t="s">
        <v>879</v>
      </c>
      <c r="I195" s="57">
        <v>42717</v>
      </c>
      <c r="J195" s="54" t="s">
        <v>54</v>
      </c>
      <c r="K195" s="54" t="s">
        <v>55</v>
      </c>
      <c r="L195" s="56"/>
      <c r="M195" s="56"/>
      <c r="N195" s="58"/>
      <c r="O195" s="58"/>
      <c r="P195" s="58"/>
      <c r="Q195" s="59"/>
      <c r="R195" s="58"/>
      <c r="S195" s="58"/>
      <c r="T195" s="54" t="s">
        <v>56</v>
      </c>
      <c r="U195" s="54" t="s">
        <v>56</v>
      </c>
    </row>
    <row r="196" spans="1:21" ht="100" x14ac:dyDescent="0.25">
      <c r="A196" s="53">
        <v>195</v>
      </c>
      <c r="B196" s="54" t="s">
        <v>880</v>
      </c>
      <c r="C196" s="54" t="s">
        <v>881</v>
      </c>
      <c r="D196" s="54" t="s">
        <v>50</v>
      </c>
      <c r="E196" s="54" t="s">
        <v>589</v>
      </c>
      <c r="F196" s="55" t="s">
        <v>882</v>
      </c>
      <c r="G196" s="56">
        <v>43007</v>
      </c>
      <c r="H196" s="54" t="s">
        <v>883</v>
      </c>
      <c r="I196" s="57">
        <v>43031</v>
      </c>
      <c r="J196" s="54" t="s">
        <v>54</v>
      </c>
      <c r="K196" s="54" t="s">
        <v>55</v>
      </c>
      <c r="L196" s="56"/>
      <c r="M196" s="56"/>
      <c r="N196" s="54"/>
      <c r="O196" s="54"/>
      <c r="P196" s="54"/>
      <c r="Q196" s="54"/>
      <c r="R196" s="54"/>
      <c r="S196" s="54"/>
      <c r="T196" s="54" t="s">
        <v>56</v>
      </c>
      <c r="U196" s="54" t="s">
        <v>56</v>
      </c>
    </row>
    <row r="197" spans="1:21" ht="100" x14ac:dyDescent="0.25">
      <c r="A197" s="53">
        <v>196</v>
      </c>
      <c r="B197" s="54" t="s">
        <v>884</v>
      </c>
      <c r="C197" s="54" t="s">
        <v>885</v>
      </c>
      <c r="D197" s="54" t="s">
        <v>50</v>
      </c>
      <c r="E197" s="54" t="s">
        <v>589</v>
      </c>
      <c r="F197" s="55" t="s">
        <v>886</v>
      </c>
      <c r="G197" s="56">
        <v>43007</v>
      </c>
      <c r="H197" s="54" t="s">
        <v>887</v>
      </c>
      <c r="I197" s="57">
        <v>43031</v>
      </c>
      <c r="J197" s="54" t="s">
        <v>54</v>
      </c>
      <c r="K197" s="54" t="s">
        <v>55</v>
      </c>
      <c r="L197" s="56"/>
      <c r="M197" s="56"/>
      <c r="N197" s="54"/>
      <c r="O197" s="54"/>
      <c r="P197" s="54"/>
      <c r="Q197" s="54"/>
      <c r="R197" s="54"/>
      <c r="S197" s="54"/>
      <c r="T197" s="54" t="s">
        <v>56</v>
      </c>
      <c r="U197" s="54" t="s">
        <v>56</v>
      </c>
    </row>
    <row r="198" spans="1:21" ht="100" x14ac:dyDescent="0.25">
      <c r="A198" s="53">
        <v>197</v>
      </c>
      <c r="B198" s="54" t="s">
        <v>888</v>
      </c>
      <c r="C198" s="54" t="s">
        <v>889</v>
      </c>
      <c r="D198" s="54" t="s">
        <v>50</v>
      </c>
      <c r="E198" s="54" t="s">
        <v>589</v>
      </c>
      <c r="F198" s="55" t="s">
        <v>890</v>
      </c>
      <c r="G198" s="56">
        <v>42689</v>
      </c>
      <c r="H198" s="54" t="s">
        <v>891</v>
      </c>
      <c r="I198" s="57">
        <v>42717</v>
      </c>
      <c r="J198" s="54" t="s">
        <v>54</v>
      </c>
      <c r="K198" s="54" t="s">
        <v>55</v>
      </c>
      <c r="L198" s="56"/>
      <c r="M198" s="56"/>
      <c r="N198" s="58"/>
      <c r="O198" s="58"/>
      <c r="P198" s="58"/>
      <c r="Q198" s="59"/>
      <c r="R198" s="58"/>
      <c r="S198" s="58"/>
      <c r="T198" s="54" t="s">
        <v>56</v>
      </c>
      <c r="U198" s="54" t="s">
        <v>56</v>
      </c>
    </row>
    <row r="199" spans="1:21" ht="100" x14ac:dyDescent="0.25">
      <c r="A199" s="53">
        <v>198</v>
      </c>
      <c r="B199" s="54" t="s">
        <v>892</v>
      </c>
      <c r="C199" s="54" t="s">
        <v>893</v>
      </c>
      <c r="D199" s="54" t="s">
        <v>50</v>
      </c>
      <c r="E199" s="54" t="s">
        <v>589</v>
      </c>
      <c r="F199" s="55" t="s">
        <v>894</v>
      </c>
      <c r="G199" s="56">
        <v>42999</v>
      </c>
      <c r="H199" s="54" t="s">
        <v>895</v>
      </c>
      <c r="I199" s="57">
        <v>43012</v>
      </c>
      <c r="J199" s="54" t="s">
        <v>54</v>
      </c>
      <c r="K199" s="54" t="s">
        <v>81</v>
      </c>
      <c r="L199" s="56"/>
      <c r="M199" s="56"/>
      <c r="N199" s="54"/>
      <c r="O199" s="54"/>
      <c r="P199" s="54"/>
      <c r="Q199" s="54"/>
      <c r="R199" s="54"/>
      <c r="S199" s="54"/>
      <c r="T199" s="54" t="s">
        <v>56</v>
      </c>
      <c r="U199" s="54" t="s">
        <v>56</v>
      </c>
    </row>
    <row r="200" spans="1:21" ht="100" x14ac:dyDescent="0.25">
      <c r="A200" s="53">
        <v>199</v>
      </c>
      <c r="B200" s="54" t="s">
        <v>896</v>
      </c>
      <c r="C200" s="54" t="s">
        <v>897</v>
      </c>
      <c r="D200" s="54" t="s">
        <v>50</v>
      </c>
      <c r="E200" s="54" t="s">
        <v>589</v>
      </c>
      <c r="F200" s="55" t="s">
        <v>898</v>
      </c>
      <c r="G200" s="56">
        <v>43301</v>
      </c>
      <c r="H200" s="54" t="s">
        <v>899</v>
      </c>
      <c r="I200" s="57">
        <v>43342</v>
      </c>
      <c r="J200" s="54" t="s">
        <v>54</v>
      </c>
      <c r="K200" s="54" t="s">
        <v>55</v>
      </c>
      <c r="L200" s="56"/>
      <c r="M200" s="56"/>
      <c r="N200" s="54"/>
      <c r="O200" s="54"/>
      <c r="P200" s="54"/>
      <c r="Q200" s="54"/>
      <c r="R200" s="54"/>
      <c r="S200" s="54"/>
      <c r="T200" s="54" t="s">
        <v>56</v>
      </c>
      <c r="U200" s="54" t="s">
        <v>56</v>
      </c>
    </row>
    <row r="201" spans="1:21" ht="100" x14ac:dyDescent="0.25">
      <c r="A201" s="53">
        <v>200</v>
      </c>
      <c r="B201" s="54" t="s">
        <v>900</v>
      </c>
      <c r="C201" s="54" t="s">
        <v>901</v>
      </c>
      <c r="D201" s="54" t="s">
        <v>50</v>
      </c>
      <c r="E201" s="54" t="s">
        <v>589</v>
      </c>
      <c r="F201" s="55" t="s">
        <v>902</v>
      </c>
      <c r="G201" s="56">
        <v>42685</v>
      </c>
      <c r="H201" s="54" t="s">
        <v>903</v>
      </c>
      <c r="I201" s="57">
        <v>42704</v>
      </c>
      <c r="J201" s="54" t="s">
        <v>54</v>
      </c>
      <c r="K201" s="54" t="s">
        <v>55</v>
      </c>
      <c r="L201" s="56"/>
      <c r="M201" s="56"/>
      <c r="N201" s="58"/>
      <c r="O201" s="58"/>
      <c r="P201" s="58"/>
      <c r="Q201" s="59"/>
      <c r="R201" s="58"/>
      <c r="S201" s="58"/>
      <c r="T201" s="54" t="s">
        <v>56</v>
      </c>
      <c r="U201" s="54" t="s">
        <v>56</v>
      </c>
    </row>
    <row r="202" spans="1:21" ht="100" x14ac:dyDescent="0.25">
      <c r="A202" s="53">
        <v>201</v>
      </c>
      <c r="B202" s="54" t="s">
        <v>904</v>
      </c>
      <c r="C202" s="54" t="s">
        <v>905</v>
      </c>
      <c r="D202" s="54" t="s">
        <v>50</v>
      </c>
      <c r="E202" s="54" t="s">
        <v>589</v>
      </c>
      <c r="F202" s="55" t="s">
        <v>906</v>
      </c>
      <c r="G202" s="56">
        <v>42685</v>
      </c>
      <c r="H202" s="54" t="s">
        <v>907</v>
      </c>
      <c r="I202" s="57">
        <v>42712</v>
      </c>
      <c r="J202" s="54" t="s">
        <v>54</v>
      </c>
      <c r="K202" s="54" t="s">
        <v>55</v>
      </c>
      <c r="L202" s="56"/>
      <c r="M202" s="56"/>
      <c r="N202" s="58"/>
      <c r="O202" s="58"/>
      <c r="P202" s="58"/>
      <c r="Q202" s="59"/>
      <c r="R202" s="58"/>
      <c r="S202" s="58"/>
      <c r="T202" s="54" t="s">
        <v>56</v>
      </c>
      <c r="U202" s="54" t="s">
        <v>56</v>
      </c>
    </row>
    <row r="203" spans="1:21" ht="50" x14ac:dyDescent="0.25">
      <c r="A203" s="53">
        <v>202</v>
      </c>
      <c r="B203" s="54" t="s">
        <v>908</v>
      </c>
      <c r="C203" s="54" t="s">
        <v>909</v>
      </c>
      <c r="D203" s="54" t="s">
        <v>59</v>
      </c>
      <c r="E203" s="54" t="s">
        <v>589</v>
      </c>
      <c r="F203" s="55" t="s">
        <v>910</v>
      </c>
      <c r="G203" s="56">
        <v>42600.755462963003</v>
      </c>
      <c r="H203" s="54" t="s">
        <v>911</v>
      </c>
      <c r="I203" s="57">
        <v>42629</v>
      </c>
      <c r="J203" s="54" t="s">
        <v>779</v>
      </c>
      <c r="K203" s="54" t="s">
        <v>81</v>
      </c>
      <c r="L203" s="56"/>
      <c r="M203" s="56"/>
      <c r="N203" s="58"/>
      <c r="O203" s="58"/>
      <c r="P203" s="58"/>
      <c r="Q203" s="59"/>
      <c r="R203" s="58"/>
      <c r="S203" s="58"/>
      <c r="T203" s="54" t="s">
        <v>56</v>
      </c>
      <c r="U203" s="54" t="s">
        <v>56</v>
      </c>
    </row>
    <row r="204" spans="1:21" ht="100" x14ac:dyDescent="0.25">
      <c r="A204" s="53">
        <v>203</v>
      </c>
      <c r="B204" s="54" t="s">
        <v>912</v>
      </c>
      <c r="C204" s="54" t="s">
        <v>913</v>
      </c>
      <c r="D204" s="54" t="s">
        <v>50</v>
      </c>
      <c r="E204" s="54" t="s">
        <v>589</v>
      </c>
      <c r="F204" s="55" t="s">
        <v>914</v>
      </c>
      <c r="G204" s="56">
        <v>43007</v>
      </c>
      <c r="H204" s="54" t="s">
        <v>915</v>
      </c>
      <c r="I204" s="57">
        <v>43059</v>
      </c>
      <c r="J204" s="54" t="s">
        <v>54</v>
      </c>
      <c r="K204" s="54" t="s">
        <v>55</v>
      </c>
      <c r="L204" s="56"/>
      <c r="M204" s="56"/>
      <c r="N204" s="54"/>
      <c r="O204" s="54"/>
      <c r="P204" s="54"/>
      <c r="Q204" s="54"/>
      <c r="R204" s="54"/>
      <c r="S204" s="54"/>
      <c r="T204" s="54" t="s">
        <v>56</v>
      </c>
      <c r="U204" s="54" t="s">
        <v>56</v>
      </c>
    </row>
    <row r="205" spans="1:21" ht="137.5" x14ac:dyDescent="0.25">
      <c r="A205" s="53">
        <v>204</v>
      </c>
      <c r="B205" s="54" t="s">
        <v>916</v>
      </c>
      <c r="C205" s="54" t="s">
        <v>917</v>
      </c>
      <c r="D205" s="54" t="s">
        <v>59</v>
      </c>
      <c r="E205" s="54" t="s">
        <v>589</v>
      </c>
      <c r="F205" s="55" t="s">
        <v>918</v>
      </c>
      <c r="G205" s="56">
        <v>42685</v>
      </c>
      <c r="H205" s="54" t="s">
        <v>919</v>
      </c>
      <c r="I205" s="57">
        <v>42717</v>
      </c>
      <c r="J205" s="54" t="s">
        <v>920</v>
      </c>
      <c r="K205" s="54" t="s">
        <v>55</v>
      </c>
      <c r="L205" s="56"/>
      <c r="M205" s="56"/>
      <c r="N205" s="58"/>
      <c r="O205" s="58"/>
      <c r="P205" s="58"/>
      <c r="Q205" s="59"/>
      <c r="R205" s="58"/>
      <c r="S205" s="58"/>
      <c r="T205" s="54" t="s">
        <v>56</v>
      </c>
      <c r="U205" s="54" t="s">
        <v>56</v>
      </c>
    </row>
    <row r="206" spans="1:21" ht="100" x14ac:dyDescent="0.25">
      <c r="A206" s="53">
        <v>205</v>
      </c>
      <c r="B206" s="54" t="s">
        <v>921</v>
      </c>
      <c r="C206" s="54" t="s">
        <v>922</v>
      </c>
      <c r="D206" s="54" t="s">
        <v>50</v>
      </c>
      <c r="E206" s="54" t="s">
        <v>589</v>
      </c>
      <c r="F206" s="55" t="s">
        <v>923</v>
      </c>
      <c r="G206" s="56">
        <v>43007</v>
      </c>
      <c r="H206" s="54" t="s">
        <v>924</v>
      </c>
      <c r="I206" s="57">
        <v>43031</v>
      </c>
      <c r="J206" s="54" t="s">
        <v>54</v>
      </c>
      <c r="K206" s="54" t="s">
        <v>55</v>
      </c>
      <c r="L206" s="56"/>
      <c r="M206" s="56"/>
      <c r="N206" s="54"/>
      <c r="O206" s="54"/>
      <c r="P206" s="54"/>
      <c r="Q206" s="54"/>
      <c r="R206" s="54"/>
      <c r="S206" s="54"/>
      <c r="T206" s="54" t="s">
        <v>56</v>
      </c>
      <c r="U206" s="54" t="s">
        <v>56</v>
      </c>
    </row>
    <row r="207" spans="1:21" ht="100" x14ac:dyDescent="0.25">
      <c r="A207" s="53">
        <v>206</v>
      </c>
      <c r="B207" s="54" t="s">
        <v>925</v>
      </c>
      <c r="C207" s="54" t="s">
        <v>926</v>
      </c>
      <c r="D207" s="54" t="s">
        <v>50</v>
      </c>
      <c r="E207" s="54" t="s">
        <v>589</v>
      </c>
      <c r="F207" s="55" t="s">
        <v>927</v>
      </c>
      <c r="G207" s="56">
        <v>42999</v>
      </c>
      <c r="H207" s="54" t="s">
        <v>928</v>
      </c>
      <c r="I207" s="57">
        <v>43012</v>
      </c>
      <c r="J207" s="54" t="s">
        <v>54</v>
      </c>
      <c r="K207" s="54" t="s">
        <v>55</v>
      </c>
      <c r="L207" s="56"/>
      <c r="M207" s="56"/>
      <c r="N207" s="54"/>
      <c r="O207" s="54"/>
      <c r="P207" s="54"/>
      <c r="Q207" s="54"/>
      <c r="R207" s="54"/>
      <c r="S207" s="54"/>
      <c r="T207" s="54" t="s">
        <v>56</v>
      </c>
      <c r="U207" s="54" t="s">
        <v>56</v>
      </c>
    </row>
    <row r="208" spans="1:21" ht="100" x14ac:dyDescent="0.25">
      <c r="A208" s="53">
        <v>207</v>
      </c>
      <c r="B208" s="54" t="s">
        <v>929</v>
      </c>
      <c r="C208" s="54" t="s">
        <v>930</v>
      </c>
      <c r="D208" s="54" t="s">
        <v>50</v>
      </c>
      <c r="E208" s="54" t="s">
        <v>589</v>
      </c>
      <c r="F208" s="55" t="s">
        <v>931</v>
      </c>
      <c r="G208" s="56">
        <v>43055</v>
      </c>
      <c r="H208" s="54" t="s">
        <v>932</v>
      </c>
      <c r="I208" s="57">
        <v>43066</v>
      </c>
      <c r="J208" s="54" t="s">
        <v>54</v>
      </c>
      <c r="K208" s="54" t="s">
        <v>55</v>
      </c>
      <c r="L208" s="56"/>
      <c r="M208" s="56"/>
      <c r="N208" s="54"/>
      <c r="O208" s="54"/>
      <c r="P208" s="54"/>
      <c r="Q208" s="54"/>
      <c r="R208" s="54"/>
      <c r="S208" s="54"/>
      <c r="T208" s="54" t="s">
        <v>87</v>
      </c>
      <c r="U208" s="58" t="s">
        <v>105</v>
      </c>
    </row>
    <row r="209" spans="1:21" ht="100" x14ac:dyDescent="0.25">
      <c r="A209" s="53">
        <v>208</v>
      </c>
      <c r="B209" s="54" t="s">
        <v>933</v>
      </c>
      <c r="C209" s="54" t="s">
        <v>934</v>
      </c>
      <c r="D209" s="54" t="s">
        <v>50</v>
      </c>
      <c r="E209" s="54" t="s">
        <v>589</v>
      </c>
      <c r="F209" s="55" t="s">
        <v>935</v>
      </c>
      <c r="G209" s="56">
        <v>43326</v>
      </c>
      <c r="H209" s="54" t="s">
        <v>936</v>
      </c>
      <c r="I209" s="57">
        <v>43391</v>
      </c>
      <c r="J209" s="54" t="s">
        <v>54</v>
      </c>
      <c r="K209" s="54" t="s">
        <v>55</v>
      </c>
      <c r="L209" s="56"/>
      <c r="M209" s="56"/>
      <c r="N209" s="54"/>
      <c r="O209" s="54"/>
      <c r="P209" s="54"/>
      <c r="Q209" s="54"/>
      <c r="R209" s="54"/>
      <c r="S209" s="54"/>
      <c r="T209" s="54" t="s">
        <v>56</v>
      </c>
      <c r="U209" s="54" t="s">
        <v>56</v>
      </c>
    </row>
    <row r="210" spans="1:21" ht="100" x14ac:dyDescent="0.25">
      <c r="A210" s="53">
        <v>209</v>
      </c>
      <c r="B210" s="54" t="s">
        <v>937</v>
      </c>
      <c r="C210" s="54" t="s">
        <v>938</v>
      </c>
      <c r="D210" s="54" t="s">
        <v>50</v>
      </c>
      <c r="E210" s="54" t="s">
        <v>589</v>
      </c>
      <c r="F210" s="55" t="s">
        <v>939</v>
      </c>
      <c r="G210" s="56">
        <v>42999</v>
      </c>
      <c r="H210" s="54" t="s">
        <v>940</v>
      </c>
      <c r="I210" s="57">
        <v>43012</v>
      </c>
      <c r="J210" s="54" t="s">
        <v>54</v>
      </c>
      <c r="K210" s="54" t="s">
        <v>55</v>
      </c>
      <c r="L210" s="56"/>
      <c r="M210" s="56"/>
      <c r="N210" s="54"/>
      <c r="O210" s="54"/>
      <c r="P210" s="54"/>
      <c r="Q210" s="54"/>
      <c r="R210" s="54"/>
      <c r="S210" s="54"/>
      <c r="T210" s="54" t="s">
        <v>56</v>
      </c>
      <c r="U210" s="54" t="s">
        <v>56</v>
      </c>
    </row>
    <row r="211" spans="1:21" ht="100" x14ac:dyDescent="0.25">
      <c r="A211" s="53">
        <v>210</v>
      </c>
      <c r="B211" s="54" t="s">
        <v>941</v>
      </c>
      <c r="C211" s="54" t="s">
        <v>942</v>
      </c>
      <c r="D211" s="54" t="s">
        <v>50</v>
      </c>
      <c r="E211" s="54" t="s">
        <v>589</v>
      </c>
      <c r="F211" s="55" t="s">
        <v>943</v>
      </c>
      <c r="G211" s="56">
        <v>42999</v>
      </c>
      <c r="H211" s="54" t="s">
        <v>944</v>
      </c>
      <c r="I211" s="57">
        <v>43012</v>
      </c>
      <c r="J211" s="54" t="s">
        <v>54</v>
      </c>
      <c r="K211" s="54" t="s">
        <v>55</v>
      </c>
      <c r="L211" s="56"/>
      <c r="M211" s="56"/>
      <c r="N211" s="54"/>
      <c r="O211" s="54"/>
      <c r="P211" s="54"/>
      <c r="Q211" s="54"/>
      <c r="R211" s="54"/>
      <c r="S211" s="54"/>
      <c r="T211" s="54" t="s">
        <v>56</v>
      </c>
      <c r="U211" s="54" t="s">
        <v>56</v>
      </c>
    </row>
    <row r="212" spans="1:21" ht="100" x14ac:dyDescent="0.25">
      <c r="A212" s="53">
        <v>211</v>
      </c>
      <c r="B212" s="54" t="s">
        <v>945</v>
      </c>
      <c r="C212" s="54" t="s">
        <v>946</v>
      </c>
      <c r="D212" s="54" t="s">
        <v>50</v>
      </c>
      <c r="E212" s="54" t="s">
        <v>589</v>
      </c>
      <c r="F212" s="55" t="s">
        <v>947</v>
      </c>
      <c r="G212" s="56">
        <v>42685</v>
      </c>
      <c r="H212" s="54" t="s">
        <v>948</v>
      </c>
      <c r="I212" s="57">
        <v>42717</v>
      </c>
      <c r="J212" s="54" t="s">
        <v>54</v>
      </c>
      <c r="K212" s="54" t="s">
        <v>55</v>
      </c>
      <c r="L212" s="56"/>
      <c r="M212" s="56"/>
      <c r="N212" s="58"/>
      <c r="O212" s="58"/>
      <c r="P212" s="58"/>
      <c r="Q212" s="59"/>
      <c r="R212" s="58"/>
      <c r="S212" s="58"/>
      <c r="T212" s="54" t="s">
        <v>56</v>
      </c>
      <c r="U212" s="54" t="s">
        <v>56</v>
      </c>
    </row>
    <row r="213" spans="1:21" ht="100" x14ac:dyDescent="0.25">
      <c r="A213" s="53">
        <v>212</v>
      </c>
      <c r="B213" s="54" t="s">
        <v>949</v>
      </c>
      <c r="C213" s="54" t="s">
        <v>950</v>
      </c>
      <c r="D213" s="54" t="s">
        <v>50</v>
      </c>
      <c r="E213" s="54" t="s">
        <v>589</v>
      </c>
      <c r="F213" s="55" t="s">
        <v>951</v>
      </c>
      <c r="G213" s="56">
        <v>43301</v>
      </c>
      <c r="H213" s="54" t="s">
        <v>952</v>
      </c>
      <c r="I213" s="57">
        <v>43321</v>
      </c>
      <c r="J213" s="54" t="s">
        <v>54</v>
      </c>
      <c r="K213" s="54" t="s">
        <v>55</v>
      </c>
      <c r="L213" s="56"/>
      <c r="M213" s="56"/>
      <c r="N213" s="54"/>
      <c r="O213" s="54"/>
      <c r="P213" s="54"/>
      <c r="Q213" s="54"/>
      <c r="R213" s="54"/>
      <c r="S213" s="54"/>
      <c r="T213" s="54" t="s">
        <v>56</v>
      </c>
      <c r="U213" s="54" t="s">
        <v>56</v>
      </c>
    </row>
    <row r="214" spans="1:21" ht="100" x14ac:dyDescent="0.25">
      <c r="A214" s="53">
        <v>213</v>
      </c>
      <c r="B214" s="54" t="s">
        <v>953</v>
      </c>
      <c r="C214" s="54" t="s">
        <v>954</v>
      </c>
      <c r="D214" s="54" t="s">
        <v>50</v>
      </c>
      <c r="E214" s="54" t="s">
        <v>589</v>
      </c>
      <c r="F214" s="55" t="s">
        <v>955</v>
      </c>
      <c r="G214" s="56">
        <v>43007</v>
      </c>
      <c r="H214" s="54" t="s">
        <v>956</v>
      </c>
      <c r="I214" s="57">
        <v>43031</v>
      </c>
      <c r="J214" s="54" t="s">
        <v>54</v>
      </c>
      <c r="K214" s="54" t="s">
        <v>55</v>
      </c>
      <c r="L214" s="56"/>
      <c r="M214" s="56"/>
      <c r="N214" s="54"/>
      <c r="O214" s="54"/>
      <c r="P214" s="54"/>
      <c r="Q214" s="54"/>
      <c r="R214" s="54"/>
      <c r="S214" s="54"/>
      <c r="T214" s="54" t="s">
        <v>56</v>
      </c>
      <c r="U214" s="54" t="s">
        <v>56</v>
      </c>
    </row>
    <row r="215" spans="1:21" ht="100" x14ac:dyDescent="0.25">
      <c r="A215" s="53">
        <v>214</v>
      </c>
      <c r="B215" s="54" t="s">
        <v>957</v>
      </c>
      <c r="C215" s="54" t="s">
        <v>958</v>
      </c>
      <c r="D215" s="54" t="s">
        <v>50</v>
      </c>
      <c r="E215" s="54" t="s">
        <v>589</v>
      </c>
      <c r="F215" s="55" t="s">
        <v>959</v>
      </c>
      <c r="G215" s="56">
        <v>42999</v>
      </c>
      <c r="H215" s="54" t="s">
        <v>960</v>
      </c>
      <c r="I215" s="57">
        <v>43012</v>
      </c>
      <c r="J215" s="54" t="s">
        <v>54</v>
      </c>
      <c r="K215" s="54" t="s">
        <v>55</v>
      </c>
      <c r="L215" s="56"/>
      <c r="M215" s="56"/>
      <c r="N215" s="54"/>
      <c r="O215" s="54"/>
      <c r="P215" s="54"/>
      <c r="Q215" s="54"/>
      <c r="R215" s="54"/>
      <c r="S215" s="54"/>
      <c r="T215" s="54" t="s">
        <v>56</v>
      </c>
      <c r="U215" s="54" t="s">
        <v>56</v>
      </c>
    </row>
    <row r="216" spans="1:21" ht="137.5" x14ac:dyDescent="0.25">
      <c r="A216" s="53">
        <v>215</v>
      </c>
      <c r="B216" s="54" t="s">
        <v>961</v>
      </c>
      <c r="C216" s="54" t="s">
        <v>962</v>
      </c>
      <c r="D216" s="54" t="s">
        <v>59</v>
      </c>
      <c r="E216" s="54" t="s">
        <v>257</v>
      </c>
      <c r="F216" s="55" t="s">
        <v>963</v>
      </c>
      <c r="G216" s="56">
        <v>43012</v>
      </c>
      <c r="H216" s="54" t="s">
        <v>964</v>
      </c>
      <c r="I216" s="57">
        <v>43046</v>
      </c>
      <c r="J216" s="54" t="s">
        <v>965</v>
      </c>
      <c r="K216" s="54" t="s">
        <v>81</v>
      </c>
      <c r="L216" s="56"/>
      <c r="M216" s="56"/>
      <c r="N216" s="54"/>
      <c r="O216" s="54"/>
      <c r="P216" s="54"/>
      <c r="Q216" s="54"/>
      <c r="R216" s="54"/>
      <c r="S216" s="54"/>
      <c r="T216" s="54" t="s">
        <v>56</v>
      </c>
      <c r="U216" s="54" t="s">
        <v>56</v>
      </c>
    </row>
    <row r="217" spans="1:21" ht="137.5" x14ac:dyDescent="0.25">
      <c r="A217" s="53">
        <v>216</v>
      </c>
      <c r="B217" s="54" t="s">
        <v>966</v>
      </c>
      <c r="C217" s="54" t="s">
        <v>967</v>
      </c>
      <c r="D217" s="54" t="s">
        <v>59</v>
      </c>
      <c r="E217" s="54" t="s">
        <v>257</v>
      </c>
      <c r="F217" s="55" t="s">
        <v>968</v>
      </c>
      <c r="G217" s="56">
        <v>42685</v>
      </c>
      <c r="H217" s="54" t="s">
        <v>969</v>
      </c>
      <c r="I217" s="57">
        <v>42733</v>
      </c>
      <c r="J217" s="54" t="s">
        <v>965</v>
      </c>
      <c r="K217" s="54" t="s">
        <v>55</v>
      </c>
      <c r="L217" s="56"/>
      <c r="M217" s="56"/>
      <c r="N217" s="58"/>
      <c r="O217" s="58"/>
      <c r="P217" s="58"/>
      <c r="Q217" s="59"/>
      <c r="R217" s="58"/>
      <c r="S217" s="58"/>
      <c r="T217" s="54" t="s">
        <v>56</v>
      </c>
      <c r="U217" s="54" t="s">
        <v>56</v>
      </c>
    </row>
    <row r="218" spans="1:21" ht="125" x14ac:dyDescent="0.25">
      <c r="A218" s="53">
        <v>217</v>
      </c>
      <c r="B218" s="54" t="s">
        <v>970</v>
      </c>
      <c r="C218" s="54" t="s">
        <v>971</v>
      </c>
      <c r="D218" s="54" t="s">
        <v>59</v>
      </c>
      <c r="E218" s="54" t="s">
        <v>257</v>
      </c>
      <c r="F218" s="55" t="s">
        <v>972</v>
      </c>
      <c r="G218" s="56">
        <v>42601.338923611103</v>
      </c>
      <c r="H218" s="54" t="s">
        <v>973</v>
      </c>
      <c r="I218" s="57">
        <v>42634</v>
      </c>
      <c r="J218" s="54" t="s">
        <v>80</v>
      </c>
      <c r="K218" s="54" t="s">
        <v>55</v>
      </c>
      <c r="L218" s="56"/>
      <c r="M218" s="56"/>
      <c r="N218" s="58"/>
      <c r="O218" s="58"/>
      <c r="P218" s="58"/>
      <c r="Q218" s="59"/>
      <c r="R218" s="58"/>
      <c r="S218" s="58"/>
      <c r="T218" s="54" t="s">
        <v>56</v>
      </c>
      <c r="U218" s="54" t="s">
        <v>56</v>
      </c>
    </row>
    <row r="219" spans="1:21" ht="137.5" x14ac:dyDescent="0.25">
      <c r="A219" s="53">
        <v>218</v>
      </c>
      <c r="B219" s="54" t="s">
        <v>974</v>
      </c>
      <c r="C219" s="54" t="s">
        <v>975</v>
      </c>
      <c r="D219" s="54" t="s">
        <v>59</v>
      </c>
      <c r="E219" s="54" t="s">
        <v>257</v>
      </c>
      <c r="F219" s="55" t="s">
        <v>976</v>
      </c>
      <c r="G219" s="56">
        <v>42997</v>
      </c>
      <c r="H219" s="54" t="s">
        <v>977</v>
      </c>
      <c r="I219" s="57">
        <v>43038</v>
      </c>
      <c r="J219" s="54" t="s">
        <v>965</v>
      </c>
      <c r="K219" s="54" t="s">
        <v>81</v>
      </c>
      <c r="L219" s="56"/>
      <c r="M219" s="56"/>
      <c r="N219" s="54"/>
      <c r="O219" s="54"/>
      <c r="P219" s="54"/>
      <c r="Q219" s="54"/>
      <c r="R219" s="54"/>
      <c r="S219" s="54"/>
      <c r="T219" s="54" t="s">
        <v>56</v>
      </c>
      <c r="U219" s="54" t="s">
        <v>56</v>
      </c>
    </row>
    <row r="220" spans="1:21" ht="62.5" x14ac:dyDescent="0.25">
      <c r="A220" s="53">
        <v>219</v>
      </c>
      <c r="B220" s="54" t="s">
        <v>978</v>
      </c>
      <c r="C220" s="54" t="s">
        <v>979</v>
      </c>
      <c r="D220" s="54" t="s">
        <v>59</v>
      </c>
      <c r="E220" s="54" t="s">
        <v>257</v>
      </c>
      <c r="F220" s="55" t="s">
        <v>980</v>
      </c>
      <c r="G220" s="56">
        <v>43006</v>
      </c>
      <c r="H220" s="54" t="s">
        <v>981</v>
      </c>
      <c r="I220" s="57">
        <v>43046</v>
      </c>
      <c r="J220" s="54" t="s">
        <v>1</v>
      </c>
      <c r="K220" s="54" t="s">
        <v>81</v>
      </c>
      <c r="L220" s="56"/>
      <c r="M220" s="56"/>
      <c r="N220" s="54"/>
      <c r="O220" s="54"/>
      <c r="P220" s="54"/>
      <c r="Q220" s="54"/>
      <c r="R220" s="54"/>
      <c r="S220" s="54"/>
      <c r="T220" s="54" t="s">
        <v>56</v>
      </c>
      <c r="U220" s="54" t="s">
        <v>56</v>
      </c>
    </row>
    <row r="221" spans="1:21" ht="37.5" x14ac:dyDescent="0.25">
      <c r="A221" s="53">
        <v>220</v>
      </c>
      <c r="B221" s="54" t="s">
        <v>982</v>
      </c>
      <c r="C221" s="54" t="s">
        <v>983</v>
      </c>
      <c r="D221" s="54" t="s">
        <v>59</v>
      </c>
      <c r="E221" s="54" t="s">
        <v>257</v>
      </c>
      <c r="F221" s="55" t="s">
        <v>984</v>
      </c>
      <c r="G221" s="56">
        <v>43060</v>
      </c>
      <c r="H221" s="54" t="s">
        <v>985</v>
      </c>
      <c r="I221" s="57">
        <v>43089</v>
      </c>
      <c r="J221" s="54" t="s">
        <v>986</v>
      </c>
      <c r="K221" s="54" t="s">
        <v>81</v>
      </c>
      <c r="L221" s="56"/>
      <c r="M221" s="56"/>
      <c r="N221" s="54"/>
      <c r="O221" s="54"/>
      <c r="P221" s="54"/>
      <c r="Q221" s="54"/>
      <c r="R221" s="54"/>
      <c r="S221" s="54"/>
      <c r="T221" s="54" t="s">
        <v>56</v>
      </c>
      <c r="U221" s="54" t="s">
        <v>56</v>
      </c>
    </row>
    <row r="222" spans="1:21" ht="137.5" x14ac:dyDescent="0.25">
      <c r="A222" s="53">
        <v>221</v>
      </c>
      <c r="B222" s="54" t="s">
        <v>987</v>
      </c>
      <c r="C222" s="54" t="s">
        <v>988</v>
      </c>
      <c r="D222" s="54" t="s">
        <v>59</v>
      </c>
      <c r="E222" s="54" t="s">
        <v>257</v>
      </c>
      <c r="F222" s="55" t="s">
        <v>989</v>
      </c>
      <c r="G222" s="56">
        <v>42685</v>
      </c>
      <c r="H222" s="54" t="s">
        <v>990</v>
      </c>
      <c r="I222" s="57">
        <v>42713</v>
      </c>
      <c r="J222" s="54" t="s">
        <v>920</v>
      </c>
      <c r="K222" s="54" t="s">
        <v>55</v>
      </c>
      <c r="L222" s="56"/>
      <c r="M222" s="56"/>
      <c r="N222" s="58"/>
      <c r="O222" s="58"/>
      <c r="P222" s="58"/>
      <c r="Q222" s="59"/>
      <c r="R222" s="58"/>
      <c r="S222" s="58"/>
      <c r="T222" s="54" t="s">
        <v>104</v>
      </c>
      <c r="U222" s="54" t="s">
        <v>105</v>
      </c>
    </row>
    <row r="223" spans="1:21" ht="37.5" x14ac:dyDescent="0.25">
      <c r="A223" s="53">
        <v>222</v>
      </c>
      <c r="B223" s="54" t="s">
        <v>991</v>
      </c>
      <c r="C223" s="54" t="s">
        <v>992</v>
      </c>
      <c r="D223" s="54" t="s">
        <v>59</v>
      </c>
      <c r="E223" s="54" t="s">
        <v>257</v>
      </c>
      <c r="F223" s="65" t="s">
        <v>993</v>
      </c>
      <c r="G223" s="66">
        <v>43539</v>
      </c>
      <c r="H223" s="64" t="s">
        <v>994</v>
      </c>
      <c r="I223" s="67">
        <v>43641</v>
      </c>
      <c r="J223" s="64" t="s">
        <v>986</v>
      </c>
      <c r="K223" s="54" t="s">
        <v>81</v>
      </c>
      <c r="L223" s="56"/>
      <c r="M223" s="56"/>
      <c r="N223" s="54"/>
      <c r="O223" s="54"/>
      <c r="P223" s="54"/>
      <c r="Q223" s="54"/>
      <c r="R223" s="54"/>
      <c r="S223" s="54"/>
      <c r="T223" s="54" t="s">
        <v>56</v>
      </c>
      <c r="U223" s="54" t="s">
        <v>56</v>
      </c>
    </row>
    <row r="224" spans="1:21" ht="100" x14ac:dyDescent="0.25">
      <c r="A224" s="53">
        <v>223</v>
      </c>
      <c r="B224" s="54" t="s">
        <v>995</v>
      </c>
      <c r="C224" s="54" t="s">
        <v>996</v>
      </c>
      <c r="D224" s="54" t="s">
        <v>59</v>
      </c>
      <c r="E224" s="54" t="s">
        <v>257</v>
      </c>
      <c r="F224" s="55" t="s">
        <v>997</v>
      </c>
      <c r="G224" s="56">
        <v>42600.755532407398</v>
      </c>
      <c r="H224" s="54" t="s">
        <v>998</v>
      </c>
      <c r="I224" s="57">
        <v>42657</v>
      </c>
      <c r="J224" s="54" t="s">
        <v>999</v>
      </c>
      <c r="K224" s="54" t="s">
        <v>55</v>
      </c>
      <c r="L224" s="56"/>
      <c r="M224" s="56"/>
      <c r="N224" s="58"/>
      <c r="O224" s="58"/>
      <c r="P224" s="58"/>
      <c r="Q224" s="59"/>
      <c r="R224" s="58"/>
      <c r="S224" s="58"/>
      <c r="T224" s="54" t="s">
        <v>56</v>
      </c>
      <c r="U224" s="54" t="s">
        <v>56</v>
      </c>
    </row>
    <row r="225" spans="1:21" ht="125" x14ac:dyDescent="0.25">
      <c r="A225" s="53">
        <v>224</v>
      </c>
      <c r="B225" s="54" t="s">
        <v>1000</v>
      </c>
      <c r="C225" s="54" t="s">
        <v>1001</v>
      </c>
      <c r="D225" s="54" t="s">
        <v>59</v>
      </c>
      <c r="E225" s="54" t="s">
        <v>257</v>
      </c>
      <c r="F225" s="55" t="s">
        <v>1002</v>
      </c>
      <c r="G225" s="56">
        <v>42689</v>
      </c>
      <c r="H225" s="54" t="s">
        <v>1003</v>
      </c>
      <c r="I225" s="57">
        <v>42733</v>
      </c>
      <c r="J225" s="54" t="s">
        <v>80</v>
      </c>
      <c r="K225" s="54" t="s">
        <v>55</v>
      </c>
      <c r="L225" s="56"/>
      <c r="M225" s="56"/>
      <c r="N225" s="58"/>
      <c r="O225" s="58"/>
      <c r="P225" s="58"/>
      <c r="Q225" s="59"/>
      <c r="R225" s="58"/>
      <c r="S225" s="58"/>
      <c r="T225" s="54" t="s">
        <v>56</v>
      </c>
      <c r="U225" s="54" t="s">
        <v>56</v>
      </c>
    </row>
    <row r="226" spans="1:21" ht="125" x14ac:dyDescent="0.25">
      <c r="A226" s="53">
        <v>225</v>
      </c>
      <c r="B226" s="54" t="s">
        <v>1004</v>
      </c>
      <c r="C226" s="54" t="s">
        <v>1005</v>
      </c>
      <c r="D226" s="54" t="s">
        <v>59</v>
      </c>
      <c r="E226" s="54" t="s">
        <v>257</v>
      </c>
      <c r="F226" s="55" t="s">
        <v>1006</v>
      </c>
      <c r="G226" s="56">
        <v>42600.755462963003</v>
      </c>
      <c r="H226" s="54" t="s">
        <v>1007</v>
      </c>
      <c r="I226" s="57">
        <v>42640</v>
      </c>
      <c r="J226" s="54" t="s">
        <v>80</v>
      </c>
      <c r="K226" s="54" t="s">
        <v>55</v>
      </c>
      <c r="L226" s="56"/>
      <c r="M226" s="56"/>
      <c r="N226" s="58"/>
      <c r="O226" s="58"/>
      <c r="P226" s="58"/>
      <c r="Q226" s="59"/>
      <c r="R226" s="58"/>
      <c r="S226" s="58"/>
      <c r="T226" s="54" t="s">
        <v>56</v>
      </c>
      <c r="U226" s="54" t="s">
        <v>56</v>
      </c>
    </row>
    <row r="227" spans="1:21" ht="100" x14ac:dyDescent="0.25">
      <c r="A227" s="53">
        <v>226</v>
      </c>
      <c r="B227" s="54" t="s">
        <v>1008</v>
      </c>
      <c r="C227" s="54" t="s">
        <v>1009</v>
      </c>
      <c r="D227" s="54" t="s">
        <v>59</v>
      </c>
      <c r="E227" s="54" t="s">
        <v>257</v>
      </c>
      <c r="F227" s="55" t="s">
        <v>1010</v>
      </c>
      <c r="G227" s="56">
        <v>42600.755439814799</v>
      </c>
      <c r="H227" s="54" t="s">
        <v>1011</v>
      </c>
      <c r="I227" s="57">
        <v>42641</v>
      </c>
      <c r="J227" s="54" t="s">
        <v>1012</v>
      </c>
      <c r="K227" s="54" t="s">
        <v>55</v>
      </c>
      <c r="L227" s="56"/>
      <c r="M227" s="56"/>
      <c r="N227" s="58"/>
      <c r="O227" s="58"/>
      <c r="P227" s="58"/>
      <c r="Q227" s="59"/>
      <c r="R227" s="58"/>
      <c r="S227" s="58"/>
      <c r="T227" s="54" t="s">
        <v>56</v>
      </c>
      <c r="U227" s="54" t="s">
        <v>56</v>
      </c>
    </row>
    <row r="228" spans="1:21" ht="37.5" x14ac:dyDescent="0.25">
      <c r="A228" s="53">
        <v>227</v>
      </c>
      <c r="B228" s="54" t="s">
        <v>1013</v>
      </c>
      <c r="C228" s="64" t="s">
        <v>1014</v>
      </c>
      <c r="D228" s="54" t="s">
        <v>59</v>
      </c>
      <c r="E228" s="54" t="s">
        <v>257</v>
      </c>
      <c r="F228" s="65" t="s">
        <v>1015</v>
      </c>
      <c r="G228" s="66">
        <v>43511</v>
      </c>
      <c r="H228" s="64" t="s">
        <v>1016</v>
      </c>
      <c r="I228" s="67">
        <v>43690</v>
      </c>
      <c r="J228" s="64" t="s">
        <v>986</v>
      </c>
      <c r="K228" s="54" t="s">
        <v>55</v>
      </c>
      <c r="L228" s="56"/>
      <c r="M228" s="56"/>
      <c r="N228" s="54"/>
      <c r="O228" s="54"/>
      <c r="P228" s="54"/>
      <c r="Q228" s="54"/>
      <c r="R228" s="54"/>
      <c r="S228" s="54"/>
      <c r="T228" s="54" t="s">
        <v>56</v>
      </c>
      <c r="U228" s="54" t="s">
        <v>56</v>
      </c>
    </row>
    <row r="229" spans="1:21" ht="100" x14ac:dyDescent="0.25">
      <c r="A229" s="53">
        <v>228</v>
      </c>
      <c r="B229" s="54" t="s">
        <v>1017</v>
      </c>
      <c r="C229" s="54" t="s">
        <v>1018</v>
      </c>
      <c r="D229" s="54" t="s">
        <v>59</v>
      </c>
      <c r="E229" s="54" t="s">
        <v>257</v>
      </c>
      <c r="F229" s="55" t="s">
        <v>1019</v>
      </c>
      <c r="G229" s="56">
        <v>42601.338842592602</v>
      </c>
      <c r="H229" s="54" t="s">
        <v>1020</v>
      </c>
      <c r="I229" s="57">
        <v>42647</v>
      </c>
      <c r="J229" s="54" t="s">
        <v>1012</v>
      </c>
      <c r="K229" s="54" t="s">
        <v>55</v>
      </c>
      <c r="L229" s="56"/>
      <c r="M229" s="56"/>
      <c r="N229" s="58"/>
      <c r="O229" s="58"/>
      <c r="P229" s="58"/>
      <c r="Q229" s="59"/>
      <c r="R229" s="58"/>
      <c r="S229" s="58"/>
      <c r="T229" s="54" t="s">
        <v>56</v>
      </c>
      <c r="U229" s="54" t="s">
        <v>56</v>
      </c>
    </row>
    <row r="230" spans="1:21" ht="100" x14ac:dyDescent="0.25">
      <c r="A230" s="53">
        <v>229</v>
      </c>
      <c r="B230" s="54" t="s">
        <v>1021</v>
      </c>
      <c r="C230" s="54" t="s">
        <v>1022</v>
      </c>
      <c r="D230" s="54" t="s">
        <v>59</v>
      </c>
      <c r="E230" s="54" t="s">
        <v>257</v>
      </c>
      <c r="F230" s="55" t="s">
        <v>1023</v>
      </c>
      <c r="G230" s="56">
        <v>42601.338819444398</v>
      </c>
      <c r="H230" s="54" t="s">
        <v>1024</v>
      </c>
      <c r="I230" s="57">
        <v>42657</v>
      </c>
      <c r="J230" s="54" t="s">
        <v>1012</v>
      </c>
      <c r="K230" s="54" t="s">
        <v>55</v>
      </c>
      <c r="L230" s="56"/>
      <c r="M230" s="56"/>
      <c r="N230" s="58"/>
      <c r="O230" s="58"/>
      <c r="P230" s="58"/>
      <c r="Q230" s="59"/>
      <c r="R230" s="58"/>
      <c r="S230" s="58"/>
      <c r="T230" s="54" t="s">
        <v>56</v>
      </c>
      <c r="U230" s="54" t="s">
        <v>56</v>
      </c>
    </row>
    <row r="231" spans="1:21" ht="37.5" x14ac:dyDescent="0.25">
      <c r="A231" s="53">
        <v>230</v>
      </c>
      <c r="B231" s="54" t="s">
        <v>1025</v>
      </c>
      <c r="C231" s="64" t="s">
        <v>1026</v>
      </c>
      <c r="D231" s="54" t="s">
        <v>59</v>
      </c>
      <c r="E231" s="54" t="s">
        <v>257</v>
      </c>
      <c r="F231" s="65" t="s">
        <v>1027</v>
      </c>
      <c r="G231" s="66">
        <v>43511</v>
      </c>
      <c r="H231" s="64" t="s">
        <v>1028</v>
      </c>
      <c r="I231" s="67">
        <v>43707</v>
      </c>
      <c r="J231" s="64" t="s">
        <v>986</v>
      </c>
      <c r="K231" s="54" t="s">
        <v>55</v>
      </c>
      <c r="L231" s="56"/>
      <c r="M231" s="56"/>
      <c r="N231" s="54"/>
      <c r="O231" s="54"/>
      <c r="P231" s="54"/>
      <c r="Q231" s="54"/>
      <c r="R231" s="54"/>
      <c r="S231" s="54"/>
      <c r="T231" s="54" t="s">
        <v>56</v>
      </c>
      <c r="U231" s="54" t="s">
        <v>56</v>
      </c>
    </row>
    <row r="232" spans="1:21" ht="125" x14ac:dyDescent="0.25">
      <c r="A232" s="53">
        <v>231</v>
      </c>
      <c r="B232" s="54" t="s">
        <v>1029</v>
      </c>
      <c r="C232" s="54" t="s">
        <v>1030</v>
      </c>
      <c r="D232" s="54" t="s">
        <v>59</v>
      </c>
      <c r="E232" s="54" t="s">
        <v>257</v>
      </c>
      <c r="F232" s="55" t="s">
        <v>1031</v>
      </c>
      <c r="G232" s="56">
        <v>42601.338865740698</v>
      </c>
      <c r="H232" s="54" t="s">
        <v>1032</v>
      </c>
      <c r="I232" s="57">
        <v>42640</v>
      </c>
      <c r="J232" s="54" t="s">
        <v>80</v>
      </c>
      <c r="K232" s="54" t="s">
        <v>55</v>
      </c>
      <c r="L232" s="56"/>
      <c r="M232" s="56"/>
      <c r="N232" s="58"/>
      <c r="O232" s="58"/>
      <c r="P232" s="58"/>
      <c r="Q232" s="59"/>
      <c r="R232" s="58"/>
      <c r="S232" s="58"/>
      <c r="T232" s="54" t="s">
        <v>56</v>
      </c>
      <c r="U232" s="54" t="s">
        <v>56</v>
      </c>
    </row>
    <row r="233" spans="1:21" ht="100" x14ac:dyDescent="0.25">
      <c r="A233" s="53">
        <v>232</v>
      </c>
      <c r="B233" s="54" t="s">
        <v>1033</v>
      </c>
      <c r="C233" s="54" t="s">
        <v>1034</v>
      </c>
      <c r="D233" s="54" t="s">
        <v>50</v>
      </c>
      <c r="E233" s="54" t="s">
        <v>257</v>
      </c>
      <c r="F233" s="55" t="s">
        <v>1035</v>
      </c>
      <c r="G233" s="56">
        <v>43032</v>
      </c>
      <c r="H233" s="54" t="s">
        <v>1036</v>
      </c>
      <c r="I233" s="57">
        <v>43049</v>
      </c>
      <c r="J233" s="54" t="s">
        <v>54</v>
      </c>
      <c r="K233" s="54" t="s">
        <v>55</v>
      </c>
      <c r="L233" s="56"/>
      <c r="M233" s="56"/>
      <c r="N233" s="54"/>
      <c r="O233" s="54"/>
      <c r="P233" s="54"/>
      <c r="Q233" s="54"/>
      <c r="R233" s="54"/>
      <c r="S233" s="54"/>
      <c r="T233" s="54" t="s">
        <v>56</v>
      </c>
      <c r="U233" s="54" t="s">
        <v>56</v>
      </c>
    </row>
    <row r="234" spans="1:21" ht="100" x14ac:dyDescent="0.25">
      <c r="A234" s="53">
        <v>233</v>
      </c>
      <c r="B234" s="54" t="s">
        <v>1037</v>
      </c>
      <c r="C234" s="54" t="s">
        <v>1038</v>
      </c>
      <c r="D234" s="54" t="s">
        <v>50</v>
      </c>
      <c r="E234" s="54" t="s">
        <v>257</v>
      </c>
      <c r="F234" s="65" t="s">
        <v>1039</v>
      </c>
      <c r="G234" s="66">
        <v>43307</v>
      </c>
      <c r="H234" s="82" t="s">
        <v>1040</v>
      </c>
      <c r="I234" s="67">
        <v>43768</v>
      </c>
      <c r="J234" s="54" t="s">
        <v>54</v>
      </c>
      <c r="K234" s="54" t="s">
        <v>55</v>
      </c>
      <c r="L234" s="56"/>
      <c r="M234" s="56"/>
      <c r="N234" s="54"/>
      <c r="O234" s="54"/>
      <c r="P234" s="54"/>
      <c r="Q234" s="54"/>
      <c r="R234" s="54"/>
      <c r="S234" s="54"/>
      <c r="T234" s="54" t="s">
        <v>56</v>
      </c>
      <c r="U234" s="54" t="s">
        <v>56</v>
      </c>
    </row>
    <row r="235" spans="1:21" ht="100" x14ac:dyDescent="0.25">
      <c r="A235" s="53">
        <v>234</v>
      </c>
      <c r="B235" s="54" t="s">
        <v>1041</v>
      </c>
      <c r="C235" s="54" t="s">
        <v>1042</v>
      </c>
      <c r="D235" s="54" t="s">
        <v>50</v>
      </c>
      <c r="E235" s="54" t="s">
        <v>257</v>
      </c>
      <c r="F235" s="55" t="s">
        <v>1043</v>
      </c>
      <c r="G235" s="56">
        <v>42601.338912036997</v>
      </c>
      <c r="H235" s="54" t="s">
        <v>1044</v>
      </c>
      <c r="I235" s="57">
        <v>42646</v>
      </c>
      <c r="J235" s="54" t="s">
        <v>54</v>
      </c>
      <c r="K235" s="54" t="s">
        <v>55</v>
      </c>
      <c r="L235" s="56"/>
      <c r="M235" s="56"/>
      <c r="N235" s="58"/>
      <c r="O235" s="58"/>
      <c r="P235" s="58"/>
      <c r="Q235" s="59"/>
      <c r="R235" s="58"/>
      <c r="S235" s="58"/>
      <c r="T235" s="54" t="s">
        <v>56</v>
      </c>
      <c r="U235" s="54" t="s">
        <v>56</v>
      </c>
    </row>
    <row r="236" spans="1:21" ht="125" x14ac:dyDescent="0.25">
      <c r="A236" s="53">
        <v>235</v>
      </c>
      <c r="B236" s="54" t="s">
        <v>1045</v>
      </c>
      <c r="C236" s="54" t="s">
        <v>1046</v>
      </c>
      <c r="D236" s="54" t="s">
        <v>59</v>
      </c>
      <c r="E236" s="54" t="s">
        <v>257</v>
      </c>
      <c r="F236" s="55" t="s">
        <v>1047</v>
      </c>
      <c r="G236" s="56">
        <v>42600.755462963003</v>
      </c>
      <c r="H236" s="54" t="s">
        <v>1048</v>
      </c>
      <c r="I236" s="57">
        <v>42640</v>
      </c>
      <c r="J236" s="54" t="s">
        <v>80</v>
      </c>
      <c r="K236" s="54" t="s">
        <v>55</v>
      </c>
      <c r="L236" s="56"/>
      <c r="M236" s="56"/>
      <c r="N236" s="58"/>
      <c r="O236" s="58"/>
      <c r="P236" s="58"/>
      <c r="Q236" s="59"/>
      <c r="R236" s="58"/>
      <c r="S236" s="58"/>
      <c r="T236" s="54" t="s">
        <v>56</v>
      </c>
      <c r="U236" s="54" t="s">
        <v>56</v>
      </c>
    </row>
    <row r="237" spans="1:21" ht="137.5" x14ac:dyDescent="0.25">
      <c r="A237" s="53">
        <v>236</v>
      </c>
      <c r="B237" s="54" t="s">
        <v>1049</v>
      </c>
      <c r="C237" s="54" t="s">
        <v>1050</v>
      </c>
      <c r="D237" s="54" t="s">
        <v>59</v>
      </c>
      <c r="E237" s="54" t="s">
        <v>257</v>
      </c>
      <c r="F237" s="55" t="s">
        <v>1051</v>
      </c>
      <c r="G237" s="56">
        <v>43027</v>
      </c>
      <c r="H237" s="54" t="s">
        <v>1052</v>
      </c>
      <c r="I237" s="57">
        <v>43046</v>
      </c>
      <c r="J237" s="54" t="s">
        <v>80</v>
      </c>
      <c r="K237" s="54" t="s">
        <v>81</v>
      </c>
      <c r="L237" s="56"/>
      <c r="M237" s="56"/>
      <c r="N237" s="54"/>
      <c r="O237" s="54"/>
      <c r="P237" s="54"/>
      <c r="Q237" s="54"/>
      <c r="R237" s="54"/>
      <c r="S237" s="54"/>
      <c r="T237" s="54" t="s">
        <v>56</v>
      </c>
      <c r="U237" s="54" t="s">
        <v>56</v>
      </c>
    </row>
    <row r="238" spans="1:21" ht="37.5" x14ac:dyDescent="0.25">
      <c r="A238" s="53">
        <v>237</v>
      </c>
      <c r="B238" s="54" t="s">
        <v>1053</v>
      </c>
      <c r="C238" s="54" t="s">
        <v>1054</v>
      </c>
      <c r="D238" s="54" t="s">
        <v>59</v>
      </c>
      <c r="E238" s="54" t="s">
        <v>257</v>
      </c>
      <c r="F238" s="55" t="s">
        <v>1055</v>
      </c>
      <c r="G238" s="56">
        <v>43210</v>
      </c>
      <c r="H238" s="54" t="s">
        <v>1056</v>
      </c>
      <c r="I238" s="57">
        <v>43210</v>
      </c>
      <c r="J238" s="54" t="s">
        <v>986</v>
      </c>
      <c r="K238" s="54" t="s">
        <v>81</v>
      </c>
      <c r="L238" s="56"/>
      <c r="M238" s="56"/>
      <c r="N238" s="54"/>
      <c r="O238" s="54"/>
      <c r="P238" s="54"/>
      <c r="Q238" s="54"/>
      <c r="R238" s="54"/>
      <c r="S238" s="54"/>
      <c r="T238" s="54" t="s">
        <v>56</v>
      </c>
      <c r="U238" s="54" t="s">
        <v>56</v>
      </c>
    </row>
    <row r="239" spans="1:21" ht="125" x14ac:dyDescent="0.25">
      <c r="A239" s="53">
        <v>238</v>
      </c>
      <c r="B239" s="54" t="s">
        <v>1057</v>
      </c>
      <c r="C239" s="54" t="s">
        <v>1058</v>
      </c>
      <c r="D239" s="54" t="s">
        <v>59</v>
      </c>
      <c r="E239" s="54" t="s">
        <v>257</v>
      </c>
      <c r="F239" s="55" t="s">
        <v>1059</v>
      </c>
      <c r="G239" s="56">
        <v>42685</v>
      </c>
      <c r="H239" s="54" t="s">
        <v>1060</v>
      </c>
      <c r="I239" s="57">
        <v>42712</v>
      </c>
      <c r="J239" s="54" t="s">
        <v>80</v>
      </c>
      <c r="K239" s="54" t="s">
        <v>55</v>
      </c>
      <c r="L239" s="56"/>
      <c r="M239" s="56"/>
      <c r="N239" s="58"/>
      <c r="O239" s="58"/>
      <c r="P239" s="58"/>
      <c r="Q239" s="59"/>
      <c r="R239" s="58"/>
      <c r="S239" s="58"/>
      <c r="T239" s="54" t="s">
        <v>104</v>
      </c>
      <c r="U239" s="54" t="s">
        <v>105</v>
      </c>
    </row>
    <row r="240" spans="1:21" ht="112.5" x14ac:dyDescent="0.25">
      <c r="A240" s="53">
        <v>239</v>
      </c>
      <c r="B240" s="54" t="s">
        <v>1061</v>
      </c>
      <c r="C240" s="54" t="s">
        <v>1062</v>
      </c>
      <c r="D240" s="54" t="s">
        <v>59</v>
      </c>
      <c r="E240" s="54" t="s">
        <v>257</v>
      </c>
      <c r="F240" s="55" t="s">
        <v>1063</v>
      </c>
      <c r="G240" s="56">
        <v>42685</v>
      </c>
      <c r="H240" s="54" t="s">
        <v>1064</v>
      </c>
      <c r="I240" s="57">
        <v>42733</v>
      </c>
      <c r="J240" s="54" t="s">
        <v>557</v>
      </c>
      <c r="K240" s="54" t="s">
        <v>55</v>
      </c>
      <c r="L240" s="56"/>
      <c r="M240" s="56"/>
      <c r="N240" s="58"/>
      <c r="O240" s="58"/>
      <c r="P240" s="58"/>
      <c r="Q240" s="59"/>
      <c r="R240" s="58"/>
      <c r="S240" s="58"/>
      <c r="T240" s="54" t="s">
        <v>56</v>
      </c>
      <c r="U240" s="54" t="s">
        <v>56</v>
      </c>
    </row>
    <row r="241" spans="1:21" ht="125" x14ac:dyDescent="0.25">
      <c r="A241" s="53">
        <v>240</v>
      </c>
      <c r="B241" s="54" t="s">
        <v>1065</v>
      </c>
      <c r="C241" s="54" t="s">
        <v>1066</v>
      </c>
      <c r="D241" s="54" t="s">
        <v>59</v>
      </c>
      <c r="E241" s="54" t="s">
        <v>257</v>
      </c>
      <c r="F241" s="55" t="s">
        <v>1067</v>
      </c>
      <c r="G241" s="56">
        <v>42600.755405092597</v>
      </c>
      <c r="H241" s="54" t="s">
        <v>1068</v>
      </c>
      <c r="I241" s="57">
        <v>42641</v>
      </c>
      <c r="J241" s="54" t="s">
        <v>80</v>
      </c>
      <c r="K241" s="54" t="s">
        <v>55</v>
      </c>
      <c r="L241" s="56"/>
      <c r="M241" s="56"/>
      <c r="N241" s="58"/>
      <c r="O241" s="58"/>
      <c r="P241" s="58"/>
      <c r="Q241" s="59"/>
      <c r="R241" s="58"/>
      <c r="S241" s="58"/>
      <c r="T241" s="54" t="s">
        <v>56</v>
      </c>
      <c r="U241" s="54" t="s">
        <v>56</v>
      </c>
    </row>
    <row r="242" spans="1:21" ht="100" x14ac:dyDescent="0.25">
      <c r="A242" s="53">
        <v>241</v>
      </c>
      <c r="B242" s="54" t="s">
        <v>1069</v>
      </c>
      <c r="C242" s="54" t="s">
        <v>1070</v>
      </c>
      <c r="D242" s="54" t="s">
        <v>50</v>
      </c>
      <c r="E242" s="54" t="s">
        <v>257</v>
      </c>
      <c r="F242" s="55" t="s">
        <v>1071</v>
      </c>
      <c r="G242" s="56">
        <v>42685</v>
      </c>
      <c r="H242" s="54" t="s">
        <v>1072</v>
      </c>
      <c r="I242" s="57">
        <v>42733</v>
      </c>
      <c r="J242" s="54" t="s">
        <v>54</v>
      </c>
      <c r="K242" s="54" t="s">
        <v>55</v>
      </c>
      <c r="L242" s="56"/>
      <c r="M242" s="56"/>
      <c r="N242" s="58"/>
      <c r="O242" s="58"/>
      <c r="P242" s="58"/>
      <c r="Q242" s="59"/>
      <c r="R242" s="58"/>
      <c r="S242" s="58"/>
      <c r="T242" s="54" t="s">
        <v>56</v>
      </c>
      <c r="U242" s="54" t="s">
        <v>56</v>
      </c>
    </row>
    <row r="243" spans="1:21" ht="100" x14ac:dyDescent="0.25">
      <c r="A243" s="53">
        <v>242</v>
      </c>
      <c r="B243" s="54" t="s">
        <v>1073</v>
      </c>
      <c r="C243" s="54" t="s">
        <v>1074</v>
      </c>
      <c r="D243" s="54" t="s">
        <v>50</v>
      </c>
      <c r="E243" s="54" t="s">
        <v>257</v>
      </c>
      <c r="F243" s="55" t="s">
        <v>1075</v>
      </c>
      <c r="G243" s="56">
        <v>42685</v>
      </c>
      <c r="H243" s="54" t="s">
        <v>1076</v>
      </c>
      <c r="I243" s="57">
        <v>42723</v>
      </c>
      <c r="J243" s="54" t="s">
        <v>54</v>
      </c>
      <c r="K243" s="54" t="s">
        <v>55</v>
      </c>
      <c r="L243" s="56"/>
      <c r="M243" s="56"/>
      <c r="N243" s="58"/>
      <c r="O243" s="58"/>
      <c r="P243" s="58"/>
      <c r="Q243" s="59"/>
      <c r="R243" s="58"/>
      <c r="S243" s="58"/>
      <c r="T243" s="54" t="s">
        <v>56</v>
      </c>
      <c r="U243" s="54" t="s">
        <v>56</v>
      </c>
    </row>
    <row r="244" spans="1:21" ht="100" x14ac:dyDescent="0.25">
      <c r="A244" s="53">
        <v>243</v>
      </c>
      <c r="B244" s="54" t="s">
        <v>1077</v>
      </c>
      <c r="C244" s="54" t="s">
        <v>1078</v>
      </c>
      <c r="D244" s="54" t="s">
        <v>50</v>
      </c>
      <c r="E244" s="54" t="s">
        <v>257</v>
      </c>
      <c r="F244" s="55" t="s">
        <v>1079</v>
      </c>
      <c r="G244" s="56">
        <v>43731</v>
      </c>
      <c r="H244" s="54" t="s">
        <v>1080</v>
      </c>
      <c r="I244" s="67">
        <v>43740</v>
      </c>
      <c r="J244" s="54" t="s">
        <v>54</v>
      </c>
      <c r="K244" s="54" t="s">
        <v>55</v>
      </c>
      <c r="L244" s="56"/>
      <c r="M244" s="56"/>
      <c r="N244" s="54"/>
      <c r="O244" s="54"/>
      <c r="P244" s="54"/>
      <c r="Q244" s="54"/>
      <c r="R244" s="54"/>
      <c r="S244" s="54"/>
      <c r="T244" s="54" t="s">
        <v>56</v>
      </c>
      <c r="U244" s="54" t="s">
        <v>56</v>
      </c>
    </row>
    <row r="245" spans="1:21" ht="100" x14ac:dyDescent="0.25">
      <c r="A245" s="53">
        <v>244</v>
      </c>
      <c r="B245" s="54" t="s">
        <v>1081</v>
      </c>
      <c r="C245" s="54" t="s">
        <v>1082</v>
      </c>
      <c r="D245" s="54" t="s">
        <v>50</v>
      </c>
      <c r="E245" s="54" t="s">
        <v>257</v>
      </c>
      <c r="F245" s="55" t="s">
        <v>1083</v>
      </c>
      <c r="G245" s="56">
        <v>43000</v>
      </c>
      <c r="H245" s="54" t="s">
        <v>1084</v>
      </c>
      <c r="I245" s="57">
        <v>43020</v>
      </c>
      <c r="J245" s="54" t="s">
        <v>54</v>
      </c>
      <c r="K245" s="54" t="s">
        <v>55</v>
      </c>
      <c r="L245" s="56"/>
      <c r="M245" s="56"/>
      <c r="N245" s="54"/>
      <c r="O245" s="54"/>
      <c r="P245" s="54"/>
      <c r="Q245" s="54"/>
      <c r="R245" s="54"/>
      <c r="S245" s="54"/>
      <c r="T245" s="54" t="s">
        <v>56</v>
      </c>
      <c r="U245" s="54" t="s">
        <v>56</v>
      </c>
    </row>
    <row r="246" spans="1:21" ht="125" x14ac:dyDescent="0.25">
      <c r="A246" s="53">
        <v>245</v>
      </c>
      <c r="B246" s="54" t="s">
        <v>1085</v>
      </c>
      <c r="C246" s="54" t="s">
        <v>1086</v>
      </c>
      <c r="D246" s="54" t="s">
        <v>59</v>
      </c>
      <c r="E246" s="54" t="s">
        <v>257</v>
      </c>
      <c r="F246" s="55" t="s">
        <v>1087</v>
      </c>
      <c r="G246" s="56">
        <v>42997</v>
      </c>
      <c r="H246" s="54" t="s">
        <v>1088</v>
      </c>
      <c r="I246" s="57">
        <v>43038</v>
      </c>
      <c r="J246" s="54" t="s">
        <v>80</v>
      </c>
      <c r="K246" s="54" t="s">
        <v>81</v>
      </c>
      <c r="L246" s="56"/>
      <c r="M246" s="56"/>
      <c r="N246" s="54"/>
      <c r="O246" s="54"/>
      <c r="P246" s="54"/>
      <c r="Q246" s="54"/>
      <c r="R246" s="54"/>
      <c r="S246" s="54"/>
      <c r="T246" s="54" t="s">
        <v>56</v>
      </c>
      <c r="U246" s="54" t="s">
        <v>56</v>
      </c>
    </row>
    <row r="247" spans="1:21" ht="137.5" x14ac:dyDescent="0.25">
      <c r="A247" s="53">
        <v>246</v>
      </c>
      <c r="B247" s="54" t="s">
        <v>1089</v>
      </c>
      <c r="C247" s="54" t="s">
        <v>1090</v>
      </c>
      <c r="D247" s="54" t="s">
        <v>59</v>
      </c>
      <c r="E247" s="54" t="s">
        <v>257</v>
      </c>
      <c r="F247" s="55" t="s">
        <v>1091</v>
      </c>
      <c r="G247" s="56">
        <v>42601.338819444398</v>
      </c>
      <c r="H247" s="54" t="s">
        <v>1092</v>
      </c>
      <c r="I247" s="57">
        <v>42640</v>
      </c>
      <c r="J247" s="54" t="s">
        <v>965</v>
      </c>
      <c r="K247" s="54" t="s">
        <v>55</v>
      </c>
      <c r="L247" s="56"/>
      <c r="M247" s="56"/>
      <c r="N247" s="58"/>
      <c r="O247" s="58"/>
      <c r="P247" s="58"/>
      <c r="Q247" s="59"/>
      <c r="R247" s="58"/>
      <c r="S247" s="58"/>
      <c r="T247" s="54" t="s">
        <v>56</v>
      </c>
      <c r="U247" s="54" t="s">
        <v>56</v>
      </c>
    </row>
    <row r="248" spans="1:21" ht="100" x14ac:dyDescent="0.25">
      <c r="A248" s="53">
        <v>247</v>
      </c>
      <c r="B248" s="54" t="s">
        <v>1093</v>
      </c>
      <c r="C248" s="54" t="s">
        <v>1094</v>
      </c>
      <c r="D248" s="54" t="s">
        <v>59</v>
      </c>
      <c r="E248" s="54" t="s">
        <v>257</v>
      </c>
      <c r="F248" s="55" t="s">
        <v>1095</v>
      </c>
      <c r="G248" s="56">
        <v>42601.338865740698</v>
      </c>
      <c r="H248" s="54" t="s">
        <v>1096</v>
      </c>
      <c r="I248" s="57">
        <v>42657</v>
      </c>
      <c r="J248" s="54" t="s">
        <v>999</v>
      </c>
      <c r="K248" s="54" t="s">
        <v>55</v>
      </c>
      <c r="L248" s="56"/>
      <c r="M248" s="56"/>
      <c r="N248" s="58"/>
      <c r="O248" s="58"/>
      <c r="P248" s="58"/>
      <c r="Q248" s="59"/>
      <c r="R248" s="58"/>
      <c r="S248" s="58"/>
      <c r="T248" s="54" t="s">
        <v>56</v>
      </c>
      <c r="U248" s="54" t="s">
        <v>56</v>
      </c>
    </row>
    <row r="249" spans="1:21" ht="125" x14ac:dyDescent="0.25">
      <c r="A249" s="53">
        <v>248</v>
      </c>
      <c r="B249" s="54" t="s">
        <v>1097</v>
      </c>
      <c r="C249" s="54" t="s">
        <v>1098</v>
      </c>
      <c r="D249" s="54" t="s">
        <v>59</v>
      </c>
      <c r="E249" s="54" t="s">
        <v>257</v>
      </c>
      <c r="F249" s="55" t="s">
        <v>1099</v>
      </c>
      <c r="G249" s="56">
        <v>42601.338912036997</v>
      </c>
      <c r="H249" s="54" t="s">
        <v>1100</v>
      </c>
      <c r="I249" s="57">
        <v>42640</v>
      </c>
      <c r="J249" s="54" t="s">
        <v>80</v>
      </c>
      <c r="K249" s="54" t="s">
        <v>55</v>
      </c>
      <c r="L249" s="56"/>
      <c r="M249" s="56"/>
      <c r="N249" s="58"/>
      <c r="O249" s="58"/>
      <c r="P249" s="58"/>
      <c r="Q249" s="59"/>
      <c r="R249" s="58"/>
      <c r="S249" s="58"/>
      <c r="T249" s="54" t="s">
        <v>56</v>
      </c>
      <c r="U249" s="54" t="s">
        <v>56</v>
      </c>
    </row>
    <row r="250" spans="1:21" ht="125" x14ac:dyDescent="0.25">
      <c r="A250" s="53">
        <v>249</v>
      </c>
      <c r="B250" s="54" t="s">
        <v>1101</v>
      </c>
      <c r="C250" s="54" t="s">
        <v>1102</v>
      </c>
      <c r="D250" s="54" t="s">
        <v>59</v>
      </c>
      <c r="E250" s="54" t="s">
        <v>257</v>
      </c>
      <c r="F250" s="55" t="s">
        <v>1103</v>
      </c>
      <c r="G250" s="56">
        <v>42600.755451388897</v>
      </c>
      <c r="H250" s="54" t="s">
        <v>1104</v>
      </c>
      <c r="I250" s="57">
        <v>42640</v>
      </c>
      <c r="J250" s="54" t="s">
        <v>80</v>
      </c>
      <c r="K250" s="54" t="s">
        <v>55</v>
      </c>
      <c r="L250" s="56"/>
      <c r="M250" s="56"/>
      <c r="N250" s="58"/>
      <c r="O250" s="58"/>
      <c r="P250" s="58"/>
      <c r="Q250" s="59"/>
      <c r="R250" s="58"/>
      <c r="S250" s="58"/>
      <c r="T250" s="54" t="s">
        <v>56</v>
      </c>
      <c r="U250" s="54" t="s">
        <v>56</v>
      </c>
    </row>
    <row r="251" spans="1:21" ht="87.5" x14ac:dyDescent="0.25">
      <c r="A251" s="53">
        <v>250</v>
      </c>
      <c r="B251" s="54" t="s">
        <v>1105</v>
      </c>
      <c r="C251" s="54" t="s">
        <v>1106</v>
      </c>
      <c r="D251" s="54" t="s">
        <v>59</v>
      </c>
      <c r="E251" s="54" t="s">
        <v>257</v>
      </c>
      <c r="F251" s="55" t="s">
        <v>1107</v>
      </c>
      <c r="G251" s="56">
        <v>43013</v>
      </c>
      <c r="H251" s="54" t="s">
        <v>1108</v>
      </c>
      <c r="I251" s="57">
        <v>43046</v>
      </c>
      <c r="J251" s="54" t="s">
        <v>1109</v>
      </c>
      <c r="K251" s="54" t="s">
        <v>81</v>
      </c>
      <c r="L251" s="56"/>
      <c r="M251" s="56"/>
      <c r="N251" s="54"/>
      <c r="O251" s="54"/>
      <c r="P251" s="54"/>
      <c r="Q251" s="54"/>
      <c r="R251" s="54"/>
      <c r="S251" s="54"/>
      <c r="T251" s="54" t="s">
        <v>56</v>
      </c>
      <c r="U251" s="54" t="s">
        <v>56</v>
      </c>
    </row>
    <row r="252" spans="1:21" ht="100" x14ac:dyDescent="0.25">
      <c r="A252" s="53">
        <v>251</v>
      </c>
      <c r="B252" s="54" t="s">
        <v>1110</v>
      </c>
      <c r="C252" s="54" t="s">
        <v>1111</v>
      </c>
      <c r="D252" s="54" t="s">
        <v>50</v>
      </c>
      <c r="E252" s="54" t="s">
        <v>257</v>
      </c>
      <c r="F252" s="55" t="s">
        <v>1112</v>
      </c>
      <c r="G252" s="56">
        <v>42685</v>
      </c>
      <c r="H252" s="54" t="s">
        <v>1113</v>
      </c>
      <c r="I252" s="57">
        <v>42733</v>
      </c>
      <c r="J252" s="54" t="s">
        <v>54</v>
      </c>
      <c r="K252" s="54" t="s">
        <v>55</v>
      </c>
      <c r="L252" s="56"/>
      <c r="M252" s="56"/>
      <c r="N252" s="58"/>
      <c r="O252" s="58"/>
      <c r="P252" s="58"/>
      <c r="Q252" s="59"/>
      <c r="R252" s="58"/>
      <c r="S252" s="58"/>
      <c r="T252" s="54" t="s">
        <v>56</v>
      </c>
      <c r="U252" s="54" t="s">
        <v>56</v>
      </c>
    </row>
    <row r="253" spans="1:21" ht="100" x14ac:dyDescent="0.25">
      <c r="A253" s="53">
        <v>252</v>
      </c>
      <c r="B253" s="54" t="s">
        <v>1114</v>
      </c>
      <c r="C253" s="54" t="s">
        <v>1115</v>
      </c>
      <c r="D253" s="54" t="s">
        <v>50</v>
      </c>
      <c r="E253" s="54" t="s">
        <v>257</v>
      </c>
      <c r="F253" s="55" t="s">
        <v>1116</v>
      </c>
      <c r="G253" s="56">
        <v>42685</v>
      </c>
      <c r="H253" s="54" t="s">
        <v>1117</v>
      </c>
      <c r="I253" s="57">
        <v>42733</v>
      </c>
      <c r="J253" s="54" t="s">
        <v>54</v>
      </c>
      <c r="K253" s="54" t="s">
        <v>55</v>
      </c>
      <c r="L253" s="56"/>
      <c r="M253" s="56"/>
      <c r="N253" s="58"/>
      <c r="O253" s="58"/>
      <c r="P253" s="58"/>
      <c r="Q253" s="59"/>
      <c r="R253" s="58"/>
      <c r="S253" s="58"/>
      <c r="T253" s="54" t="s">
        <v>56</v>
      </c>
      <c r="U253" s="54" t="s">
        <v>56</v>
      </c>
    </row>
    <row r="254" spans="1:21" ht="125" x14ac:dyDescent="0.25">
      <c r="A254" s="53">
        <v>253</v>
      </c>
      <c r="B254" s="54" t="s">
        <v>1118</v>
      </c>
      <c r="C254" s="54" t="s">
        <v>1119</v>
      </c>
      <c r="D254" s="54" t="s">
        <v>59</v>
      </c>
      <c r="E254" s="54" t="s">
        <v>257</v>
      </c>
      <c r="F254" s="55" t="s">
        <v>1120</v>
      </c>
      <c r="G254" s="56">
        <v>42601.338877314804</v>
      </c>
      <c r="H254" s="54" t="s">
        <v>1121</v>
      </c>
      <c r="I254" s="57">
        <v>42640</v>
      </c>
      <c r="J254" s="54" t="s">
        <v>80</v>
      </c>
      <c r="K254" s="54" t="s">
        <v>55</v>
      </c>
      <c r="L254" s="56"/>
      <c r="M254" s="56"/>
      <c r="N254" s="58"/>
      <c r="O254" s="58"/>
      <c r="P254" s="58"/>
      <c r="Q254" s="59"/>
      <c r="R254" s="58"/>
      <c r="S254" s="58"/>
      <c r="T254" s="54" t="s">
        <v>56</v>
      </c>
      <c r="U254" s="54" t="s">
        <v>56</v>
      </c>
    </row>
    <row r="255" spans="1:21" ht="137.5" x14ac:dyDescent="0.25">
      <c r="A255" s="53">
        <v>254</v>
      </c>
      <c r="B255" s="54" t="s">
        <v>1122</v>
      </c>
      <c r="C255" s="54" t="s">
        <v>1123</v>
      </c>
      <c r="D255" s="54" t="s">
        <v>59</v>
      </c>
      <c r="E255" s="54" t="s">
        <v>257</v>
      </c>
      <c r="F255" s="55" t="s">
        <v>1124</v>
      </c>
      <c r="G255" s="56">
        <v>42685</v>
      </c>
      <c r="H255" s="54" t="s">
        <v>1125</v>
      </c>
      <c r="I255" s="57">
        <v>42733</v>
      </c>
      <c r="J255" s="54" t="s">
        <v>920</v>
      </c>
      <c r="K255" s="54" t="s">
        <v>55</v>
      </c>
      <c r="L255" s="56"/>
      <c r="M255" s="56"/>
      <c r="N255" s="58"/>
      <c r="O255" s="58"/>
      <c r="P255" s="58"/>
      <c r="Q255" s="59"/>
      <c r="R255" s="58"/>
      <c r="S255" s="58"/>
      <c r="T255" s="54" t="s">
        <v>56</v>
      </c>
      <c r="U255" s="54" t="s">
        <v>56</v>
      </c>
    </row>
    <row r="256" spans="1:21" ht="137.5" x14ac:dyDescent="0.25">
      <c r="A256" s="53">
        <v>255</v>
      </c>
      <c r="B256" s="54" t="s">
        <v>1126</v>
      </c>
      <c r="C256" s="54" t="s">
        <v>1127</v>
      </c>
      <c r="D256" s="54" t="s">
        <v>59</v>
      </c>
      <c r="E256" s="54" t="s">
        <v>257</v>
      </c>
      <c r="F256" s="55" t="s">
        <v>1128</v>
      </c>
      <c r="G256" s="56">
        <v>42605.041724536997</v>
      </c>
      <c r="H256" s="54" t="s">
        <v>1129</v>
      </c>
      <c r="I256" s="57">
        <v>42640</v>
      </c>
      <c r="J256" s="54" t="s">
        <v>965</v>
      </c>
      <c r="K256" s="54" t="s">
        <v>55</v>
      </c>
      <c r="L256" s="56"/>
      <c r="M256" s="56"/>
      <c r="N256" s="58"/>
      <c r="O256" s="58"/>
      <c r="P256" s="58"/>
      <c r="Q256" s="59"/>
      <c r="R256" s="58"/>
      <c r="S256" s="58"/>
      <c r="T256" s="54" t="s">
        <v>56</v>
      </c>
      <c r="U256" s="54" t="s">
        <v>56</v>
      </c>
    </row>
    <row r="257" spans="1:21" ht="137.5" x14ac:dyDescent="0.25">
      <c r="A257" s="53">
        <v>256</v>
      </c>
      <c r="B257" s="54" t="s">
        <v>1130</v>
      </c>
      <c r="C257" s="54" t="s">
        <v>1131</v>
      </c>
      <c r="D257" s="54" t="s">
        <v>59</v>
      </c>
      <c r="E257" s="54" t="s">
        <v>257</v>
      </c>
      <c r="F257" s="55" t="s">
        <v>1132</v>
      </c>
      <c r="G257" s="56">
        <v>42997</v>
      </c>
      <c r="H257" s="54" t="s">
        <v>1133</v>
      </c>
      <c r="I257" s="57">
        <v>43038</v>
      </c>
      <c r="J257" s="54" t="s">
        <v>965</v>
      </c>
      <c r="K257" s="54" t="s">
        <v>81</v>
      </c>
      <c r="L257" s="56"/>
      <c r="M257" s="56"/>
      <c r="N257" s="54"/>
      <c r="O257" s="54"/>
      <c r="P257" s="54"/>
      <c r="Q257" s="54"/>
      <c r="R257" s="54"/>
      <c r="S257" s="54"/>
      <c r="T257" s="54" t="s">
        <v>56</v>
      </c>
      <c r="U257" s="54" t="s">
        <v>56</v>
      </c>
    </row>
    <row r="258" spans="1:21" ht="100" x14ac:dyDescent="0.25">
      <c r="A258" s="53">
        <v>257</v>
      </c>
      <c r="B258" s="54" t="s">
        <v>1134</v>
      </c>
      <c r="C258" s="54" t="s">
        <v>1135</v>
      </c>
      <c r="D258" s="54" t="s">
        <v>59</v>
      </c>
      <c r="E258" s="54" t="s">
        <v>257</v>
      </c>
      <c r="F258" s="55" t="s">
        <v>1136</v>
      </c>
      <c r="G258" s="56">
        <v>42600.755532407398</v>
      </c>
      <c r="H258" s="54" t="s">
        <v>1137</v>
      </c>
      <c r="I258" s="57">
        <v>42647</v>
      </c>
      <c r="J258" s="54" t="s">
        <v>999</v>
      </c>
      <c r="K258" s="54" t="s">
        <v>55</v>
      </c>
      <c r="L258" s="56"/>
      <c r="M258" s="56"/>
      <c r="N258" s="58"/>
      <c r="O258" s="58"/>
      <c r="P258" s="58"/>
      <c r="Q258" s="59"/>
      <c r="R258" s="58"/>
      <c r="S258" s="58"/>
      <c r="T258" s="54" t="s">
        <v>56</v>
      </c>
      <c r="U258" s="54" t="s">
        <v>56</v>
      </c>
    </row>
    <row r="259" spans="1:21" ht="137.5" x14ac:dyDescent="0.25">
      <c r="A259" s="53">
        <v>258</v>
      </c>
      <c r="B259" s="54" t="s">
        <v>1138</v>
      </c>
      <c r="C259" s="54" t="s">
        <v>1139</v>
      </c>
      <c r="D259" s="54" t="s">
        <v>59</v>
      </c>
      <c r="E259" s="54" t="s">
        <v>257</v>
      </c>
      <c r="F259" s="55" t="s">
        <v>1140</v>
      </c>
      <c r="G259" s="56">
        <v>42601.338946759301</v>
      </c>
      <c r="H259" s="54" t="s">
        <v>1141</v>
      </c>
      <c r="I259" s="57">
        <v>42641</v>
      </c>
      <c r="J259" s="54" t="s">
        <v>965</v>
      </c>
      <c r="K259" s="54" t="s">
        <v>55</v>
      </c>
      <c r="L259" s="56"/>
      <c r="M259" s="56"/>
      <c r="N259" s="58"/>
      <c r="O259" s="58"/>
      <c r="P259" s="58"/>
      <c r="Q259" s="59"/>
      <c r="R259" s="58"/>
      <c r="S259" s="58"/>
      <c r="T259" s="54" t="s">
        <v>56</v>
      </c>
      <c r="U259" s="54" t="s">
        <v>56</v>
      </c>
    </row>
    <row r="260" spans="1:21" ht="137.5" x14ac:dyDescent="0.25">
      <c r="A260" s="53">
        <v>259</v>
      </c>
      <c r="B260" s="54" t="s">
        <v>1142</v>
      </c>
      <c r="C260" s="54" t="s">
        <v>1143</v>
      </c>
      <c r="D260" s="54" t="s">
        <v>59</v>
      </c>
      <c r="E260" s="54" t="s">
        <v>257</v>
      </c>
      <c r="F260" s="55" t="s">
        <v>1144</v>
      </c>
      <c r="G260" s="56">
        <v>42997</v>
      </c>
      <c r="H260" s="54" t="s">
        <v>1145</v>
      </c>
      <c r="I260" s="57">
        <v>43038</v>
      </c>
      <c r="J260" s="54" t="s">
        <v>965</v>
      </c>
      <c r="K260" s="54" t="s">
        <v>81</v>
      </c>
      <c r="L260" s="56"/>
      <c r="M260" s="56"/>
      <c r="N260" s="54"/>
      <c r="O260" s="54"/>
      <c r="P260" s="54"/>
      <c r="Q260" s="54"/>
      <c r="R260" s="54"/>
      <c r="S260" s="54"/>
      <c r="T260" s="54" t="s">
        <v>1146</v>
      </c>
      <c r="U260" s="54" t="s">
        <v>105</v>
      </c>
    </row>
    <row r="261" spans="1:21" ht="137.5" x14ac:dyDescent="0.25">
      <c r="A261" s="53">
        <v>260</v>
      </c>
      <c r="B261" s="54" t="s">
        <v>1147</v>
      </c>
      <c r="C261" s="54" t="s">
        <v>1148</v>
      </c>
      <c r="D261" s="54" t="s">
        <v>59</v>
      </c>
      <c r="E261" s="54" t="s">
        <v>257</v>
      </c>
      <c r="F261" s="55" t="s">
        <v>1149</v>
      </c>
      <c r="G261" s="56">
        <v>42600.7555208333</v>
      </c>
      <c r="H261" s="54" t="s">
        <v>1150</v>
      </c>
      <c r="I261" s="57">
        <v>42646</v>
      </c>
      <c r="J261" s="54" t="s">
        <v>965</v>
      </c>
      <c r="K261" s="54" t="s">
        <v>55</v>
      </c>
      <c r="L261" s="56"/>
      <c r="M261" s="56"/>
      <c r="N261" s="58"/>
      <c r="O261" s="58"/>
      <c r="P261" s="58"/>
      <c r="Q261" s="59"/>
      <c r="R261" s="58"/>
      <c r="S261" s="58"/>
      <c r="T261" s="54" t="s">
        <v>56</v>
      </c>
      <c r="U261" s="54" t="s">
        <v>56</v>
      </c>
    </row>
    <row r="262" spans="1:21" ht="62.5" x14ac:dyDescent="0.25">
      <c r="A262" s="53">
        <v>261</v>
      </c>
      <c r="B262" s="54" t="s">
        <v>1151</v>
      </c>
      <c r="C262" s="64" t="s">
        <v>1152</v>
      </c>
      <c r="D262" s="54" t="s">
        <v>59</v>
      </c>
      <c r="E262" s="54" t="s">
        <v>257</v>
      </c>
      <c r="F262" s="65" t="s">
        <v>1153</v>
      </c>
      <c r="G262" s="66">
        <v>43539</v>
      </c>
      <c r="H262" s="64" t="s">
        <v>1154</v>
      </c>
      <c r="I262" s="67">
        <v>43669</v>
      </c>
      <c r="J262" s="64" t="s">
        <v>986</v>
      </c>
      <c r="K262" s="54" t="s">
        <v>81</v>
      </c>
      <c r="L262" s="56"/>
      <c r="M262" s="56"/>
      <c r="N262" s="54"/>
      <c r="O262" s="54"/>
      <c r="P262" s="54"/>
      <c r="Q262" s="54"/>
      <c r="R262" s="54"/>
      <c r="S262" s="54"/>
      <c r="T262" s="54" t="s">
        <v>104</v>
      </c>
      <c r="U262" s="54" t="s">
        <v>105</v>
      </c>
    </row>
    <row r="263" spans="1:21" ht="137.5" x14ac:dyDescent="0.25">
      <c r="A263" s="53">
        <v>262</v>
      </c>
      <c r="B263" s="54" t="s">
        <v>1155</v>
      </c>
      <c r="C263" s="54" t="s">
        <v>1156</v>
      </c>
      <c r="D263" s="54" t="s">
        <v>59</v>
      </c>
      <c r="E263" s="54" t="s">
        <v>257</v>
      </c>
      <c r="F263" s="55" t="s">
        <v>1157</v>
      </c>
      <c r="G263" s="56">
        <v>43012</v>
      </c>
      <c r="H263" s="54" t="s">
        <v>1158</v>
      </c>
      <c r="I263" s="57">
        <v>43046</v>
      </c>
      <c r="J263" s="54" t="s">
        <v>965</v>
      </c>
      <c r="K263" s="54" t="s">
        <v>81</v>
      </c>
      <c r="L263" s="56"/>
      <c r="M263" s="56"/>
      <c r="N263" s="54"/>
      <c r="O263" s="54"/>
      <c r="P263" s="54"/>
      <c r="Q263" s="54"/>
      <c r="R263" s="54"/>
      <c r="S263" s="54"/>
      <c r="T263" s="54" t="s">
        <v>56</v>
      </c>
      <c r="U263" s="54" t="s">
        <v>56</v>
      </c>
    </row>
    <row r="264" spans="1:21" ht="125" x14ac:dyDescent="0.25">
      <c r="A264" s="53">
        <v>263</v>
      </c>
      <c r="B264" s="54" t="s">
        <v>1159</v>
      </c>
      <c r="C264" s="54" t="s">
        <v>1160</v>
      </c>
      <c r="D264" s="54" t="s">
        <v>59</v>
      </c>
      <c r="E264" s="54" t="s">
        <v>257</v>
      </c>
      <c r="F264" s="55" t="s">
        <v>1161</v>
      </c>
      <c r="G264" s="56">
        <v>42600.755405092597</v>
      </c>
      <c r="H264" s="54" t="s">
        <v>1162</v>
      </c>
      <c r="I264" s="57">
        <v>42640</v>
      </c>
      <c r="J264" s="54" t="s">
        <v>80</v>
      </c>
      <c r="K264" s="54" t="s">
        <v>55</v>
      </c>
      <c r="L264" s="56"/>
      <c r="M264" s="56"/>
      <c r="N264" s="58"/>
      <c r="O264" s="58"/>
      <c r="P264" s="58"/>
      <c r="Q264" s="59"/>
      <c r="R264" s="58"/>
      <c r="S264" s="58"/>
      <c r="T264" s="54" t="s">
        <v>56</v>
      </c>
      <c r="U264" s="54" t="s">
        <v>56</v>
      </c>
    </row>
    <row r="265" spans="1:21" ht="125" x14ac:dyDescent="0.25">
      <c r="A265" s="53">
        <v>264</v>
      </c>
      <c r="B265" s="54" t="s">
        <v>1163</v>
      </c>
      <c r="C265" s="54" t="s">
        <v>1164</v>
      </c>
      <c r="D265" s="54" t="s">
        <v>59</v>
      </c>
      <c r="E265" s="54" t="s">
        <v>257</v>
      </c>
      <c r="F265" s="55" t="s">
        <v>1165</v>
      </c>
      <c r="G265" s="56">
        <v>43025.463773148098</v>
      </c>
      <c r="H265" s="59" t="s">
        <v>1166</v>
      </c>
      <c r="I265" s="57">
        <v>43038</v>
      </c>
      <c r="J265" s="54" t="s">
        <v>80</v>
      </c>
      <c r="K265" s="54" t="s">
        <v>55</v>
      </c>
      <c r="L265" s="56"/>
      <c r="M265" s="56"/>
      <c r="N265" s="54"/>
      <c r="O265" s="54"/>
      <c r="P265" s="54"/>
      <c r="Q265" s="54"/>
      <c r="R265" s="54"/>
      <c r="S265" s="54"/>
      <c r="T265" s="54" t="s">
        <v>56</v>
      </c>
      <c r="U265" s="54" t="s">
        <v>56</v>
      </c>
    </row>
    <row r="266" spans="1:21" ht="125" x14ac:dyDescent="0.25">
      <c r="A266" s="53">
        <v>265</v>
      </c>
      <c r="B266" s="54" t="s">
        <v>1167</v>
      </c>
      <c r="C266" s="54" t="s">
        <v>1168</v>
      </c>
      <c r="D266" s="54" t="s">
        <v>59</v>
      </c>
      <c r="E266" s="54" t="s">
        <v>257</v>
      </c>
      <c r="F266" s="55" t="s">
        <v>1169</v>
      </c>
      <c r="G266" s="56">
        <v>42600.755497685197</v>
      </c>
      <c r="H266" s="54" t="s">
        <v>1170</v>
      </c>
      <c r="I266" s="57">
        <v>42640</v>
      </c>
      <c r="J266" s="54" t="s">
        <v>80</v>
      </c>
      <c r="K266" s="54" t="s">
        <v>55</v>
      </c>
      <c r="L266" s="56"/>
      <c r="M266" s="56"/>
      <c r="N266" s="58"/>
      <c r="O266" s="58"/>
      <c r="P266" s="58"/>
      <c r="Q266" s="59"/>
      <c r="R266" s="58"/>
      <c r="S266" s="58"/>
      <c r="T266" s="54" t="s">
        <v>56</v>
      </c>
      <c r="U266" s="54" t="s">
        <v>56</v>
      </c>
    </row>
    <row r="267" spans="1:21" ht="37.5" x14ac:dyDescent="0.25">
      <c r="A267" s="53">
        <v>266</v>
      </c>
      <c r="B267" s="54" t="s">
        <v>1171</v>
      </c>
      <c r="C267" s="54" t="s">
        <v>1172</v>
      </c>
      <c r="D267" s="54" t="s">
        <v>59</v>
      </c>
      <c r="E267" s="54" t="s">
        <v>257</v>
      </c>
      <c r="F267" s="55" t="s">
        <v>1173</v>
      </c>
      <c r="G267" s="56">
        <v>43000</v>
      </c>
      <c r="H267" s="54" t="s">
        <v>1174</v>
      </c>
      <c r="I267" s="57">
        <v>43020</v>
      </c>
      <c r="J267" s="54" t="s">
        <v>986</v>
      </c>
      <c r="K267" s="54" t="s">
        <v>81</v>
      </c>
      <c r="L267" s="56"/>
      <c r="M267" s="56"/>
      <c r="N267" s="54"/>
      <c r="O267" s="54"/>
      <c r="P267" s="54"/>
      <c r="Q267" s="54"/>
      <c r="R267" s="54"/>
      <c r="S267" s="54"/>
      <c r="T267" s="54" t="s">
        <v>56</v>
      </c>
      <c r="U267" s="54" t="s">
        <v>56</v>
      </c>
    </row>
    <row r="268" spans="1:21" ht="125" x14ac:dyDescent="0.25">
      <c r="A268" s="53">
        <v>267</v>
      </c>
      <c r="B268" s="54" t="s">
        <v>1175</v>
      </c>
      <c r="C268" s="54" t="s">
        <v>1176</v>
      </c>
      <c r="D268" s="54" t="s">
        <v>59</v>
      </c>
      <c r="E268" s="54" t="s">
        <v>257</v>
      </c>
      <c r="F268" s="55" t="s">
        <v>1177</v>
      </c>
      <c r="G268" s="56">
        <v>42600.755532407398</v>
      </c>
      <c r="H268" s="54" t="s">
        <v>1178</v>
      </c>
      <c r="I268" s="57">
        <v>42640</v>
      </c>
      <c r="J268" s="54" t="s">
        <v>80</v>
      </c>
      <c r="K268" s="54" t="s">
        <v>55</v>
      </c>
      <c r="L268" s="56"/>
      <c r="M268" s="56"/>
      <c r="N268" s="58"/>
      <c r="O268" s="58"/>
      <c r="P268" s="58"/>
      <c r="Q268" s="59"/>
      <c r="R268" s="58"/>
      <c r="S268" s="58"/>
      <c r="T268" s="54" t="s">
        <v>56</v>
      </c>
      <c r="U268" s="54" t="s">
        <v>56</v>
      </c>
    </row>
    <row r="269" spans="1:21" ht="125" x14ac:dyDescent="0.25">
      <c r="A269" s="53">
        <v>268</v>
      </c>
      <c r="B269" s="54" t="s">
        <v>1179</v>
      </c>
      <c r="C269" s="54" t="s">
        <v>1180</v>
      </c>
      <c r="D269" s="54" t="s">
        <v>59</v>
      </c>
      <c r="E269" s="54" t="s">
        <v>257</v>
      </c>
      <c r="F269" s="55" t="s">
        <v>1181</v>
      </c>
      <c r="G269" s="56">
        <v>42601.338888888902</v>
      </c>
      <c r="H269" s="54" t="s">
        <v>1182</v>
      </c>
      <c r="I269" s="57">
        <v>42640</v>
      </c>
      <c r="J269" s="54" t="s">
        <v>80</v>
      </c>
      <c r="K269" s="54" t="s">
        <v>55</v>
      </c>
      <c r="L269" s="56"/>
      <c r="M269" s="56"/>
      <c r="N269" s="58"/>
      <c r="O269" s="58"/>
      <c r="P269" s="58"/>
      <c r="Q269" s="59"/>
      <c r="R269" s="58"/>
      <c r="S269" s="58"/>
      <c r="T269" s="54" t="s">
        <v>56</v>
      </c>
      <c r="U269" s="54" t="s">
        <v>56</v>
      </c>
    </row>
    <row r="270" spans="1:21" ht="125" x14ac:dyDescent="0.25">
      <c r="A270" s="53">
        <v>269</v>
      </c>
      <c r="B270" s="54" t="s">
        <v>1183</v>
      </c>
      <c r="C270" s="54" t="s">
        <v>1184</v>
      </c>
      <c r="D270" s="54" t="s">
        <v>59</v>
      </c>
      <c r="E270" s="54" t="s">
        <v>257</v>
      </c>
      <c r="F270" s="55" t="s">
        <v>1185</v>
      </c>
      <c r="G270" s="56">
        <v>42600.755405092597</v>
      </c>
      <c r="H270" s="54" t="s">
        <v>1186</v>
      </c>
      <c r="I270" s="57">
        <v>42640</v>
      </c>
      <c r="J270" s="54" t="s">
        <v>80</v>
      </c>
      <c r="K270" s="54" t="s">
        <v>55</v>
      </c>
      <c r="L270" s="56"/>
      <c r="M270" s="56"/>
      <c r="N270" s="58"/>
      <c r="O270" s="58"/>
      <c r="P270" s="58"/>
      <c r="Q270" s="59"/>
      <c r="R270" s="58"/>
      <c r="S270" s="58"/>
      <c r="T270" s="54" t="s">
        <v>56</v>
      </c>
      <c r="U270" s="54" t="s">
        <v>56</v>
      </c>
    </row>
    <row r="271" spans="1:21" ht="125" x14ac:dyDescent="0.25">
      <c r="A271" s="53">
        <v>270</v>
      </c>
      <c r="B271" s="54" t="s">
        <v>1187</v>
      </c>
      <c r="C271" s="54" t="s">
        <v>1188</v>
      </c>
      <c r="D271" s="54" t="s">
        <v>59</v>
      </c>
      <c r="E271" s="54" t="s">
        <v>257</v>
      </c>
      <c r="F271" s="55" t="s">
        <v>1189</v>
      </c>
      <c r="G271" s="56">
        <v>42601.338865740698</v>
      </c>
      <c r="H271" s="54" t="s">
        <v>1190</v>
      </c>
      <c r="I271" s="57">
        <v>42640</v>
      </c>
      <c r="J271" s="54" t="s">
        <v>80</v>
      </c>
      <c r="K271" s="54" t="s">
        <v>55</v>
      </c>
      <c r="L271" s="56"/>
      <c r="M271" s="56"/>
      <c r="N271" s="58"/>
      <c r="O271" s="58"/>
      <c r="P271" s="54"/>
      <c r="Q271" s="59"/>
      <c r="R271" s="54"/>
      <c r="S271" s="54"/>
      <c r="T271" s="54" t="s">
        <v>56</v>
      </c>
      <c r="U271" s="54" t="s">
        <v>56</v>
      </c>
    </row>
    <row r="272" spans="1:21" ht="100" x14ac:dyDescent="0.25">
      <c r="A272" s="53">
        <v>271</v>
      </c>
      <c r="B272" s="54" t="s">
        <v>1191</v>
      </c>
      <c r="C272" s="54" t="s">
        <v>1192</v>
      </c>
      <c r="D272" s="54" t="s">
        <v>50</v>
      </c>
      <c r="E272" s="54" t="s">
        <v>257</v>
      </c>
      <c r="F272" s="55" t="s">
        <v>1193</v>
      </c>
      <c r="G272" s="56">
        <v>42685</v>
      </c>
      <c r="H272" s="54" t="s">
        <v>1194</v>
      </c>
      <c r="I272" s="57">
        <v>42716</v>
      </c>
      <c r="J272" s="54" t="s">
        <v>54</v>
      </c>
      <c r="K272" s="54" t="s">
        <v>55</v>
      </c>
      <c r="L272" s="56"/>
      <c r="M272" s="56"/>
      <c r="N272" s="58"/>
      <c r="O272" s="58"/>
      <c r="P272" s="58"/>
      <c r="Q272" s="59"/>
      <c r="R272" s="58"/>
      <c r="S272" s="58"/>
      <c r="T272" s="54" t="s">
        <v>56</v>
      </c>
      <c r="U272" s="54" t="s">
        <v>56</v>
      </c>
    </row>
    <row r="273" spans="1:21" ht="100" x14ac:dyDescent="0.25">
      <c r="A273" s="53">
        <v>272</v>
      </c>
      <c r="B273" s="54" t="s">
        <v>1195</v>
      </c>
      <c r="C273" s="54" t="s">
        <v>1196</v>
      </c>
      <c r="D273" s="54" t="s">
        <v>50</v>
      </c>
      <c r="E273" s="54" t="s">
        <v>257</v>
      </c>
      <c r="F273" s="55" t="s">
        <v>1197</v>
      </c>
      <c r="G273" s="56">
        <v>42685</v>
      </c>
      <c r="H273" s="54" t="s">
        <v>1198</v>
      </c>
      <c r="I273" s="57">
        <v>42712</v>
      </c>
      <c r="J273" s="54" t="s">
        <v>54</v>
      </c>
      <c r="K273" s="54" t="s">
        <v>55</v>
      </c>
      <c r="L273" s="56"/>
      <c r="M273" s="56"/>
      <c r="N273" s="58"/>
      <c r="O273" s="58"/>
      <c r="P273" s="58"/>
      <c r="Q273" s="59"/>
      <c r="R273" s="58"/>
      <c r="S273" s="58"/>
      <c r="T273" s="54" t="s">
        <v>56</v>
      </c>
      <c r="U273" s="54" t="s">
        <v>56</v>
      </c>
    </row>
    <row r="274" spans="1:21" ht="100" x14ac:dyDescent="0.25">
      <c r="A274" s="53">
        <v>273</v>
      </c>
      <c r="B274" s="54" t="s">
        <v>1199</v>
      </c>
      <c r="C274" s="54" t="s">
        <v>1200</v>
      </c>
      <c r="D274" s="54" t="s">
        <v>50</v>
      </c>
      <c r="E274" s="54" t="s">
        <v>257</v>
      </c>
      <c r="F274" s="55" t="s">
        <v>1201</v>
      </c>
      <c r="G274" s="56">
        <v>43005</v>
      </c>
      <c r="H274" s="54" t="s">
        <v>1202</v>
      </c>
      <c r="I274" s="57">
        <v>43038</v>
      </c>
      <c r="J274" s="54" t="s">
        <v>54</v>
      </c>
      <c r="K274" s="54" t="s">
        <v>55</v>
      </c>
      <c r="L274" s="56"/>
      <c r="M274" s="56"/>
      <c r="N274" s="54"/>
      <c r="O274" s="54"/>
      <c r="P274" s="54"/>
      <c r="Q274" s="54"/>
      <c r="R274" s="54"/>
      <c r="S274" s="54"/>
      <c r="T274" s="54" t="s">
        <v>56</v>
      </c>
      <c r="U274" s="54" t="s">
        <v>56</v>
      </c>
    </row>
    <row r="275" spans="1:21" ht="37.5" x14ac:dyDescent="0.25">
      <c r="A275" s="53">
        <v>274</v>
      </c>
      <c r="B275" s="54" t="s">
        <v>1203</v>
      </c>
      <c r="C275" s="54" t="s">
        <v>1204</v>
      </c>
      <c r="D275" s="54" t="s">
        <v>59</v>
      </c>
      <c r="E275" s="54" t="s">
        <v>257</v>
      </c>
      <c r="F275" s="65" t="s">
        <v>1205</v>
      </c>
      <c r="G275" s="66">
        <v>43307</v>
      </c>
      <c r="H275" s="64" t="s">
        <v>1206</v>
      </c>
      <c r="I275" s="67">
        <v>43600</v>
      </c>
      <c r="J275" s="54" t="s">
        <v>986</v>
      </c>
      <c r="K275" s="54" t="s">
        <v>55</v>
      </c>
      <c r="L275" s="56"/>
      <c r="M275" s="56"/>
      <c r="N275" s="54"/>
      <c r="O275" s="54"/>
      <c r="P275" s="54"/>
      <c r="Q275" s="54"/>
      <c r="R275" s="54"/>
      <c r="S275" s="54"/>
      <c r="T275" s="54" t="s">
        <v>56</v>
      </c>
      <c r="U275" s="54" t="s">
        <v>56</v>
      </c>
    </row>
    <row r="276" spans="1:21" ht="137.5" x14ac:dyDescent="0.25">
      <c r="A276" s="53">
        <v>275</v>
      </c>
      <c r="B276" s="54" t="s">
        <v>1207</v>
      </c>
      <c r="C276" s="54" t="s">
        <v>1208</v>
      </c>
      <c r="D276" s="54" t="s">
        <v>59</v>
      </c>
      <c r="E276" s="54" t="s">
        <v>257</v>
      </c>
      <c r="F276" s="55" t="s">
        <v>1209</v>
      </c>
      <c r="G276" s="56">
        <v>42957</v>
      </c>
      <c r="H276" s="54" t="s">
        <v>1210</v>
      </c>
      <c r="I276" s="57">
        <v>43021</v>
      </c>
      <c r="J276" s="54" t="s">
        <v>965</v>
      </c>
      <c r="K276" s="54" t="s">
        <v>55</v>
      </c>
      <c r="L276" s="56"/>
      <c r="M276" s="56"/>
      <c r="N276" s="54"/>
      <c r="O276" s="54"/>
      <c r="P276" s="54"/>
      <c r="Q276" s="54"/>
      <c r="R276" s="54"/>
      <c r="S276" s="54"/>
      <c r="T276" s="54" t="s">
        <v>1146</v>
      </c>
      <c r="U276" s="54" t="s">
        <v>501</v>
      </c>
    </row>
    <row r="277" spans="1:21" ht="125" x14ac:dyDescent="0.25">
      <c r="A277" s="53">
        <v>276</v>
      </c>
      <c r="B277" s="54" t="s">
        <v>1211</v>
      </c>
      <c r="C277" s="54" t="s">
        <v>1212</v>
      </c>
      <c r="D277" s="54" t="s">
        <v>59</v>
      </c>
      <c r="E277" s="54" t="s">
        <v>257</v>
      </c>
      <c r="F277" s="55" t="s">
        <v>1213</v>
      </c>
      <c r="G277" s="56">
        <v>42601.338935185202</v>
      </c>
      <c r="H277" s="54" t="s">
        <v>1214</v>
      </c>
      <c r="I277" s="57">
        <v>42640</v>
      </c>
      <c r="J277" s="54" t="s">
        <v>80</v>
      </c>
      <c r="K277" s="54" t="s">
        <v>55</v>
      </c>
      <c r="L277" s="56"/>
      <c r="M277" s="56"/>
      <c r="N277" s="58"/>
      <c r="O277" s="58"/>
      <c r="P277" s="58"/>
      <c r="Q277" s="59"/>
      <c r="R277" s="58"/>
      <c r="S277" s="58"/>
      <c r="T277" s="54" t="s">
        <v>56</v>
      </c>
      <c r="U277" s="54" t="s">
        <v>56</v>
      </c>
    </row>
    <row r="278" spans="1:21" ht="150" x14ac:dyDescent="0.25">
      <c r="A278" s="53">
        <v>277</v>
      </c>
      <c r="B278" s="54" t="s">
        <v>1215</v>
      </c>
      <c r="C278" s="54" t="s">
        <v>1216</v>
      </c>
      <c r="D278" s="54" t="s">
        <v>59</v>
      </c>
      <c r="E278" s="54" t="s">
        <v>257</v>
      </c>
      <c r="F278" s="55" t="s">
        <v>1217</v>
      </c>
      <c r="G278" s="56">
        <v>42685</v>
      </c>
      <c r="H278" s="54" t="s">
        <v>1218</v>
      </c>
      <c r="I278" s="57">
        <v>42733</v>
      </c>
      <c r="J278" s="54" t="s">
        <v>500</v>
      </c>
      <c r="K278" s="54" t="s">
        <v>55</v>
      </c>
      <c r="L278" s="56"/>
      <c r="M278" s="56"/>
      <c r="N278" s="58"/>
      <c r="O278" s="58"/>
      <c r="P278" s="58"/>
      <c r="Q278" s="59"/>
      <c r="R278" s="58"/>
      <c r="S278" s="58"/>
      <c r="T278" s="54" t="s">
        <v>56</v>
      </c>
      <c r="U278" s="54" t="s">
        <v>56</v>
      </c>
    </row>
    <row r="279" spans="1:21" ht="100" x14ac:dyDescent="0.25">
      <c r="A279" s="53">
        <v>278</v>
      </c>
      <c r="B279" s="54" t="s">
        <v>1219</v>
      </c>
      <c r="C279" s="54" t="s">
        <v>1220</v>
      </c>
      <c r="D279" s="54" t="s">
        <v>50</v>
      </c>
      <c r="E279" s="54" t="s">
        <v>257</v>
      </c>
      <c r="F279" s="65" t="s">
        <v>1221</v>
      </c>
      <c r="G279" s="66">
        <v>43697</v>
      </c>
      <c r="H279" s="64" t="s">
        <v>1222</v>
      </c>
      <c r="I279" s="67">
        <v>43706</v>
      </c>
      <c r="J279" s="54" t="s">
        <v>54</v>
      </c>
      <c r="K279" s="54" t="s">
        <v>55</v>
      </c>
      <c r="L279" s="56"/>
      <c r="M279" s="56"/>
      <c r="N279" s="54"/>
      <c r="O279" s="54"/>
      <c r="P279" s="54"/>
      <c r="Q279" s="54"/>
      <c r="R279" s="54"/>
      <c r="S279" s="54"/>
      <c r="T279" s="54" t="s">
        <v>56</v>
      </c>
      <c r="U279" s="54" t="s">
        <v>56</v>
      </c>
    </row>
    <row r="280" spans="1:21" ht="150" x14ac:dyDescent="0.25">
      <c r="A280" s="53">
        <v>279</v>
      </c>
      <c r="B280" s="54" t="s">
        <v>1223</v>
      </c>
      <c r="C280" s="54" t="s">
        <v>1224</v>
      </c>
      <c r="D280" s="54" t="s">
        <v>59</v>
      </c>
      <c r="E280" s="54" t="s">
        <v>257</v>
      </c>
      <c r="F280" s="55" t="s">
        <v>1225</v>
      </c>
      <c r="G280" s="56">
        <v>42685</v>
      </c>
      <c r="H280" s="54" t="s">
        <v>1226</v>
      </c>
      <c r="I280" s="57">
        <v>42713</v>
      </c>
      <c r="J280" s="54" t="s">
        <v>500</v>
      </c>
      <c r="K280" s="54" t="s">
        <v>55</v>
      </c>
      <c r="L280" s="56"/>
      <c r="M280" s="56"/>
      <c r="N280" s="58"/>
      <c r="O280" s="58"/>
      <c r="P280" s="58"/>
      <c r="Q280" s="59"/>
      <c r="R280" s="58"/>
      <c r="S280" s="58"/>
      <c r="T280" s="54" t="s">
        <v>56</v>
      </c>
      <c r="U280" s="54" t="s">
        <v>56</v>
      </c>
    </row>
    <row r="281" spans="1:21" ht="100" x14ac:dyDescent="0.25">
      <c r="A281" s="53">
        <v>280</v>
      </c>
      <c r="B281" s="54" t="s">
        <v>1227</v>
      </c>
      <c r="C281" s="54" t="s">
        <v>1228</v>
      </c>
      <c r="D281" s="54" t="s">
        <v>50</v>
      </c>
      <c r="E281" s="54" t="s">
        <v>257</v>
      </c>
      <c r="F281" s="55" t="s">
        <v>1229</v>
      </c>
      <c r="G281" s="56">
        <v>43000</v>
      </c>
      <c r="H281" s="54" t="s">
        <v>1230</v>
      </c>
      <c r="I281" s="57">
        <v>43020</v>
      </c>
      <c r="J281" s="54" t="s">
        <v>54</v>
      </c>
      <c r="K281" s="54" t="s">
        <v>55</v>
      </c>
      <c r="L281" s="56"/>
      <c r="M281" s="56"/>
      <c r="N281" s="54"/>
      <c r="O281" s="54"/>
      <c r="P281" s="54"/>
      <c r="Q281" s="54"/>
      <c r="R281" s="54"/>
      <c r="S281" s="54"/>
      <c r="T281" s="54" t="s">
        <v>56</v>
      </c>
      <c r="U281" s="54" t="s">
        <v>56</v>
      </c>
    </row>
    <row r="282" spans="1:21" ht="150" x14ac:dyDescent="0.25">
      <c r="A282" s="53">
        <v>281</v>
      </c>
      <c r="B282" s="54" t="s">
        <v>1231</v>
      </c>
      <c r="C282" s="54" t="s">
        <v>1232</v>
      </c>
      <c r="D282" s="54" t="s">
        <v>59</v>
      </c>
      <c r="E282" s="54" t="s">
        <v>257</v>
      </c>
      <c r="F282" s="55" t="s">
        <v>1233</v>
      </c>
      <c r="G282" s="56">
        <v>42600.755486111098</v>
      </c>
      <c r="H282" s="54" t="s">
        <v>1234</v>
      </c>
      <c r="I282" s="57">
        <v>42642</v>
      </c>
      <c r="J282" s="54" t="s">
        <v>500</v>
      </c>
      <c r="K282" s="54" t="s">
        <v>55</v>
      </c>
      <c r="L282" s="56"/>
      <c r="M282" s="56"/>
      <c r="N282" s="58"/>
      <c r="O282" s="58"/>
      <c r="P282" s="58"/>
      <c r="Q282" s="59"/>
      <c r="R282" s="58"/>
      <c r="S282" s="58"/>
      <c r="T282" s="54" t="s">
        <v>56</v>
      </c>
      <c r="U282" s="54" t="s">
        <v>56</v>
      </c>
    </row>
    <row r="283" spans="1:21" ht="150" x14ac:dyDescent="0.25">
      <c r="A283" s="53">
        <v>282</v>
      </c>
      <c r="B283" s="54" t="s">
        <v>1235</v>
      </c>
      <c r="C283" s="54" t="s">
        <v>1236</v>
      </c>
      <c r="D283" s="54" t="s">
        <v>59</v>
      </c>
      <c r="E283" s="54" t="s">
        <v>257</v>
      </c>
      <c r="F283" s="55" t="s">
        <v>1237</v>
      </c>
      <c r="G283" s="56">
        <v>42600.7554282407</v>
      </c>
      <c r="H283" s="54" t="s">
        <v>1238</v>
      </c>
      <c r="I283" s="57">
        <v>42640</v>
      </c>
      <c r="J283" s="54" t="s">
        <v>500</v>
      </c>
      <c r="K283" s="54" t="s">
        <v>55</v>
      </c>
      <c r="L283" s="56"/>
      <c r="M283" s="56"/>
      <c r="N283" s="58"/>
      <c r="O283" s="58"/>
      <c r="P283" s="58"/>
      <c r="Q283" s="59"/>
      <c r="R283" s="58"/>
      <c r="S283" s="58"/>
      <c r="T283" s="54" t="s">
        <v>56</v>
      </c>
      <c r="U283" s="54" t="s">
        <v>56</v>
      </c>
    </row>
    <row r="284" spans="1:21" ht="100" x14ac:dyDescent="0.25">
      <c r="A284" s="53">
        <v>283</v>
      </c>
      <c r="B284" s="54" t="s">
        <v>1239</v>
      </c>
      <c r="C284" s="54" t="s">
        <v>1240</v>
      </c>
      <c r="D284" s="54" t="s">
        <v>50</v>
      </c>
      <c r="E284" s="54" t="s">
        <v>257</v>
      </c>
      <c r="F284" s="65" t="s">
        <v>1241</v>
      </c>
      <c r="G284" s="66">
        <v>43307</v>
      </c>
      <c r="H284" s="64" t="s">
        <v>1242</v>
      </c>
      <c r="I284" s="67">
        <v>43600</v>
      </c>
      <c r="J284" s="54" t="s">
        <v>54</v>
      </c>
      <c r="K284" s="54" t="s">
        <v>55</v>
      </c>
      <c r="L284" s="56"/>
      <c r="M284" s="56"/>
      <c r="N284" s="54"/>
      <c r="O284" s="54"/>
      <c r="P284" s="54"/>
      <c r="Q284" s="54"/>
      <c r="R284" s="54"/>
      <c r="S284" s="54"/>
      <c r="T284" s="54" t="s">
        <v>56</v>
      </c>
      <c r="U284" s="54" t="s">
        <v>56</v>
      </c>
    </row>
    <row r="285" spans="1:21" ht="100" x14ac:dyDescent="0.25">
      <c r="A285" s="53">
        <v>284</v>
      </c>
      <c r="B285" s="54" t="s">
        <v>1243</v>
      </c>
      <c r="C285" s="54" t="s">
        <v>1244</v>
      </c>
      <c r="D285" s="54" t="s">
        <v>173</v>
      </c>
      <c r="E285" s="54" t="s">
        <v>257</v>
      </c>
      <c r="F285" s="55" t="s">
        <v>1245</v>
      </c>
      <c r="G285" s="56">
        <v>43053</v>
      </c>
      <c r="H285" s="54" t="s">
        <v>1246</v>
      </c>
      <c r="I285" s="57">
        <v>43066</v>
      </c>
      <c r="J285" s="54" t="s">
        <v>54</v>
      </c>
      <c r="K285" s="54" t="s">
        <v>176</v>
      </c>
      <c r="L285" s="56"/>
      <c r="M285" s="56"/>
      <c r="N285" s="54"/>
      <c r="O285" s="59"/>
      <c r="P285" s="54" t="s">
        <v>1247</v>
      </c>
      <c r="Q285" s="59">
        <v>44615</v>
      </c>
      <c r="R285" s="54" t="s">
        <v>179</v>
      </c>
      <c r="S285" s="83">
        <v>44672</v>
      </c>
      <c r="T285" s="54" t="s">
        <v>104</v>
      </c>
      <c r="U285" s="54" t="s">
        <v>105</v>
      </c>
    </row>
    <row r="286" spans="1:21" ht="100" x14ac:dyDescent="0.25">
      <c r="A286" s="53">
        <v>285</v>
      </c>
      <c r="B286" s="54" t="s">
        <v>1248</v>
      </c>
      <c r="C286" s="54" t="s">
        <v>1249</v>
      </c>
      <c r="D286" s="54" t="s">
        <v>59</v>
      </c>
      <c r="E286" s="54" t="s">
        <v>257</v>
      </c>
      <c r="F286" s="55" t="s">
        <v>1250</v>
      </c>
      <c r="G286" s="56">
        <v>42600.7555208333</v>
      </c>
      <c r="H286" s="54" t="s">
        <v>1251</v>
      </c>
      <c r="I286" s="57">
        <v>42647</v>
      </c>
      <c r="J286" s="54" t="s">
        <v>999</v>
      </c>
      <c r="K286" s="54" t="s">
        <v>55</v>
      </c>
      <c r="L286" s="56"/>
      <c r="M286" s="56"/>
      <c r="N286" s="58"/>
      <c r="O286" s="58"/>
      <c r="P286" s="58"/>
      <c r="Q286" s="59"/>
      <c r="R286" s="58"/>
      <c r="S286" s="58"/>
      <c r="T286" s="54" t="s">
        <v>56</v>
      </c>
      <c r="U286" s="54" t="s">
        <v>56</v>
      </c>
    </row>
    <row r="287" spans="1:21" ht="137.5" x14ac:dyDescent="0.25">
      <c r="A287" s="53">
        <v>286</v>
      </c>
      <c r="B287" s="54" t="s">
        <v>1252</v>
      </c>
      <c r="C287" s="54" t="s">
        <v>1253</v>
      </c>
      <c r="D287" s="54" t="s">
        <v>59</v>
      </c>
      <c r="E287" s="54" t="s">
        <v>257</v>
      </c>
      <c r="F287" s="55" t="s">
        <v>1254</v>
      </c>
      <c r="G287" s="56">
        <v>43027</v>
      </c>
      <c r="H287" s="54" t="s">
        <v>1255</v>
      </c>
      <c r="I287" s="57">
        <v>43046</v>
      </c>
      <c r="J287" s="54" t="s">
        <v>965</v>
      </c>
      <c r="K287" s="54" t="s">
        <v>81</v>
      </c>
      <c r="L287" s="56"/>
      <c r="M287" s="56"/>
      <c r="N287" s="54"/>
      <c r="O287" s="54"/>
      <c r="P287" s="54"/>
      <c r="Q287" s="54"/>
      <c r="R287" s="54"/>
      <c r="S287" s="54"/>
      <c r="T287" s="54" t="s">
        <v>56</v>
      </c>
      <c r="U287" s="54" t="s">
        <v>56</v>
      </c>
    </row>
    <row r="288" spans="1:21" ht="150" x14ac:dyDescent="0.25">
      <c r="A288" s="53">
        <v>287</v>
      </c>
      <c r="B288" s="54" t="s">
        <v>1256</v>
      </c>
      <c r="C288" s="54" t="s">
        <v>1257</v>
      </c>
      <c r="D288" s="54" t="s">
        <v>59</v>
      </c>
      <c r="E288" s="54" t="s">
        <v>257</v>
      </c>
      <c r="F288" s="55" t="s">
        <v>1258</v>
      </c>
      <c r="G288" s="56">
        <v>43006</v>
      </c>
      <c r="H288" s="54" t="s">
        <v>1259</v>
      </c>
      <c r="I288" s="57">
        <v>43046</v>
      </c>
      <c r="J288" s="54" t="s">
        <v>500</v>
      </c>
      <c r="K288" s="54" t="s">
        <v>81</v>
      </c>
      <c r="L288" s="56"/>
      <c r="M288" s="56"/>
      <c r="N288" s="54"/>
      <c r="O288" s="54"/>
      <c r="P288" s="54"/>
      <c r="Q288" s="54"/>
      <c r="R288" s="54"/>
      <c r="S288" s="54"/>
      <c r="T288" s="54" t="s">
        <v>56</v>
      </c>
      <c r="U288" s="54" t="s">
        <v>56</v>
      </c>
    </row>
    <row r="289" spans="1:21" ht="37.5" x14ac:dyDescent="0.25">
      <c r="A289" s="53">
        <v>288</v>
      </c>
      <c r="B289" s="54" t="s">
        <v>1260</v>
      </c>
      <c r="C289" s="64" t="s">
        <v>1261</v>
      </c>
      <c r="D289" s="54" t="s">
        <v>59</v>
      </c>
      <c r="E289" s="54" t="s">
        <v>257</v>
      </c>
      <c r="F289" s="65" t="s">
        <v>1262</v>
      </c>
      <c r="G289" s="66">
        <v>43511</v>
      </c>
      <c r="H289" s="64" t="s">
        <v>1263</v>
      </c>
      <c r="I289" s="67">
        <v>43690</v>
      </c>
      <c r="J289" s="64" t="s">
        <v>986</v>
      </c>
      <c r="K289" s="54" t="s">
        <v>81</v>
      </c>
      <c r="L289" s="56"/>
      <c r="M289" s="56"/>
      <c r="N289" s="54"/>
      <c r="O289" s="54"/>
      <c r="P289" s="54"/>
      <c r="Q289" s="54"/>
      <c r="R289" s="54"/>
      <c r="S289" s="54"/>
      <c r="T289" s="54" t="s">
        <v>56</v>
      </c>
      <c r="U289" s="54" t="s">
        <v>56</v>
      </c>
    </row>
    <row r="290" spans="1:21" ht="100" x14ac:dyDescent="0.25">
      <c r="A290" s="53">
        <v>289</v>
      </c>
      <c r="B290" s="54" t="s">
        <v>1264</v>
      </c>
      <c r="C290" s="54" t="s">
        <v>1265</v>
      </c>
      <c r="D290" s="54" t="s">
        <v>50</v>
      </c>
      <c r="E290" s="54" t="s">
        <v>257</v>
      </c>
      <c r="F290" s="55" t="s">
        <v>1266</v>
      </c>
      <c r="G290" s="56">
        <v>43010</v>
      </c>
      <c r="H290" s="54" t="s">
        <v>1267</v>
      </c>
      <c r="I290" s="57">
        <v>43038</v>
      </c>
      <c r="J290" s="54" t="s">
        <v>54</v>
      </c>
      <c r="K290" s="54" t="s">
        <v>55</v>
      </c>
      <c r="L290" s="56"/>
      <c r="M290" s="56"/>
      <c r="N290" s="54"/>
      <c r="O290" s="54"/>
      <c r="P290" s="54"/>
      <c r="Q290" s="54"/>
      <c r="R290" s="54"/>
      <c r="S290" s="54"/>
      <c r="T290" s="54" t="s">
        <v>56</v>
      </c>
      <c r="U290" s="54" t="s">
        <v>56</v>
      </c>
    </row>
    <row r="291" spans="1:21" ht="100" x14ac:dyDescent="0.25">
      <c r="A291" s="53">
        <v>290</v>
      </c>
      <c r="B291" s="54" t="s">
        <v>1268</v>
      </c>
      <c r="C291" s="54" t="s">
        <v>1269</v>
      </c>
      <c r="D291" s="54" t="s">
        <v>50</v>
      </c>
      <c r="E291" s="54" t="s">
        <v>257</v>
      </c>
      <c r="F291" s="55" t="s">
        <v>1270</v>
      </c>
      <c r="G291" s="56">
        <v>42685</v>
      </c>
      <c r="H291" s="54" t="s">
        <v>1271</v>
      </c>
      <c r="I291" s="57">
        <v>42733</v>
      </c>
      <c r="J291" s="54" t="s">
        <v>54</v>
      </c>
      <c r="K291" s="54" t="s">
        <v>55</v>
      </c>
      <c r="L291" s="56"/>
      <c r="M291" s="56"/>
      <c r="N291" s="58"/>
      <c r="O291" s="58"/>
      <c r="P291" s="58"/>
      <c r="Q291" s="59"/>
      <c r="R291" s="58"/>
      <c r="S291" s="58"/>
      <c r="T291" s="54" t="s">
        <v>56</v>
      </c>
      <c r="U291" s="54" t="s">
        <v>56</v>
      </c>
    </row>
    <row r="292" spans="1:21" ht="100" x14ac:dyDescent="0.25">
      <c r="A292" s="53">
        <v>291</v>
      </c>
      <c r="B292" s="54" t="s">
        <v>1272</v>
      </c>
      <c r="C292" s="54" t="s">
        <v>1273</v>
      </c>
      <c r="D292" s="54" t="s">
        <v>50</v>
      </c>
      <c r="E292" s="54" t="s">
        <v>257</v>
      </c>
      <c r="F292" s="55" t="s">
        <v>1274</v>
      </c>
      <c r="G292" s="56">
        <v>43307</v>
      </c>
      <c r="H292" s="54" t="s">
        <v>1275</v>
      </c>
      <c r="I292" s="57">
        <v>43438</v>
      </c>
      <c r="J292" s="54" t="s">
        <v>54</v>
      </c>
      <c r="K292" s="54" t="s">
        <v>81</v>
      </c>
      <c r="L292" s="56"/>
      <c r="M292" s="56"/>
      <c r="N292" s="54"/>
      <c r="O292" s="54"/>
      <c r="P292" s="54"/>
      <c r="Q292" s="54"/>
      <c r="R292" s="54"/>
      <c r="S292" s="54"/>
      <c r="T292" s="54" t="s">
        <v>56</v>
      </c>
      <c r="U292" s="54" t="s">
        <v>56</v>
      </c>
    </row>
    <row r="293" spans="1:21" ht="37.5" x14ac:dyDescent="0.25">
      <c r="A293" s="53">
        <v>292</v>
      </c>
      <c r="B293" s="54" t="s">
        <v>1276</v>
      </c>
      <c r="C293" s="64" t="s">
        <v>1277</v>
      </c>
      <c r="D293" s="54" t="s">
        <v>59</v>
      </c>
      <c r="E293" s="54" t="s">
        <v>257</v>
      </c>
      <c r="F293" s="65" t="s">
        <v>1278</v>
      </c>
      <c r="G293" s="66">
        <v>43511</v>
      </c>
      <c r="H293" s="64" t="s">
        <v>1279</v>
      </c>
      <c r="I293" s="67">
        <v>43690</v>
      </c>
      <c r="J293" s="64" t="s">
        <v>986</v>
      </c>
      <c r="K293" s="54" t="s">
        <v>81</v>
      </c>
      <c r="L293" s="56"/>
      <c r="M293" s="56"/>
      <c r="N293" s="54"/>
      <c r="O293" s="54"/>
      <c r="P293" s="54"/>
      <c r="Q293" s="54"/>
      <c r="R293" s="54"/>
      <c r="S293" s="54"/>
      <c r="T293" s="54" t="s">
        <v>56</v>
      </c>
      <c r="U293" s="54" t="s">
        <v>56</v>
      </c>
    </row>
    <row r="294" spans="1:21" ht="150" x14ac:dyDescent="0.25">
      <c r="A294" s="53">
        <v>293</v>
      </c>
      <c r="B294" s="54" t="s">
        <v>1280</v>
      </c>
      <c r="C294" s="54" t="s">
        <v>1281</v>
      </c>
      <c r="D294" s="54" t="s">
        <v>59</v>
      </c>
      <c r="E294" s="54" t="s">
        <v>257</v>
      </c>
      <c r="F294" s="55" t="s">
        <v>1282</v>
      </c>
      <c r="G294" s="56">
        <v>42605.041747685202</v>
      </c>
      <c r="H294" s="54" t="s">
        <v>1283</v>
      </c>
      <c r="I294" s="57">
        <v>42640</v>
      </c>
      <c r="J294" s="54" t="s">
        <v>500</v>
      </c>
      <c r="K294" s="54" t="s">
        <v>55</v>
      </c>
      <c r="L294" s="56"/>
      <c r="M294" s="56"/>
      <c r="N294" s="58"/>
      <c r="O294" s="58"/>
      <c r="P294" s="58"/>
      <c r="Q294" s="59"/>
      <c r="R294" s="58"/>
      <c r="S294" s="58"/>
      <c r="T294" s="54" t="s">
        <v>56</v>
      </c>
      <c r="U294" s="54" t="s">
        <v>56</v>
      </c>
    </row>
    <row r="295" spans="1:21" ht="100" x14ac:dyDescent="0.25">
      <c r="A295" s="53">
        <v>294</v>
      </c>
      <c r="B295" s="54" t="s">
        <v>1284</v>
      </c>
      <c r="C295" s="54" t="s">
        <v>1285</v>
      </c>
      <c r="D295" s="54" t="s">
        <v>50</v>
      </c>
      <c r="E295" s="54" t="s">
        <v>257</v>
      </c>
      <c r="F295" s="55" t="s">
        <v>1286</v>
      </c>
      <c r="G295" s="56">
        <v>43000</v>
      </c>
      <c r="H295" s="54" t="s">
        <v>1287</v>
      </c>
      <c r="I295" s="57">
        <v>43020</v>
      </c>
      <c r="J295" s="54" t="s">
        <v>54</v>
      </c>
      <c r="K295" s="54" t="s">
        <v>55</v>
      </c>
      <c r="L295" s="56"/>
      <c r="M295" s="56"/>
      <c r="N295" s="54"/>
      <c r="O295" s="54"/>
      <c r="P295" s="54"/>
      <c r="Q295" s="54"/>
      <c r="R295" s="54"/>
      <c r="S295" s="54"/>
      <c r="T295" s="54" t="s">
        <v>56</v>
      </c>
      <c r="U295" s="54" t="s">
        <v>56</v>
      </c>
    </row>
    <row r="296" spans="1:21" ht="150" x14ac:dyDescent="0.25">
      <c r="A296" s="53">
        <v>295</v>
      </c>
      <c r="B296" s="54" t="s">
        <v>1288</v>
      </c>
      <c r="C296" s="54" t="s">
        <v>1289</v>
      </c>
      <c r="D296" s="54" t="s">
        <v>59</v>
      </c>
      <c r="E296" s="54" t="s">
        <v>257</v>
      </c>
      <c r="F296" s="55" t="s">
        <v>1290</v>
      </c>
      <c r="G296" s="56">
        <v>43012</v>
      </c>
      <c r="H296" s="54" t="s">
        <v>1291</v>
      </c>
      <c r="I296" s="57">
        <v>43046</v>
      </c>
      <c r="J296" s="54" t="s">
        <v>500</v>
      </c>
      <c r="K296" s="54" t="s">
        <v>81</v>
      </c>
      <c r="L296" s="56"/>
      <c r="M296" s="56"/>
      <c r="N296" s="54"/>
      <c r="O296" s="54"/>
      <c r="P296" s="54"/>
      <c r="Q296" s="54"/>
      <c r="R296" s="54"/>
      <c r="S296" s="54"/>
      <c r="T296" s="54" t="s">
        <v>56</v>
      </c>
      <c r="U296" s="54" t="s">
        <v>56</v>
      </c>
    </row>
    <row r="297" spans="1:21" ht="37.5" x14ac:dyDescent="0.25">
      <c r="A297" s="53">
        <v>296</v>
      </c>
      <c r="B297" s="54" t="s">
        <v>1292</v>
      </c>
      <c r="C297" s="64" t="s">
        <v>1293</v>
      </c>
      <c r="D297" s="54" t="s">
        <v>59</v>
      </c>
      <c r="E297" s="54" t="s">
        <v>257</v>
      </c>
      <c r="F297" s="65" t="s">
        <v>1294</v>
      </c>
      <c r="G297" s="66">
        <v>43511</v>
      </c>
      <c r="H297" s="64" t="s">
        <v>1295</v>
      </c>
      <c r="I297" s="67">
        <v>43690</v>
      </c>
      <c r="J297" s="64" t="s">
        <v>986</v>
      </c>
      <c r="K297" s="54" t="s">
        <v>55</v>
      </c>
      <c r="L297" s="56"/>
      <c r="M297" s="56"/>
      <c r="N297" s="54"/>
      <c r="O297" s="54"/>
      <c r="P297" s="54"/>
      <c r="Q297" s="54"/>
      <c r="R297" s="54"/>
      <c r="S297" s="54"/>
      <c r="T297" s="54" t="s">
        <v>56</v>
      </c>
      <c r="U297" s="54" t="s">
        <v>56</v>
      </c>
    </row>
    <row r="298" spans="1:21" ht="150" x14ac:dyDescent="0.25">
      <c r="A298" s="53">
        <v>297</v>
      </c>
      <c r="B298" s="54" t="s">
        <v>1296</v>
      </c>
      <c r="C298" s="54" t="s">
        <v>1297</v>
      </c>
      <c r="D298" s="54" t="s">
        <v>59</v>
      </c>
      <c r="E298" s="54" t="s">
        <v>257</v>
      </c>
      <c r="F298" s="55" t="s">
        <v>1298</v>
      </c>
      <c r="G298" s="56">
        <v>42600.755509259303</v>
      </c>
      <c r="H298" s="54" t="s">
        <v>1299</v>
      </c>
      <c r="I298" s="57">
        <v>42640</v>
      </c>
      <c r="J298" s="54" t="s">
        <v>500</v>
      </c>
      <c r="K298" s="54" t="s">
        <v>55</v>
      </c>
      <c r="L298" s="56"/>
      <c r="M298" s="56"/>
      <c r="N298" s="58"/>
      <c r="O298" s="58"/>
      <c r="P298" s="58"/>
      <c r="Q298" s="59"/>
      <c r="R298" s="58"/>
      <c r="S298" s="58"/>
      <c r="T298" s="54" t="s">
        <v>56</v>
      </c>
      <c r="U298" s="54" t="s">
        <v>56</v>
      </c>
    </row>
    <row r="299" spans="1:21" ht="150" x14ac:dyDescent="0.25">
      <c r="A299" s="53">
        <v>298</v>
      </c>
      <c r="B299" s="54" t="s">
        <v>1300</v>
      </c>
      <c r="C299" s="54" t="s">
        <v>1301</v>
      </c>
      <c r="D299" s="54" t="s">
        <v>59</v>
      </c>
      <c r="E299" s="54" t="s">
        <v>257</v>
      </c>
      <c r="F299" s="55" t="s">
        <v>1302</v>
      </c>
      <c r="G299" s="56">
        <v>43027</v>
      </c>
      <c r="H299" s="54" t="s">
        <v>1303</v>
      </c>
      <c r="I299" s="57">
        <v>43046</v>
      </c>
      <c r="J299" s="54" t="s">
        <v>500</v>
      </c>
      <c r="K299" s="54" t="s">
        <v>81</v>
      </c>
      <c r="L299" s="56"/>
      <c r="M299" s="56"/>
      <c r="N299" s="54"/>
      <c r="O299" s="54"/>
      <c r="P299" s="54"/>
      <c r="Q299" s="54"/>
      <c r="R299" s="54"/>
      <c r="S299" s="54"/>
      <c r="T299" s="54" t="s">
        <v>56</v>
      </c>
      <c r="U299" s="54" t="s">
        <v>56</v>
      </c>
    </row>
    <row r="300" spans="1:21" ht="150" x14ac:dyDescent="0.25">
      <c r="A300" s="53">
        <v>299</v>
      </c>
      <c r="B300" s="54" t="s">
        <v>1304</v>
      </c>
      <c r="C300" s="54" t="s">
        <v>1305</v>
      </c>
      <c r="D300" s="54" t="s">
        <v>59</v>
      </c>
      <c r="E300" s="54" t="s">
        <v>257</v>
      </c>
      <c r="F300" s="55" t="s">
        <v>1306</v>
      </c>
      <c r="G300" s="56">
        <v>42605.0417592593</v>
      </c>
      <c r="H300" s="54" t="s">
        <v>1307</v>
      </c>
      <c r="I300" s="57">
        <v>42640</v>
      </c>
      <c r="J300" s="54" t="s">
        <v>500</v>
      </c>
      <c r="K300" s="54" t="s">
        <v>55</v>
      </c>
      <c r="L300" s="56"/>
      <c r="M300" s="56"/>
      <c r="N300" s="58"/>
      <c r="O300" s="58"/>
      <c r="P300" s="58"/>
      <c r="Q300" s="59"/>
      <c r="R300" s="58"/>
      <c r="S300" s="58"/>
      <c r="T300" s="54" t="s">
        <v>56</v>
      </c>
      <c r="U300" s="54" t="s">
        <v>56</v>
      </c>
    </row>
    <row r="301" spans="1:21" ht="137.5" x14ac:dyDescent="0.25">
      <c r="A301" s="53">
        <v>300</v>
      </c>
      <c r="B301" s="54" t="s">
        <v>1308</v>
      </c>
      <c r="C301" s="54" t="s">
        <v>1309</v>
      </c>
      <c r="D301" s="54" t="s">
        <v>59</v>
      </c>
      <c r="E301" s="54" t="s">
        <v>257</v>
      </c>
      <c r="F301" s="55" t="s">
        <v>1310</v>
      </c>
      <c r="G301" s="56">
        <v>42685</v>
      </c>
      <c r="H301" s="54" t="s">
        <v>1311</v>
      </c>
      <c r="I301" s="57">
        <v>42733</v>
      </c>
      <c r="J301" s="54" t="s">
        <v>920</v>
      </c>
      <c r="K301" s="54" t="s">
        <v>55</v>
      </c>
      <c r="L301" s="56"/>
      <c r="M301" s="56"/>
      <c r="N301" s="58"/>
      <c r="O301" s="58"/>
      <c r="P301" s="58"/>
      <c r="Q301" s="59"/>
      <c r="R301" s="58"/>
      <c r="S301" s="58"/>
      <c r="T301" s="54" t="s">
        <v>56</v>
      </c>
      <c r="U301" s="54" t="s">
        <v>56</v>
      </c>
    </row>
    <row r="302" spans="1:21" ht="150" x14ac:dyDescent="0.25">
      <c r="A302" s="53">
        <v>301</v>
      </c>
      <c r="B302" s="54" t="s">
        <v>1312</v>
      </c>
      <c r="C302" s="54" t="s">
        <v>1313</v>
      </c>
      <c r="D302" s="54" t="s">
        <v>59</v>
      </c>
      <c r="E302" s="54" t="s">
        <v>257</v>
      </c>
      <c r="F302" s="55" t="s">
        <v>1314</v>
      </c>
      <c r="G302" s="56">
        <v>42600.755474537</v>
      </c>
      <c r="H302" s="54" t="s">
        <v>1315</v>
      </c>
      <c r="I302" s="57">
        <v>42640</v>
      </c>
      <c r="J302" s="54" t="s">
        <v>500</v>
      </c>
      <c r="K302" s="54" t="s">
        <v>55</v>
      </c>
      <c r="L302" s="56"/>
      <c r="M302" s="56"/>
      <c r="N302" s="58"/>
      <c r="O302" s="58"/>
      <c r="P302" s="58"/>
      <c r="Q302" s="59"/>
      <c r="R302" s="58"/>
      <c r="S302" s="58"/>
      <c r="T302" s="54" t="s">
        <v>56</v>
      </c>
      <c r="U302" s="54" t="s">
        <v>56</v>
      </c>
    </row>
    <row r="303" spans="1:21" ht="150" x14ac:dyDescent="0.25">
      <c r="A303" s="53">
        <v>302</v>
      </c>
      <c r="B303" s="54" t="s">
        <v>1316</v>
      </c>
      <c r="C303" s="54" t="s">
        <v>1317</v>
      </c>
      <c r="D303" s="54" t="s">
        <v>59</v>
      </c>
      <c r="E303" s="54" t="s">
        <v>257</v>
      </c>
      <c r="F303" s="55" t="s">
        <v>1318</v>
      </c>
      <c r="G303" s="56">
        <v>42601.338900463001</v>
      </c>
      <c r="H303" s="54" t="s">
        <v>1319</v>
      </c>
      <c r="I303" s="57">
        <v>42640</v>
      </c>
      <c r="J303" s="54" t="s">
        <v>500</v>
      </c>
      <c r="K303" s="54" t="s">
        <v>55</v>
      </c>
      <c r="L303" s="56"/>
      <c r="M303" s="56"/>
      <c r="N303" s="58"/>
      <c r="O303" s="58"/>
      <c r="P303" s="58"/>
      <c r="Q303" s="59"/>
      <c r="R303" s="58"/>
      <c r="S303" s="58"/>
      <c r="T303" s="54" t="s">
        <v>56</v>
      </c>
      <c r="U303" s="54" t="s">
        <v>56</v>
      </c>
    </row>
    <row r="304" spans="1:21" ht="150" x14ac:dyDescent="0.25">
      <c r="A304" s="53">
        <v>303</v>
      </c>
      <c r="B304" s="54" t="s">
        <v>1320</v>
      </c>
      <c r="C304" s="54" t="s">
        <v>1321</v>
      </c>
      <c r="D304" s="54" t="s">
        <v>59</v>
      </c>
      <c r="E304" s="54" t="s">
        <v>257</v>
      </c>
      <c r="F304" s="55" t="s">
        <v>1322</v>
      </c>
      <c r="G304" s="56">
        <v>42601.338935185202</v>
      </c>
      <c r="H304" s="54" t="s">
        <v>1323</v>
      </c>
      <c r="I304" s="57">
        <v>42647</v>
      </c>
      <c r="J304" s="54" t="s">
        <v>500</v>
      </c>
      <c r="K304" s="54" t="s">
        <v>55</v>
      </c>
      <c r="L304" s="56"/>
      <c r="M304" s="56"/>
      <c r="N304" s="58"/>
      <c r="O304" s="58"/>
      <c r="P304" s="58"/>
      <c r="Q304" s="59"/>
      <c r="R304" s="58"/>
      <c r="S304" s="58"/>
      <c r="T304" s="54" t="s">
        <v>56</v>
      </c>
      <c r="U304" s="54" t="s">
        <v>56</v>
      </c>
    </row>
    <row r="305" spans="1:21" ht="87.5" x14ac:dyDescent="0.25">
      <c r="A305" s="53">
        <v>304</v>
      </c>
      <c r="B305" s="54" t="s">
        <v>1324</v>
      </c>
      <c r="C305" s="54" t="s">
        <v>1325</v>
      </c>
      <c r="D305" s="54" t="s">
        <v>1326</v>
      </c>
      <c r="E305" s="54" t="s">
        <v>257</v>
      </c>
      <c r="F305" s="55" t="s">
        <v>1327</v>
      </c>
      <c r="G305" s="56">
        <v>43033</v>
      </c>
      <c r="H305" s="54" t="s">
        <v>1328</v>
      </c>
      <c r="I305" s="57">
        <v>43052</v>
      </c>
      <c r="J305" s="54" t="s">
        <v>1109</v>
      </c>
      <c r="K305" s="54" t="s">
        <v>176</v>
      </c>
      <c r="L305" s="56"/>
      <c r="M305" s="56"/>
      <c r="N305" s="54"/>
      <c r="O305" s="54"/>
      <c r="P305" s="54" t="s">
        <v>1329</v>
      </c>
      <c r="Q305" s="59">
        <v>43403</v>
      </c>
      <c r="R305" s="54" t="s">
        <v>179</v>
      </c>
      <c r="S305" s="68">
        <v>43409</v>
      </c>
      <c r="T305" s="54" t="s">
        <v>56</v>
      </c>
      <c r="U305" s="54" t="s">
        <v>56</v>
      </c>
    </row>
    <row r="306" spans="1:21" ht="37.5" x14ac:dyDescent="0.25">
      <c r="A306" s="53">
        <v>305</v>
      </c>
      <c r="B306" s="54" t="s">
        <v>1330</v>
      </c>
      <c r="C306" s="54" t="s">
        <v>1331</v>
      </c>
      <c r="D306" s="54" t="s">
        <v>59</v>
      </c>
      <c r="E306" s="54" t="s">
        <v>257</v>
      </c>
      <c r="F306" s="55" t="s">
        <v>1332</v>
      </c>
      <c r="G306" s="56">
        <v>43000</v>
      </c>
      <c r="H306" s="54" t="s">
        <v>1333</v>
      </c>
      <c r="I306" s="57">
        <v>43020</v>
      </c>
      <c r="J306" s="54" t="s">
        <v>986</v>
      </c>
      <c r="K306" s="54" t="s">
        <v>81</v>
      </c>
      <c r="L306" s="56"/>
      <c r="M306" s="56"/>
      <c r="N306" s="54"/>
      <c r="O306" s="54"/>
      <c r="P306" s="54"/>
      <c r="Q306" s="54"/>
      <c r="R306" s="54"/>
      <c r="S306" s="54"/>
      <c r="T306" s="54" t="s">
        <v>56</v>
      </c>
      <c r="U306" s="54" t="s">
        <v>56</v>
      </c>
    </row>
    <row r="307" spans="1:21" ht="100" x14ac:dyDescent="0.25">
      <c r="A307" s="53">
        <v>306</v>
      </c>
      <c r="B307" s="54" t="s">
        <v>1334</v>
      </c>
      <c r="C307" s="64" t="s">
        <v>1335</v>
      </c>
      <c r="D307" s="54" t="s">
        <v>50</v>
      </c>
      <c r="E307" s="54" t="s">
        <v>257</v>
      </c>
      <c r="F307" s="65" t="s">
        <v>1336</v>
      </c>
      <c r="G307" s="66">
        <v>43747</v>
      </c>
      <c r="H307" s="64" t="s">
        <v>1337</v>
      </c>
      <c r="I307" s="67">
        <v>43798</v>
      </c>
      <c r="J307" s="54" t="s">
        <v>54</v>
      </c>
      <c r="K307" s="54" t="s">
        <v>55</v>
      </c>
      <c r="L307" s="56"/>
      <c r="M307" s="56"/>
      <c r="N307" s="54"/>
      <c r="O307" s="54"/>
      <c r="P307" s="54"/>
      <c r="Q307" s="54"/>
      <c r="R307" s="54"/>
      <c r="S307" s="54"/>
      <c r="T307" s="54" t="s">
        <v>56</v>
      </c>
      <c r="U307" s="54" t="s">
        <v>56</v>
      </c>
    </row>
    <row r="308" spans="1:21" ht="150" x14ac:dyDescent="0.25">
      <c r="A308" s="53">
        <v>307</v>
      </c>
      <c r="B308" s="54" t="s">
        <v>1338</v>
      </c>
      <c r="C308" s="54" t="s">
        <v>1339</v>
      </c>
      <c r="D308" s="54" t="s">
        <v>59</v>
      </c>
      <c r="E308" s="54" t="s">
        <v>257</v>
      </c>
      <c r="F308" s="55" t="s">
        <v>1340</v>
      </c>
      <c r="G308" s="56">
        <v>42600.755532407398</v>
      </c>
      <c r="H308" s="54" t="s">
        <v>1341</v>
      </c>
      <c r="I308" s="57">
        <v>42640</v>
      </c>
      <c r="J308" s="54" t="s">
        <v>500</v>
      </c>
      <c r="K308" s="54" t="s">
        <v>55</v>
      </c>
      <c r="L308" s="56"/>
      <c r="M308" s="56"/>
      <c r="N308" s="58"/>
      <c r="O308" s="58"/>
      <c r="P308" s="58"/>
      <c r="Q308" s="59"/>
      <c r="R308" s="58"/>
      <c r="S308" s="58"/>
      <c r="T308" s="54" t="s">
        <v>56</v>
      </c>
      <c r="U308" s="54" t="s">
        <v>56</v>
      </c>
    </row>
    <row r="309" spans="1:21" ht="150" x14ac:dyDescent="0.25">
      <c r="A309" s="53">
        <v>308</v>
      </c>
      <c r="B309" s="54" t="s">
        <v>1342</v>
      </c>
      <c r="C309" s="54" t="s">
        <v>1343</v>
      </c>
      <c r="D309" s="54" t="s">
        <v>59</v>
      </c>
      <c r="E309" s="54" t="s">
        <v>257</v>
      </c>
      <c r="F309" s="55" t="s">
        <v>1344</v>
      </c>
      <c r="G309" s="56">
        <v>42600.755509259303</v>
      </c>
      <c r="H309" s="54" t="s">
        <v>1345</v>
      </c>
      <c r="I309" s="57">
        <v>42640</v>
      </c>
      <c r="J309" s="54" t="s">
        <v>500</v>
      </c>
      <c r="K309" s="54" t="s">
        <v>55</v>
      </c>
      <c r="L309" s="56"/>
      <c r="M309" s="56"/>
      <c r="N309" s="58"/>
      <c r="O309" s="58"/>
      <c r="P309" s="58"/>
      <c r="Q309" s="59"/>
      <c r="R309" s="58"/>
      <c r="S309" s="58"/>
      <c r="T309" s="54" t="s">
        <v>56</v>
      </c>
      <c r="U309" s="54" t="s">
        <v>56</v>
      </c>
    </row>
    <row r="310" spans="1:21" ht="150" x14ac:dyDescent="0.25">
      <c r="A310" s="53">
        <v>309</v>
      </c>
      <c r="B310" s="54" t="s">
        <v>1346</v>
      </c>
      <c r="C310" s="54" t="s">
        <v>1347</v>
      </c>
      <c r="D310" s="54" t="s">
        <v>59</v>
      </c>
      <c r="E310" s="54" t="s">
        <v>257</v>
      </c>
      <c r="F310" s="55" t="s">
        <v>1348</v>
      </c>
      <c r="G310" s="56">
        <v>43010.6268865741</v>
      </c>
      <c r="H310" s="59" t="s">
        <v>1349</v>
      </c>
      <c r="I310" s="57">
        <v>43038</v>
      </c>
      <c r="J310" s="54" t="s">
        <v>500</v>
      </c>
      <c r="K310" s="54" t="s">
        <v>81</v>
      </c>
      <c r="L310" s="56"/>
      <c r="M310" s="56"/>
      <c r="N310" s="54"/>
      <c r="O310" s="54"/>
      <c r="P310" s="54"/>
      <c r="Q310" s="54"/>
      <c r="R310" s="54"/>
      <c r="S310" s="54"/>
      <c r="T310" s="54" t="s">
        <v>56</v>
      </c>
      <c r="U310" s="54" t="s">
        <v>56</v>
      </c>
    </row>
    <row r="311" spans="1:21" ht="87.5" x14ac:dyDescent="0.25">
      <c r="A311" s="53">
        <v>310</v>
      </c>
      <c r="B311" s="54" t="s">
        <v>1350</v>
      </c>
      <c r="C311" s="54" t="s">
        <v>1351</v>
      </c>
      <c r="D311" s="54" t="s">
        <v>59</v>
      </c>
      <c r="E311" s="54" t="s">
        <v>257</v>
      </c>
      <c r="F311" s="55" t="s">
        <v>1352</v>
      </c>
      <c r="G311" s="56">
        <v>43013</v>
      </c>
      <c r="H311" s="54" t="s">
        <v>1353</v>
      </c>
      <c r="I311" s="57">
        <v>43046</v>
      </c>
      <c r="J311" s="54" t="s">
        <v>1109</v>
      </c>
      <c r="K311" s="54" t="s">
        <v>81</v>
      </c>
      <c r="L311" s="56"/>
      <c r="M311" s="56"/>
      <c r="N311" s="54"/>
      <c r="O311" s="54"/>
      <c r="P311" s="54"/>
      <c r="Q311" s="54"/>
      <c r="R311" s="54"/>
      <c r="S311" s="54"/>
      <c r="T311" s="54" t="s">
        <v>56</v>
      </c>
      <c r="U311" s="54" t="s">
        <v>56</v>
      </c>
    </row>
    <row r="312" spans="1:21" ht="137.5" x14ac:dyDescent="0.25">
      <c r="A312" s="53">
        <v>311</v>
      </c>
      <c r="B312" s="54" t="s">
        <v>1354</v>
      </c>
      <c r="C312" s="54" t="s">
        <v>1355</v>
      </c>
      <c r="D312" s="54" t="s">
        <v>59</v>
      </c>
      <c r="E312" s="54" t="s">
        <v>257</v>
      </c>
      <c r="F312" s="55" t="s">
        <v>1356</v>
      </c>
      <c r="G312" s="56">
        <v>43035</v>
      </c>
      <c r="H312" s="54" t="s">
        <v>1357</v>
      </c>
      <c r="I312" s="57">
        <v>43048</v>
      </c>
      <c r="J312" s="54" t="s">
        <v>965</v>
      </c>
      <c r="K312" s="54" t="s">
        <v>81</v>
      </c>
      <c r="L312" s="56"/>
      <c r="M312" s="56"/>
      <c r="N312" s="54"/>
      <c r="O312" s="54"/>
      <c r="P312" s="54"/>
      <c r="Q312" s="54"/>
      <c r="R312" s="54"/>
      <c r="S312" s="54"/>
      <c r="T312" s="54" t="s">
        <v>56</v>
      </c>
      <c r="U312" s="54" t="s">
        <v>56</v>
      </c>
    </row>
    <row r="313" spans="1:21" ht="100" x14ac:dyDescent="0.25">
      <c r="A313" s="53">
        <v>312</v>
      </c>
      <c r="B313" s="54" t="s">
        <v>1358</v>
      </c>
      <c r="C313" s="54" t="s">
        <v>1359</v>
      </c>
      <c r="D313" s="54" t="s">
        <v>173</v>
      </c>
      <c r="E313" s="54" t="s">
        <v>257</v>
      </c>
      <c r="F313" s="55" t="s">
        <v>1360</v>
      </c>
      <c r="G313" s="56">
        <v>42685</v>
      </c>
      <c r="H313" s="54" t="s">
        <v>1361</v>
      </c>
      <c r="I313" s="57">
        <v>42716</v>
      </c>
      <c r="J313" s="54" t="s">
        <v>54</v>
      </c>
      <c r="K313" s="54" t="s">
        <v>55</v>
      </c>
      <c r="L313" s="56"/>
      <c r="M313" s="56"/>
      <c r="N313" s="58"/>
      <c r="O313" s="58"/>
      <c r="P313" s="84" t="s">
        <v>1362</v>
      </c>
      <c r="Q313" s="59">
        <v>42990</v>
      </c>
      <c r="R313" s="54" t="s">
        <v>179</v>
      </c>
      <c r="S313" s="85" t="s">
        <v>56</v>
      </c>
      <c r="T313" s="54" t="s">
        <v>104</v>
      </c>
      <c r="U313" s="54" t="s">
        <v>105</v>
      </c>
    </row>
    <row r="314" spans="1:21" ht="150" x14ac:dyDescent="0.25">
      <c r="A314" s="53">
        <v>313</v>
      </c>
      <c r="B314" s="54" t="s">
        <v>1363</v>
      </c>
      <c r="C314" s="54" t="s">
        <v>1364</v>
      </c>
      <c r="D314" s="54" t="s">
        <v>59</v>
      </c>
      <c r="E314" s="54" t="s">
        <v>257</v>
      </c>
      <c r="F314" s="55" t="s">
        <v>1365</v>
      </c>
      <c r="G314" s="56">
        <v>42600.755416666703</v>
      </c>
      <c r="H314" s="54" t="s">
        <v>1366</v>
      </c>
      <c r="I314" s="57">
        <v>42647</v>
      </c>
      <c r="J314" s="54" t="s">
        <v>500</v>
      </c>
      <c r="K314" s="54" t="s">
        <v>55</v>
      </c>
      <c r="L314" s="56"/>
      <c r="M314" s="56"/>
      <c r="N314" s="58"/>
      <c r="O314" s="58"/>
      <c r="P314" s="58"/>
      <c r="Q314" s="59"/>
      <c r="R314" s="58"/>
      <c r="S314" s="58"/>
      <c r="T314" s="54" t="s">
        <v>56</v>
      </c>
      <c r="U314" s="54" t="s">
        <v>56</v>
      </c>
    </row>
    <row r="315" spans="1:21" ht="137.5" x14ac:dyDescent="0.25">
      <c r="A315" s="53">
        <v>314</v>
      </c>
      <c r="B315" s="54" t="s">
        <v>1367</v>
      </c>
      <c r="C315" s="54" t="s">
        <v>1368</v>
      </c>
      <c r="D315" s="54" t="s">
        <v>59</v>
      </c>
      <c r="E315" s="54" t="s">
        <v>257</v>
      </c>
      <c r="F315" s="55" t="s">
        <v>1369</v>
      </c>
      <c r="G315" s="56">
        <v>42601.338923611103</v>
      </c>
      <c r="H315" s="54" t="s">
        <v>1370</v>
      </c>
      <c r="I315" s="57">
        <v>42640</v>
      </c>
      <c r="J315" s="54" t="s">
        <v>965</v>
      </c>
      <c r="K315" s="54" t="s">
        <v>55</v>
      </c>
      <c r="L315" s="56"/>
      <c r="M315" s="56"/>
      <c r="N315" s="58"/>
      <c r="O315" s="58"/>
      <c r="P315" s="58"/>
      <c r="Q315" s="59"/>
      <c r="R315" s="58"/>
      <c r="S315" s="58"/>
      <c r="T315" s="54" t="s">
        <v>56</v>
      </c>
      <c r="U315" s="54" t="s">
        <v>56</v>
      </c>
    </row>
    <row r="316" spans="1:21" ht="137.5" x14ac:dyDescent="0.25">
      <c r="A316" s="53">
        <v>315</v>
      </c>
      <c r="B316" s="54" t="s">
        <v>1371</v>
      </c>
      <c r="C316" s="54" t="s">
        <v>1372</v>
      </c>
      <c r="D316" s="54" t="s">
        <v>59</v>
      </c>
      <c r="E316" s="54" t="s">
        <v>257</v>
      </c>
      <c r="F316" s="55" t="s">
        <v>1373</v>
      </c>
      <c r="G316" s="56">
        <v>42601.338854166701</v>
      </c>
      <c r="H316" s="54" t="s">
        <v>1374</v>
      </c>
      <c r="I316" s="57">
        <v>42646</v>
      </c>
      <c r="J316" s="54" t="s">
        <v>965</v>
      </c>
      <c r="K316" s="54" t="s">
        <v>55</v>
      </c>
      <c r="L316" s="56"/>
      <c r="M316" s="56"/>
      <c r="N316" s="58"/>
      <c r="O316" s="58"/>
      <c r="P316" s="58"/>
      <c r="Q316" s="59"/>
      <c r="R316" s="58"/>
      <c r="S316" s="58"/>
      <c r="T316" s="54" t="s">
        <v>56</v>
      </c>
      <c r="U316" s="54" t="s">
        <v>56</v>
      </c>
    </row>
    <row r="317" spans="1:21" ht="125" x14ac:dyDescent="0.25">
      <c r="A317" s="53">
        <v>316</v>
      </c>
      <c r="B317" s="54" t="s">
        <v>1375</v>
      </c>
      <c r="C317" s="54" t="s">
        <v>1376</v>
      </c>
      <c r="D317" s="54" t="s">
        <v>1326</v>
      </c>
      <c r="E317" s="54" t="s">
        <v>257</v>
      </c>
      <c r="F317" s="55" t="s">
        <v>1377</v>
      </c>
      <c r="G317" s="56">
        <v>43000</v>
      </c>
      <c r="H317" s="54" t="s">
        <v>1378</v>
      </c>
      <c r="I317" s="57">
        <v>43046</v>
      </c>
      <c r="J317" s="54" t="s">
        <v>80</v>
      </c>
      <c r="K317" s="54" t="s">
        <v>176</v>
      </c>
      <c r="L317" s="56"/>
      <c r="M317" s="56"/>
      <c r="N317" s="54"/>
      <c r="O317" s="54"/>
      <c r="P317" s="54" t="s">
        <v>1379</v>
      </c>
      <c r="Q317" s="59">
        <v>43871</v>
      </c>
      <c r="R317" s="54" t="s">
        <v>179</v>
      </c>
      <c r="S317" s="68">
        <v>43879</v>
      </c>
      <c r="T317" s="54" t="s">
        <v>104</v>
      </c>
      <c r="U317" s="54" t="s">
        <v>105</v>
      </c>
    </row>
    <row r="318" spans="1:21" ht="50" x14ac:dyDescent="0.25">
      <c r="A318" s="53">
        <v>317</v>
      </c>
      <c r="B318" s="54" t="s">
        <v>1380</v>
      </c>
      <c r="C318" s="54" t="s">
        <v>1381</v>
      </c>
      <c r="D318" s="54" t="s">
        <v>59</v>
      </c>
      <c r="E318" s="54" t="s">
        <v>257</v>
      </c>
      <c r="F318" s="65" t="s">
        <v>1382</v>
      </c>
      <c r="G318" s="66">
        <v>43307</v>
      </c>
      <c r="H318" s="64" t="s">
        <v>1383</v>
      </c>
      <c r="I318" s="67">
        <v>43718</v>
      </c>
      <c r="J318" s="64" t="s">
        <v>986</v>
      </c>
      <c r="K318" s="54" t="s">
        <v>55</v>
      </c>
      <c r="L318" s="56"/>
      <c r="M318" s="56"/>
      <c r="N318" s="54"/>
      <c r="O318" s="54"/>
      <c r="P318" s="54"/>
      <c r="Q318" s="54"/>
      <c r="R318" s="54"/>
      <c r="S318" s="54"/>
      <c r="T318" s="54" t="s">
        <v>56</v>
      </c>
      <c r="U318" s="54" t="s">
        <v>56</v>
      </c>
    </row>
    <row r="319" spans="1:21" ht="100" x14ac:dyDescent="0.25">
      <c r="A319" s="53">
        <v>318</v>
      </c>
      <c r="B319" s="54" t="s">
        <v>1384</v>
      </c>
      <c r="C319" s="54" t="s">
        <v>1385</v>
      </c>
      <c r="D319" s="54" t="s">
        <v>50</v>
      </c>
      <c r="E319" s="54" t="s">
        <v>257</v>
      </c>
      <c r="F319" s="55" t="s">
        <v>1386</v>
      </c>
      <c r="G319" s="56">
        <v>43000</v>
      </c>
      <c r="H319" s="54" t="s">
        <v>1387</v>
      </c>
      <c r="I319" s="57">
        <v>43020</v>
      </c>
      <c r="J319" s="54" t="s">
        <v>54</v>
      </c>
      <c r="K319" s="54" t="s">
        <v>55</v>
      </c>
      <c r="L319" s="56"/>
      <c r="M319" s="56"/>
      <c r="N319" s="54"/>
      <c r="O319" s="54"/>
      <c r="P319" s="54"/>
      <c r="Q319" s="54"/>
      <c r="R319" s="54"/>
      <c r="S319" s="54"/>
      <c r="T319" s="54" t="s">
        <v>56</v>
      </c>
      <c r="U319" s="54" t="s">
        <v>56</v>
      </c>
    </row>
    <row r="320" spans="1:21" ht="100" x14ac:dyDescent="0.25">
      <c r="A320" s="53">
        <v>319</v>
      </c>
      <c r="B320" s="54" t="s">
        <v>1388</v>
      </c>
      <c r="C320" s="54" t="s">
        <v>1389</v>
      </c>
      <c r="D320" s="54" t="s">
        <v>50</v>
      </c>
      <c r="E320" s="54" t="s">
        <v>257</v>
      </c>
      <c r="F320" s="55" t="s">
        <v>1390</v>
      </c>
      <c r="G320" s="56">
        <v>42685</v>
      </c>
      <c r="H320" s="54" t="s">
        <v>1391</v>
      </c>
      <c r="I320" s="57">
        <v>42733</v>
      </c>
      <c r="J320" s="54" t="s">
        <v>54</v>
      </c>
      <c r="K320" s="54" t="s">
        <v>55</v>
      </c>
      <c r="L320" s="56"/>
      <c r="M320" s="56"/>
      <c r="N320" s="58"/>
      <c r="O320" s="58"/>
      <c r="P320" s="58"/>
      <c r="Q320" s="59"/>
      <c r="R320" s="58"/>
      <c r="S320" s="85"/>
      <c r="T320" s="54" t="s">
        <v>56</v>
      </c>
      <c r="U320" s="54" t="s">
        <v>56</v>
      </c>
    </row>
    <row r="321" spans="1:21" ht="137.5" x14ac:dyDescent="0.25">
      <c r="A321" s="53">
        <v>320</v>
      </c>
      <c r="B321" s="54" t="s">
        <v>1392</v>
      </c>
      <c r="C321" s="54" t="s">
        <v>1393</v>
      </c>
      <c r="D321" s="54" t="s">
        <v>59</v>
      </c>
      <c r="E321" s="54" t="s">
        <v>257</v>
      </c>
      <c r="F321" s="55" t="s">
        <v>1394</v>
      </c>
      <c r="G321" s="56">
        <v>42997</v>
      </c>
      <c r="H321" s="54" t="s">
        <v>1395</v>
      </c>
      <c r="I321" s="57">
        <v>43038</v>
      </c>
      <c r="J321" s="54" t="s">
        <v>965</v>
      </c>
      <c r="K321" s="54" t="s">
        <v>81</v>
      </c>
      <c r="L321" s="56"/>
      <c r="M321" s="56"/>
      <c r="N321" s="54"/>
      <c r="O321" s="54"/>
      <c r="P321" s="54"/>
      <c r="Q321" s="54"/>
      <c r="R321" s="54"/>
      <c r="S321" s="54"/>
      <c r="T321" s="54" t="s">
        <v>56</v>
      </c>
      <c r="U321" s="54" t="s">
        <v>56</v>
      </c>
    </row>
    <row r="322" spans="1:21" ht="37.5" x14ac:dyDescent="0.25">
      <c r="A322" s="53">
        <v>321</v>
      </c>
      <c r="B322" s="54" t="s">
        <v>1396</v>
      </c>
      <c r="C322" s="54" t="s">
        <v>1397</v>
      </c>
      <c r="D322" s="54" t="s">
        <v>59</v>
      </c>
      <c r="E322" s="54" t="s">
        <v>257</v>
      </c>
      <c r="F322" s="55" t="s">
        <v>1398</v>
      </c>
      <c r="G322" s="56">
        <v>43535</v>
      </c>
      <c r="H322" s="54" t="s">
        <v>1399</v>
      </c>
      <c r="I322" s="57">
        <v>43565</v>
      </c>
      <c r="J322" s="54" t="s">
        <v>986</v>
      </c>
      <c r="K322" s="54" t="s">
        <v>81</v>
      </c>
      <c r="L322" s="56"/>
      <c r="M322" s="56"/>
      <c r="N322" s="54"/>
      <c r="O322" s="54"/>
      <c r="P322" s="54"/>
      <c r="Q322" s="54"/>
      <c r="R322" s="54"/>
      <c r="S322" s="54"/>
      <c r="T322" s="54" t="s">
        <v>56</v>
      </c>
      <c r="U322" s="54" t="s">
        <v>56</v>
      </c>
    </row>
    <row r="323" spans="1:21" ht="37.5" x14ac:dyDescent="0.25">
      <c r="A323" s="53">
        <v>322</v>
      </c>
      <c r="B323" s="54" t="s">
        <v>1400</v>
      </c>
      <c r="C323" s="54" t="s">
        <v>1401</v>
      </c>
      <c r="D323" s="54" t="s">
        <v>59</v>
      </c>
      <c r="E323" s="54" t="s">
        <v>257</v>
      </c>
      <c r="F323" s="55" t="s">
        <v>1402</v>
      </c>
      <c r="G323" s="56">
        <v>43307</v>
      </c>
      <c r="H323" s="54" t="s">
        <v>1403</v>
      </c>
      <c r="I323" s="57">
        <v>44076</v>
      </c>
      <c r="J323" s="54" t="s">
        <v>986</v>
      </c>
      <c r="K323" s="54" t="s">
        <v>81</v>
      </c>
      <c r="L323" s="56"/>
      <c r="M323" s="56"/>
      <c r="N323" s="54"/>
      <c r="O323" s="54"/>
      <c r="P323" s="54"/>
      <c r="Q323" s="54"/>
      <c r="R323" s="54"/>
      <c r="S323" s="54"/>
      <c r="T323" s="54" t="s">
        <v>56</v>
      </c>
      <c r="U323" s="54" t="s">
        <v>56</v>
      </c>
    </row>
    <row r="324" spans="1:21" ht="37.5" x14ac:dyDescent="0.25">
      <c r="A324" s="53">
        <v>323</v>
      </c>
      <c r="B324" s="54" t="s">
        <v>1404</v>
      </c>
      <c r="C324" s="54" t="s">
        <v>1405</v>
      </c>
      <c r="D324" s="54" t="s">
        <v>59</v>
      </c>
      <c r="E324" s="54" t="s">
        <v>257</v>
      </c>
      <c r="F324" s="55" t="s">
        <v>1406</v>
      </c>
      <c r="G324" s="56">
        <v>43307</v>
      </c>
      <c r="H324" s="54" t="s">
        <v>1407</v>
      </c>
      <c r="I324" s="57">
        <v>43439</v>
      </c>
      <c r="J324" s="54" t="s">
        <v>986</v>
      </c>
      <c r="K324" s="54" t="s">
        <v>81</v>
      </c>
      <c r="L324" s="56"/>
      <c r="M324" s="56"/>
      <c r="N324" s="54"/>
      <c r="O324" s="54"/>
      <c r="P324" s="54"/>
      <c r="Q324" s="54"/>
      <c r="R324" s="54"/>
      <c r="S324" s="54"/>
      <c r="T324" s="54" t="s">
        <v>104</v>
      </c>
      <c r="U324" s="54" t="s">
        <v>105</v>
      </c>
    </row>
    <row r="325" spans="1:21" ht="100" x14ac:dyDescent="0.25">
      <c r="A325" s="53">
        <v>324</v>
      </c>
      <c r="B325" s="79" t="s">
        <v>1408</v>
      </c>
      <c r="C325" s="54" t="s">
        <v>1409</v>
      </c>
      <c r="D325" s="54" t="s">
        <v>50</v>
      </c>
      <c r="E325" s="54" t="s">
        <v>257</v>
      </c>
      <c r="F325" s="65" t="s">
        <v>1410</v>
      </c>
      <c r="G325" s="66">
        <v>43311</v>
      </c>
      <c r="H325" s="64" t="s">
        <v>1411</v>
      </c>
      <c r="I325" s="67">
        <v>43798</v>
      </c>
      <c r="J325" s="54" t="s">
        <v>54</v>
      </c>
      <c r="K325" s="54" t="s">
        <v>55</v>
      </c>
      <c r="L325" s="56"/>
      <c r="M325" s="56"/>
      <c r="N325" s="54"/>
      <c r="O325" s="54"/>
      <c r="P325" s="54"/>
      <c r="Q325" s="54"/>
      <c r="R325" s="54"/>
      <c r="S325" s="54"/>
      <c r="T325" s="54" t="s">
        <v>87</v>
      </c>
      <c r="U325" s="58" t="s">
        <v>501</v>
      </c>
    </row>
    <row r="326" spans="1:21" ht="100" x14ac:dyDescent="0.25">
      <c r="A326" s="53">
        <v>325</v>
      </c>
      <c r="B326" s="54" t="s">
        <v>1412</v>
      </c>
      <c r="C326" s="54" t="s">
        <v>1413</v>
      </c>
      <c r="D326" s="54" t="s">
        <v>50</v>
      </c>
      <c r="E326" s="54" t="s">
        <v>257</v>
      </c>
      <c r="F326" s="55" t="s">
        <v>1414</v>
      </c>
      <c r="G326" s="56">
        <v>42685</v>
      </c>
      <c r="H326" s="54" t="s">
        <v>1415</v>
      </c>
      <c r="I326" s="57">
        <v>42719</v>
      </c>
      <c r="J326" s="54" t="s">
        <v>54</v>
      </c>
      <c r="K326" s="54" t="s">
        <v>55</v>
      </c>
      <c r="L326" s="56"/>
      <c r="M326" s="56"/>
      <c r="N326" s="58"/>
      <c r="O326" s="58"/>
      <c r="P326" s="58"/>
      <c r="Q326" s="59"/>
      <c r="R326" s="58"/>
      <c r="S326" s="85"/>
      <c r="T326" s="54" t="s">
        <v>56</v>
      </c>
      <c r="U326" s="54" t="s">
        <v>56</v>
      </c>
    </row>
    <row r="327" spans="1:21" ht="100" x14ac:dyDescent="0.25">
      <c r="A327" s="53">
        <v>326</v>
      </c>
      <c r="B327" s="54" t="s">
        <v>1416</v>
      </c>
      <c r="C327" s="54" t="s">
        <v>1417</v>
      </c>
      <c r="D327" s="54" t="s">
        <v>50</v>
      </c>
      <c r="E327" s="54" t="s">
        <v>257</v>
      </c>
      <c r="F327" s="55" t="s">
        <v>1418</v>
      </c>
      <c r="G327" s="56">
        <v>42601.338900463001</v>
      </c>
      <c r="H327" s="54" t="s">
        <v>1419</v>
      </c>
      <c r="I327" s="57">
        <v>42629</v>
      </c>
      <c r="J327" s="54" t="s">
        <v>54</v>
      </c>
      <c r="K327" s="54" t="s">
        <v>55</v>
      </c>
      <c r="L327" s="56"/>
      <c r="M327" s="56"/>
      <c r="N327" s="58"/>
      <c r="O327" s="58"/>
      <c r="P327" s="58"/>
      <c r="Q327" s="59"/>
      <c r="R327" s="58"/>
      <c r="S327" s="58"/>
      <c r="T327" s="54" t="s">
        <v>56</v>
      </c>
      <c r="U327" s="54" t="s">
        <v>56</v>
      </c>
    </row>
    <row r="328" spans="1:21" ht="100" x14ac:dyDescent="0.25">
      <c r="A328" s="53">
        <v>327</v>
      </c>
      <c r="B328" s="54" t="s">
        <v>1420</v>
      </c>
      <c r="C328" s="54" t="s">
        <v>1421</v>
      </c>
      <c r="D328" s="54" t="s">
        <v>50</v>
      </c>
      <c r="E328" s="54" t="s">
        <v>257</v>
      </c>
      <c r="F328" s="55" t="s">
        <v>1422</v>
      </c>
      <c r="G328" s="56">
        <v>43005</v>
      </c>
      <c r="H328" s="54" t="s">
        <v>1423</v>
      </c>
      <c r="I328" s="57">
        <v>43038</v>
      </c>
      <c r="J328" s="54" t="s">
        <v>54</v>
      </c>
      <c r="K328" s="54" t="s">
        <v>81</v>
      </c>
      <c r="L328" s="56"/>
      <c r="M328" s="56"/>
      <c r="N328" s="54"/>
      <c r="O328" s="54"/>
      <c r="P328" s="54"/>
      <c r="Q328" s="54"/>
      <c r="R328" s="54"/>
      <c r="S328" s="54"/>
      <c r="T328" s="54" t="s">
        <v>56</v>
      </c>
      <c r="U328" s="54" t="s">
        <v>56</v>
      </c>
    </row>
    <row r="329" spans="1:21" ht="100" x14ac:dyDescent="0.25">
      <c r="A329" s="53">
        <v>328</v>
      </c>
      <c r="B329" s="54" t="s">
        <v>1424</v>
      </c>
      <c r="C329" s="54" t="s">
        <v>1425</v>
      </c>
      <c r="D329" s="54" t="s">
        <v>50</v>
      </c>
      <c r="E329" s="54" t="s">
        <v>257</v>
      </c>
      <c r="F329" s="55" t="s">
        <v>1426</v>
      </c>
      <c r="G329" s="56">
        <v>42685</v>
      </c>
      <c r="H329" s="54" t="s">
        <v>1427</v>
      </c>
      <c r="I329" s="57">
        <v>42733</v>
      </c>
      <c r="J329" s="54" t="s">
        <v>54</v>
      </c>
      <c r="K329" s="54" t="s">
        <v>55</v>
      </c>
      <c r="L329" s="56"/>
      <c r="M329" s="56"/>
      <c r="N329" s="58"/>
      <c r="O329" s="58"/>
      <c r="P329" s="58"/>
      <c r="Q329" s="59"/>
      <c r="R329" s="58"/>
      <c r="S329" s="85"/>
      <c r="T329" s="54" t="s">
        <v>56</v>
      </c>
      <c r="U329" s="54" t="s">
        <v>56</v>
      </c>
    </row>
    <row r="330" spans="1:21" ht="100" x14ac:dyDescent="0.25">
      <c r="A330" s="53">
        <v>329</v>
      </c>
      <c r="B330" s="54" t="s">
        <v>1428</v>
      </c>
      <c r="C330" s="54" t="s">
        <v>1429</v>
      </c>
      <c r="D330" s="54" t="s">
        <v>50</v>
      </c>
      <c r="E330" s="54" t="s">
        <v>257</v>
      </c>
      <c r="F330" s="55" t="s">
        <v>1430</v>
      </c>
      <c r="G330" s="56">
        <v>42601.338900463001</v>
      </c>
      <c r="H330" s="54" t="s">
        <v>1431</v>
      </c>
      <c r="I330" s="57">
        <v>42647</v>
      </c>
      <c r="J330" s="54" t="s">
        <v>54</v>
      </c>
      <c r="K330" s="54" t="s">
        <v>55</v>
      </c>
      <c r="L330" s="56"/>
      <c r="M330" s="56"/>
      <c r="N330" s="58"/>
      <c r="O330" s="58"/>
      <c r="P330" s="58"/>
      <c r="Q330" s="59"/>
      <c r="R330" s="58"/>
      <c r="S330" s="58"/>
      <c r="T330" s="54" t="s">
        <v>56</v>
      </c>
      <c r="U330" s="54" t="s">
        <v>56</v>
      </c>
    </row>
    <row r="331" spans="1:21" ht="100" x14ac:dyDescent="0.25">
      <c r="A331" s="53">
        <v>330</v>
      </c>
      <c r="B331" s="54" t="s">
        <v>1432</v>
      </c>
      <c r="C331" s="54" t="s">
        <v>1433</v>
      </c>
      <c r="D331" s="54" t="s">
        <v>50</v>
      </c>
      <c r="E331" s="54" t="s">
        <v>257</v>
      </c>
      <c r="F331" s="55" t="s">
        <v>1434</v>
      </c>
      <c r="G331" s="56">
        <v>43000</v>
      </c>
      <c r="H331" s="54" t="s">
        <v>1435</v>
      </c>
      <c r="I331" s="57">
        <v>43020</v>
      </c>
      <c r="J331" s="54" t="s">
        <v>54</v>
      </c>
      <c r="K331" s="54" t="s">
        <v>55</v>
      </c>
      <c r="L331" s="56"/>
      <c r="M331" s="56"/>
      <c r="N331" s="54"/>
      <c r="O331" s="54"/>
      <c r="P331" s="54"/>
      <c r="Q331" s="54"/>
      <c r="R331" s="54"/>
      <c r="S331" s="54"/>
      <c r="T331" s="54" t="s">
        <v>56</v>
      </c>
      <c r="U331" s="54" t="s">
        <v>56</v>
      </c>
    </row>
    <row r="332" spans="1:21" ht="100" x14ac:dyDescent="0.25">
      <c r="A332" s="53">
        <v>331</v>
      </c>
      <c r="B332" s="54" t="s">
        <v>1436</v>
      </c>
      <c r="C332" s="54" t="s">
        <v>1437</v>
      </c>
      <c r="D332" s="54" t="s">
        <v>50</v>
      </c>
      <c r="E332" s="54" t="s">
        <v>257</v>
      </c>
      <c r="F332" s="55" t="s">
        <v>1438</v>
      </c>
      <c r="G332" s="56">
        <v>43005</v>
      </c>
      <c r="H332" s="54" t="s">
        <v>1439</v>
      </c>
      <c r="I332" s="57">
        <v>43038</v>
      </c>
      <c r="J332" s="54" t="s">
        <v>54</v>
      </c>
      <c r="K332" s="54" t="s">
        <v>55</v>
      </c>
      <c r="L332" s="56"/>
      <c r="M332" s="56"/>
      <c r="N332" s="54"/>
      <c r="O332" s="54"/>
      <c r="P332" s="54"/>
      <c r="Q332" s="54"/>
      <c r="R332" s="54"/>
      <c r="S332" s="54"/>
      <c r="T332" s="54" t="s">
        <v>56</v>
      </c>
      <c r="U332" s="54" t="s">
        <v>56</v>
      </c>
    </row>
    <row r="333" spans="1:21" ht="137.5" x14ac:dyDescent="0.25">
      <c r="A333" s="53">
        <v>332</v>
      </c>
      <c r="B333" s="54" t="s">
        <v>1440</v>
      </c>
      <c r="C333" s="54" t="s">
        <v>1441</v>
      </c>
      <c r="D333" s="54" t="s">
        <v>59</v>
      </c>
      <c r="E333" s="54" t="s">
        <v>257</v>
      </c>
      <c r="F333" s="55" t="s">
        <v>1442</v>
      </c>
      <c r="G333" s="56">
        <v>43087</v>
      </c>
      <c r="H333" s="54" t="s">
        <v>1443</v>
      </c>
      <c r="I333" s="57">
        <v>43098</v>
      </c>
      <c r="J333" s="54" t="s">
        <v>965</v>
      </c>
      <c r="K333" s="54" t="s">
        <v>55</v>
      </c>
      <c r="L333" s="56"/>
      <c r="M333" s="56"/>
      <c r="N333" s="54"/>
      <c r="O333" s="54"/>
      <c r="P333" s="54"/>
      <c r="Q333" s="54"/>
      <c r="R333" s="54"/>
      <c r="S333" s="54"/>
      <c r="T333" s="54" t="s">
        <v>87</v>
      </c>
      <c r="U333" s="54" t="s">
        <v>105</v>
      </c>
    </row>
    <row r="334" spans="1:21" ht="100" x14ac:dyDescent="0.25">
      <c r="A334" s="53">
        <v>333</v>
      </c>
      <c r="B334" s="54" t="s">
        <v>1444</v>
      </c>
      <c r="C334" s="54" t="s">
        <v>1445</v>
      </c>
      <c r="D334" s="54" t="s">
        <v>50</v>
      </c>
      <c r="E334" s="54" t="s">
        <v>257</v>
      </c>
      <c r="F334" s="55" t="s">
        <v>1446</v>
      </c>
      <c r="G334" s="56">
        <v>43307</v>
      </c>
      <c r="H334" s="54" t="s">
        <v>1447</v>
      </c>
      <c r="I334" s="57">
        <v>43438</v>
      </c>
      <c r="J334" s="54" t="s">
        <v>54</v>
      </c>
      <c r="K334" s="54" t="s">
        <v>55</v>
      </c>
      <c r="L334" s="56"/>
      <c r="M334" s="56"/>
      <c r="N334" s="54"/>
      <c r="O334" s="54"/>
      <c r="P334" s="54"/>
      <c r="Q334" s="54"/>
      <c r="R334" s="54"/>
      <c r="S334" s="54"/>
      <c r="T334" s="54" t="s">
        <v>56</v>
      </c>
      <c r="U334" s="54" t="s">
        <v>56</v>
      </c>
    </row>
    <row r="335" spans="1:21" ht="100" x14ac:dyDescent="0.25">
      <c r="A335" s="53">
        <v>334</v>
      </c>
      <c r="B335" s="54" t="s">
        <v>1448</v>
      </c>
      <c r="C335" s="54" t="s">
        <v>1449</v>
      </c>
      <c r="D335" s="54" t="s">
        <v>50</v>
      </c>
      <c r="E335" s="54" t="s">
        <v>257</v>
      </c>
      <c r="F335" s="55" t="s">
        <v>1450</v>
      </c>
      <c r="G335" s="56">
        <v>42685</v>
      </c>
      <c r="H335" s="54" t="s">
        <v>1451</v>
      </c>
      <c r="I335" s="57">
        <v>42733</v>
      </c>
      <c r="J335" s="54" t="s">
        <v>54</v>
      </c>
      <c r="K335" s="54" t="s">
        <v>55</v>
      </c>
      <c r="L335" s="56"/>
      <c r="M335" s="56"/>
      <c r="N335" s="58"/>
      <c r="O335" s="58"/>
      <c r="P335" s="58"/>
      <c r="Q335" s="59"/>
      <c r="R335" s="58"/>
      <c r="S335" s="85"/>
      <c r="T335" s="54" t="s">
        <v>56</v>
      </c>
      <c r="U335" s="54" t="s">
        <v>56</v>
      </c>
    </row>
    <row r="336" spans="1:21" ht="150" x14ac:dyDescent="0.25">
      <c r="A336" s="53">
        <v>335</v>
      </c>
      <c r="B336" s="54" t="s">
        <v>1452</v>
      </c>
      <c r="C336" s="54" t="s">
        <v>1453</v>
      </c>
      <c r="D336" s="54" t="s">
        <v>59</v>
      </c>
      <c r="E336" s="54" t="s">
        <v>257</v>
      </c>
      <c r="F336" s="55" t="s">
        <v>1454</v>
      </c>
      <c r="G336" s="56">
        <v>42685</v>
      </c>
      <c r="H336" s="54" t="s">
        <v>1455</v>
      </c>
      <c r="I336" s="57">
        <v>42724</v>
      </c>
      <c r="J336" s="54" t="s">
        <v>500</v>
      </c>
      <c r="K336" s="54" t="s">
        <v>55</v>
      </c>
      <c r="L336" s="56"/>
      <c r="M336" s="56"/>
      <c r="N336" s="58"/>
      <c r="O336" s="58"/>
      <c r="P336" s="58"/>
      <c r="Q336" s="59"/>
      <c r="R336" s="58"/>
      <c r="S336" s="58"/>
      <c r="T336" s="54" t="s">
        <v>56</v>
      </c>
      <c r="U336" s="54" t="s">
        <v>56</v>
      </c>
    </row>
    <row r="337" spans="1:21" ht="137.5" x14ac:dyDescent="0.25">
      <c r="A337" s="53">
        <v>336</v>
      </c>
      <c r="B337" s="54" t="s">
        <v>1456</v>
      </c>
      <c r="C337" s="54" t="s">
        <v>1457</v>
      </c>
      <c r="D337" s="54" t="s">
        <v>59</v>
      </c>
      <c r="E337" s="54" t="s">
        <v>257</v>
      </c>
      <c r="F337" s="55" t="s">
        <v>1458</v>
      </c>
      <c r="G337" s="56">
        <v>42601.338854166701</v>
      </c>
      <c r="H337" s="54" t="s">
        <v>1459</v>
      </c>
      <c r="I337" s="57">
        <v>42640</v>
      </c>
      <c r="J337" s="54" t="s">
        <v>965</v>
      </c>
      <c r="K337" s="54" t="s">
        <v>55</v>
      </c>
      <c r="L337" s="56"/>
      <c r="M337" s="56"/>
      <c r="N337" s="58"/>
      <c r="O337" s="58"/>
      <c r="P337" s="58"/>
      <c r="Q337" s="59"/>
      <c r="R337" s="58"/>
      <c r="S337" s="58"/>
      <c r="T337" s="54" t="s">
        <v>56</v>
      </c>
      <c r="U337" s="54" t="s">
        <v>56</v>
      </c>
    </row>
    <row r="338" spans="1:21" ht="100" x14ac:dyDescent="0.25">
      <c r="A338" s="53">
        <v>337</v>
      </c>
      <c r="B338" s="54" t="s">
        <v>1460</v>
      </c>
      <c r="C338" s="54" t="s">
        <v>1461</v>
      </c>
      <c r="D338" s="54" t="s">
        <v>59</v>
      </c>
      <c r="E338" s="54" t="s">
        <v>257</v>
      </c>
      <c r="F338" s="55" t="s">
        <v>1462</v>
      </c>
      <c r="G338" s="56">
        <v>42601.338842592602</v>
      </c>
      <c r="H338" s="54" t="s">
        <v>1463</v>
      </c>
      <c r="I338" s="57">
        <v>42657</v>
      </c>
      <c r="J338" s="54" t="s">
        <v>999</v>
      </c>
      <c r="K338" s="54" t="s">
        <v>55</v>
      </c>
      <c r="L338" s="56"/>
      <c r="M338" s="56"/>
      <c r="N338" s="58"/>
      <c r="O338" s="58"/>
      <c r="P338" s="58"/>
      <c r="Q338" s="59"/>
      <c r="R338" s="58"/>
      <c r="S338" s="58"/>
      <c r="T338" s="54" t="s">
        <v>56</v>
      </c>
      <c r="U338" s="54" t="s">
        <v>56</v>
      </c>
    </row>
    <row r="339" spans="1:21" ht="125" x14ac:dyDescent="0.25">
      <c r="A339" s="53">
        <v>338</v>
      </c>
      <c r="B339" s="54" t="s">
        <v>1464</v>
      </c>
      <c r="C339" s="54" t="s">
        <v>1465</v>
      </c>
      <c r="D339" s="54" t="s">
        <v>59</v>
      </c>
      <c r="E339" s="54" t="s">
        <v>257</v>
      </c>
      <c r="F339" s="55" t="s">
        <v>1466</v>
      </c>
      <c r="G339" s="56">
        <v>42600.755474537</v>
      </c>
      <c r="H339" s="54" t="s">
        <v>1467</v>
      </c>
      <c r="I339" s="57">
        <v>42635</v>
      </c>
      <c r="J339" s="54" t="s">
        <v>80</v>
      </c>
      <c r="K339" s="54" t="s">
        <v>55</v>
      </c>
      <c r="L339" s="56"/>
      <c r="M339" s="56"/>
      <c r="N339" s="58"/>
      <c r="O339" s="58"/>
      <c r="P339" s="58"/>
      <c r="Q339" s="59"/>
      <c r="R339" s="58"/>
      <c r="S339" s="58"/>
      <c r="T339" s="54" t="s">
        <v>56</v>
      </c>
      <c r="U339" s="54" t="s">
        <v>56</v>
      </c>
    </row>
    <row r="340" spans="1:21" ht="100" x14ac:dyDescent="0.25">
      <c r="A340" s="53">
        <v>339</v>
      </c>
      <c r="B340" s="54" t="s">
        <v>1468</v>
      </c>
      <c r="C340" s="54" t="s">
        <v>1469</v>
      </c>
      <c r="D340" s="54" t="s">
        <v>50</v>
      </c>
      <c r="E340" s="54" t="s">
        <v>257</v>
      </c>
      <c r="F340" s="55" t="s">
        <v>1470</v>
      </c>
      <c r="G340" s="56">
        <v>42685</v>
      </c>
      <c r="H340" s="54" t="s">
        <v>1471</v>
      </c>
      <c r="I340" s="57">
        <v>42720</v>
      </c>
      <c r="J340" s="54" t="s">
        <v>54</v>
      </c>
      <c r="K340" s="54" t="s">
        <v>81</v>
      </c>
      <c r="L340" s="56"/>
      <c r="M340" s="56"/>
      <c r="N340" s="58"/>
      <c r="O340" s="58"/>
      <c r="P340" s="58"/>
      <c r="Q340" s="59"/>
      <c r="R340" s="58"/>
      <c r="S340" s="58"/>
      <c r="T340" s="54" t="s">
        <v>56</v>
      </c>
      <c r="U340" s="54" t="s">
        <v>56</v>
      </c>
    </row>
    <row r="341" spans="1:21" ht="100" x14ac:dyDescent="0.25">
      <c r="A341" s="53">
        <v>340</v>
      </c>
      <c r="B341" s="54" t="s">
        <v>1472</v>
      </c>
      <c r="C341" s="54" t="s">
        <v>1473</v>
      </c>
      <c r="D341" s="54" t="s">
        <v>50</v>
      </c>
      <c r="E341" s="54" t="s">
        <v>257</v>
      </c>
      <c r="F341" s="55" t="s">
        <v>1474</v>
      </c>
      <c r="G341" s="56">
        <v>43000</v>
      </c>
      <c r="H341" s="54" t="s">
        <v>1475</v>
      </c>
      <c r="I341" s="57">
        <v>43020</v>
      </c>
      <c r="J341" s="54" t="s">
        <v>54</v>
      </c>
      <c r="K341" s="54" t="s">
        <v>55</v>
      </c>
      <c r="L341" s="56"/>
      <c r="M341" s="56"/>
      <c r="N341" s="54"/>
      <c r="O341" s="54"/>
      <c r="P341" s="54"/>
      <c r="Q341" s="54"/>
      <c r="R341" s="54"/>
      <c r="S341" s="54"/>
      <c r="T341" s="54" t="s">
        <v>56</v>
      </c>
      <c r="U341" s="54" t="s">
        <v>56</v>
      </c>
    </row>
    <row r="342" spans="1:21" ht="100" x14ac:dyDescent="0.25">
      <c r="A342" s="53">
        <v>341</v>
      </c>
      <c r="B342" s="54" t="s">
        <v>1476</v>
      </c>
      <c r="C342" s="54" t="s">
        <v>1477</v>
      </c>
      <c r="D342" s="54" t="s">
        <v>50</v>
      </c>
      <c r="E342" s="54" t="s">
        <v>257</v>
      </c>
      <c r="F342" s="55" t="s">
        <v>1478</v>
      </c>
      <c r="G342" s="56">
        <v>43014</v>
      </c>
      <c r="H342" s="54" t="s">
        <v>1479</v>
      </c>
      <c r="I342" s="57">
        <v>43038</v>
      </c>
      <c r="J342" s="54" t="s">
        <v>54</v>
      </c>
      <c r="K342" s="54" t="s">
        <v>55</v>
      </c>
      <c r="L342" s="56"/>
      <c r="M342" s="56"/>
      <c r="N342" s="54"/>
      <c r="O342" s="54"/>
      <c r="P342" s="54"/>
      <c r="Q342" s="54"/>
      <c r="R342" s="54"/>
      <c r="S342" s="54"/>
      <c r="T342" s="54" t="s">
        <v>56</v>
      </c>
      <c r="U342" s="54" t="s">
        <v>56</v>
      </c>
    </row>
    <row r="343" spans="1:21" ht="100" x14ac:dyDescent="0.25">
      <c r="A343" s="53">
        <v>342</v>
      </c>
      <c r="B343" s="54" t="s">
        <v>1480</v>
      </c>
      <c r="C343" s="54" t="s">
        <v>1481</v>
      </c>
      <c r="D343" s="54" t="s">
        <v>50</v>
      </c>
      <c r="E343" s="54" t="s">
        <v>257</v>
      </c>
      <c r="F343" s="55" t="s">
        <v>1482</v>
      </c>
      <c r="G343" s="56">
        <v>42685</v>
      </c>
      <c r="H343" s="54" t="s">
        <v>1483</v>
      </c>
      <c r="I343" s="57">
        <v>42720</v>
      </c>
      <c r="J343" s="54" t="s">
        <v>54</v>
      </c>
      <c r="K343" s="54" t="s">
        <v>176</v>
      </c>
      <c r="L343" s="56"/>
      <c r="M343" s="56">
        <v>41274</v>
      </c>
      <c r="N343" s="54" t="s">
        <v>1484</v>
      </c>
      <c r="O343" s="59">
        <v>44221</v>
      </c>
      <c r="P343" s="58"/>
      <c r="Q343" s="59"/>
      <c r="R343" s="58"/>
      <c r="S343" s="58"/>
      <c r="T343" s="54" t="s">
        <v>87</v>
      </c>
      <c r="U343" s="58" t="s">
        <v>88</v>
      </c>
    </row>
    <row r="344" spans="1:21" ht="137.5" x14ac:dyDescent="0.25">
      <c r="A344" s="53">
        <v>343</v>
      </c>
      <c r="B344" s="54" t="s">
        <v>1485</v>
      </c>
      <c r="C344" s="54" t="s">
        <v>1486</v>
      </c>
      <c r="D344" s="54" t="s">
        <v>59</v>
      </c>
      <c r="E344" s="54" t="s">
        <v>257</v>
      </c>
      <c r="F344" s="55" t="s">
        <v>1487</v>
      </c>
      <c r="G344" s="56">
        <v>43027</v>
      </c>
      <c r="H344" s="54" t="s">
        <v>1488</v>
      </c>
      <c r="I344" s="57">
        <v>43046</v>
      </c>
      <c r="J344" s="54" t="s">
        <v>965</v>
      </c>
      <c r="K344" s="54" t="s">
        <v>81</v>
      </c>
      <c r="L344" s="56"/>
      <c r="M344" s="56"/>
      <c r="N344" s="54"/>
      <c r="O344" s="54"/>
      <c r="P344" s="54"/>
      <c r="Q344" s="54"/>
      <c r="R344" s="54"/>
      <c r="S344" s="54"/>
      <c r="T344" s="54" t="s">
        <v>56</v>
      </c>
      <c r="U344" s="54" t="s">
        <v>56</v>
      </c>
    </row>
    <row r="345" spans="1:21" ht="100" x14ac:dyDescent="0.25">
      <c r="A345" s="53">
        <v>344</v>
      </c>
      <c r="B345" s="54" t="s">
        <v>1489</v>
      </c>
      <c r="C345" s="54" t="s">
        <v>1490</v>
      </c>
      <c r="D345" s="54" t="s">
        <v>59</v>
      </c>
      <c r="E345" s="54" t="s">
        <v>257</v>
      </c>
      <c r="F345" s="55" t="s">
        <v>1491</v>
      </c>
      <c r="G345" s="56">
        <v>42601.338819444398</v>
      </c>
      <c r="H345" s="54" t="s">
        <v>1492</v>
      </c>
      <c r="I345" s="57">
        <v>42642</v>
      </c>
      <c r="J345" s="54" t="s">
        <v>999</v>
      </c>
      <c r="K345" s="54" t="s">
        <v>55</v>
      </c>
      <c r="L345" s="56"/>
      <c r="M345" s="56"/>
      <c r="N345" s="58"/>
      <c r="O345" s="58"/>
      <c r="P345" s="58"/>
      <c r="Q345" s="59"/>
      <c r="R345" s="58"/>
      <c r="S345" s="58"/>
      <c r="T345" s="54" t="s">
        <v>56</v>
      </c>
      <c r="U345" s="54" t="s">
        <v>56</v>
      </c>
    </row>
    <row r="346" spans="1:21" ht="125" x14ac:dyDescent="0.25">
      <c r="A346" s="53">
        <v>345</v>
      </c>
      <c r="B346" s="54" t="s">
        <v>1493</v>
      </c>
      <c r="C346" s="54" t="s">
        <v>1494</v>
      </c>
      <c r="D346" s="54" t="s">
        <v>59</v>
      </c>
      <c r="E346" s="54" t="s">
        <v>257</v>
      </c>
      <c r="F346" s="55" t="s">
        <v>1495</v>
      </c>
      <c r="G346" s="56">
        <v>42601.338935185202</v>
      </c>
      <c r="H346" s="54" t="s">
        <v>1496</v>
      </c>
      <c r="I346" s="57">
        <v>42629</v>
      </c>
      <c r="J346" s="54" t="s">
        <v>80</v>
      </c>
      <c r="K346" s="54" t="s">
        <v>55</v>
      </c>
      <c r="L346" s="56"/>
      <c r="M346" s="56"/>
      <c r="N346" s="58"/>
      <c r="O346" s="58"/>
      <c r="P346" s="58"/>
      <c r="Q346" s="59"/>
      <c r="R346" s="58"/>
      <c r="S346" s="58"/>
      <c r="T346" s="54" t="s">
        <v>56</v>
      </c>
      <c r="U346" s="54" t="s">
        <v>56</v>
      </c>
    </row>
    <row r="347" spans="1:21" ht="37.5" x14ac:dyDescent="0.25">
      <c r="A347" s="53">
        <v>346</v>
      </c>
      <c r="B347" s="54" t="s">
        <v>1497</v>
      </c>
      <c r="C347" s="54" t="s">
        <v>1498</v>
      </c>
      <c r="D347" s="54" t="s">
        <v>59</v>
      </c>
      <c r="E347" s="54" t="s">
        <v>257</v>
      </c>
      <c r="F347" s="55" t="s">
        <v>1499</v>
      </c>
      <c r="G347" s="56">
        <v>43201</v>
      </c>
      <c r="H347" s="54" t="s">
        <v>1500</v>
      </c>
      <c r="I347" s="57">
        <v>43227</v>
      </c>
      <c r="J347" s="54" t="s">
        <v>986</v>
      </c>
      <c r="K347" s="54" t="s">
        <v>81</v>
      </c>
      <c r="L347" s="56"/>
      <c r="M347" s="56"/>
      <c r="N347" s="54"/>
      <c r="O347" s="54"/>
      <c r="P347" s="54"/>
      <c r="Q347" s="54"/>
      <c r="R347" s="54"/>
      <c r="S347" s="54"/>
      <c r="T347" s="54" t="s">
        <v>56</v>
      </c>
      <c r="U347" s="54" t="s">
        <v>56</v>
      </c>
    </row>
    <row r="348" spans="1:21" ht="125" x14ac:dyDescent="0.25">
      <c r="A348" s="53">
        <v>347</v>
      </c>
      <c r="B348" s="54" t="s">
        <v>1501</v>
      </c>
      <c r="C348" s="54" t="s">
        <v>1502</v>
      </c>
      <c r="D348" s="54" t="s">
        <v>59</v>
      </c>
      <c r="E348" s="54" t="s">
        <v>257</v>
      </c>
      <c r="F348" s="55" t="s">
        <v>1503</v>
      </c>
      <c r="G348" s="56">
        <v>42601.338831018496</v>
      </c>
      <c r="H348" s="54" t="s">
        <v>1504</v>
      </c>
      <c r="I348" s="57">
        <v>42628</v>
      </c>
      <c r="J348" s="54" t="s">
        <v>80</v>
      </c>
      <c r="K348" s="54" t="s">
        <v>55</v>
      </c>
      <c r="L348" s="56"/>
      <c r="M348" s="56"/>
      <c r="N348" s="58"/>
      <c r="O348" s="58"/>
      <c r="P348" s="58"/>
      <c r="Q348" s="59"/>
      <c r="R348" s="58"/>
      <c r="S348" s="58"/>
      <c r="T348" s="54" t="s">
        <v>56</v>
      </c>
      <c r="U348" s="54" t="s">
        <v>56</v>
      </c>
    </row>
    <row r="349" spans="1:21" ht="125" x14ac:dyDescent="0.25">
      <c r="A349" s="53">
        <v>348</v>
      </c>
      <c r="B349" s="54" t="s">
        <v>1505</v>
      </c>
      <c r="C349" s="54" t="s">
        <v>1506</v>
      </c>
      <c r="D349" s="54" t="s">
        <v>59</v>
      </c>
      <c r="E349" s="54" t="s">
        <v>257</v>
      </c>
      <c r="F349" s="55" t="s">
        <v>1507</v>
      </c>
      <c r="G349" s="56">
        <v>42600.755486111098</v>
      </c>
      <c r="H349" s="54" t="s">
        <v>1508</v>
      </c>
      <c r="I349" s="57">
        <v>42640</v>
      </c>
      <c r="J349" s="54" t="s">
        <v>80</v>
      </c>
      <c r="K349" s="54" t="s">
        <v>55</v>
      </c>
      <c r="L349" s="56"/>
      <c r="M349" s="56"/>
      <c r="N349" s="58"/>
      <c r="O349" s="58"/>
      <c r="P349" s="58"/>
      <c r="Q349" s="59"/>
      <c r="R349" s="58"/>
      <c r="S349" s="58"/>
      <c r="T349" s="54" t="s">
        <v>56</v>
      </c>
      <c r="U349" s="54" t="s">
        <v>56</v>
      </c>
    </row>
    <row r="350" spans="1:21" ht="100" x14ac:dyDescent="0.25">
      <c r="A350" s="53">
        <v>349</v>
      </c>
      <c r="B350" s="54" t="s">
        <v>1509</v>
      </c>
      <c r="C350" s="54" t="s">
        <v>1510</v>
      </c>
      <c r="D350" s="54" t="s">
        <v>50</v>
      </c>
      <c r="E350" s="54" t="s">
        <v>257</v>
      </c>
      <c r="F350" s="55" t="s">
        <v>1511</v>
      </c>
      <c r="G350" s="56">
        <v>43000</v>
      </c>
      <c r="H350" s="54" t="s">
        <v>1512</v>
      </c>
      <c r="I350" s="57">
        <v>43020</v>
      </c>
      <c r="J350" s="54" t="s">
        <v>54</v>
      </c>
      <c r="K350" s="54" t="s">
        <v>55</v>
      </c>
      <c r="L350" s="56"/>
      <c r="M350" s="56"/>
      <c r="N350" s="54"/>
      <c r="O350" s="54"/>
      <c r="P350" s="54"/>
      <c r="Q350" s="54"/>
      <c r="R350" s="54"/>
      <c r="S350" s="54"/>
      <c r="T350" s="54" t="s">
        <v>56</v>
      </c>
      <c r="U350" s="54" t="s">
        <v>56</v>
      </c>
    </row>
    <row r="351" spans="1:21" ht="125" x14ac:dyDescent="0.25">
      <c r="A351" s="53">
        <v>350</v>
      </c>
      <c r="B351" s="54" t="s">
        <v>1513</v>
      </c>
      <c r="C351" s="54" t="s">
        <v>1514</v>
      </c>
      <c r="D351" s="54" t="s">
        <v>59</v>
      </c>
      <c r="E351" s="54" t="s">
        <v>257</v>
      </c>
      <c r="F351" s="55" t="s">
        <v>1515</v>
      </c>
      <c r="G351" s="56">
        <v>42601.338819444398</v>
      </c>
      <c r="H351" s="54" t="s">
        <v>1516</v>
      </c>
      <c r="I351" s="57">
        <v>42640</v>
      </c>
      <c r="J351" s="54" t="s">
        <v>80</v>
      </c>
      <c r="K351" s="54" t="s">
        <v>55</v>
      </c>
      <c r="L351" s="56"/>
      <c r="M351" s="56"/>
      <c r="N351" s="58"/>
      <c r="O351" s="58"/>
      <c r="P351" s="58"/>
      <c r="Q351" s="59"/>
      <c r="R351" s="58"/>
      <c r="S351" s="58"/>
      <c r="T351" s="54" t="s">
        <v>56</v>
      </c>
      <c r="U351" s="54" t="s">
        <v>56</v>
      </c>
    </row>
    <row r="352" spans="1:21" ht="100" x14ac:dyDescent="0.25">
      <c r="A352" s="53">
        <v>351</v>
      </c>
      <c r="B352" s="54" t="s">
        <v>1517</v>
      </c>
      <c r="C352" s="54" t="s">
        <v>1518</v>
      </c>
      <c r="D352" s="54" t="s">
        <v>50</v>
      </c>
      <c r="E352" s="54" t="s">
        <v>257</v>
      </c>
      <c r="F352" s="65" t="s">
        <v>1519</v>
      </c>
      <c r="G352" s="66">
        <v>43307</v>
      </c>
      <c r="H352" s="64" t="s">
        <v>1520</v>
      </c>
      <c r="I352" s="67">
        <v>43775</v>
      </c>
      <c r="J352" s="54" t="s">
        <v>54</v>
      </c>
      <c r="K352" s="54" t="s">
        <v>55</v>
      </c>
      <c r="L352" s="56"/>
      <c r="M352" s="56"/>
      <c r="N352" s="54"/>
      <c r="O352" s="54"/>
      <c r="P352" s="54"/>
      <c r="Q352" s="54"/>
      <c r="R352" s="54"/>
      <c r="S352" s="54"/>
      <c r="T352" s="54" t="s">
        <v>56</v>
      </c>
      <c r="U352" s="54" t="s">
        <v>56</v>
      </c>
    </row>
    <row r="353" spans="1:21" ht="125" x14ac:dyDescent="0.25">
      <c r="A353" s="53">
        <v>352</v>
      </c>
      <c r="B353" s="54" t="s">
        <v>1521</v>
      </c>
      <c r="C353" s="54" t="s">
        <v>1522</v>
      </c>
      <c r="D353" s="54" t="s">
        <v>59</v>
      </c>
      <c r="E353" s="54" t="s">
        <v>257</v>
      </c>
      <c r="F353" s="55" t="s">
        <v>1523</v>
      </c>
      <c r="G353" s="56">
        <v>42600.7554282407</v>
      </c>
      <c r="H353" s="54" t="s">
        <v>1524</v>
      </c>
      <c r="I353" s="57">
        <v>42640</v>
      </c>
      <c r="J353" s="54" t="s">
        <v>80</v>
      </c>
      <c r="K353" s="54" t="s">
        <v>55</v>
      </c>
      <c r="L353" s="56"/>
      <c r="M353" s="56"/>
      <c r="N353" s="58"/>
      <c r="O353" s="58"/>
      <c r="P353" s="58"/>
      <c r="Q353" s="59"/>
      <c r="R353" s="58"/>
      <c r="S353" s="58"/>
      <c r="T353" s="54" t="s">
        <v>56</v>
      </c>
      <c r="U353" s="54" t="s">
        <v>56</v>
      </c>
    </row>
    <row r="354" spans="1:21" ht="100" x14ac:dyDescent="0.25">
      <c r="A354" s="53">
        <v>353</v>
      </c>
      <c r="B354" s="54" t="s">
        <v>1525</v>
      </c>
      <c r="C354" s="54" t="s">
        <v>1526</v>
      </c>
      <c r="D354" s="54" t="s">
        <v>59</v>
      </c>
      <c r="E354" s="54" t="s">
        <v>257</v>
      </c>
      <c r="F354" s="55" t="s">
        <v>1527</v>
      </c>
      <c r="G354" s="56">
        <v>42600.755497685197</v>
      </c>
      <c r="H354" s="54" t="s">
        <v>1528</v>
      </c>
      <c r="I354" s="57">
        <v>42657</v>
      </c>
      <c r="J354" s="54" t="s">
        <v>999</v>
      </c>
      <c r="K354" s="54" t="s">
        <v>55</v>
      </c>
      <c r="L354" s="56"/>
      <c r="M354" s="56"/>
      <c r="N354" s="58"/>
      <c r="O354" s="58"/>
      <c r="P354" s="58"/>
      <c r="Q354" s="59"/>
      <c r="R354" s="58"/>
      <c r="S354" s="58"/>
      <c r="T354" s="54" t="s">
        <v>56</v>
      </c>
      <c r="U354" s="54" t="s">
        <v>56</v>
      </c>
    </row>
    <row r="355" spans="1:21" ht="137.5" x14ac:dyDescent="0.25">
      <c r="A355" s="53">
        <v>354</v>
      </c>
      <c r="B355" s="54" t="s">
        <v>1529</v>
      </c>
      <c r="C355" s="54" t="s">
        <v>1530</v>
      </c>
      <c r="D355" s="54" t="s">
        <v>59</v>
      </c>
      <c r="E355" s="54" t="s">
        <v>257</v>
      </c>
      <c r="F355" s="55" t="s">
        <v>1531</v>
      </c>
      <c r="G355" s="56">
        <v>42997</v>
      </c>
      <c r="H355" s="54" t="s">
        <v>1532</v>
      </c>
      <c r="I355" s="57">
        <v>43038</v>
      </c>
      <c r="J355" s="54" t="s">
        <v>965</v>
      </c>
      <c r="K355" s="54" t="s">
        <v>81</v>
      </c>
      <c r="L355" s="56"/>
      <c r="M355" s="56"/>
      <c r="N355" s="54"/>
      <c r="O355" s="54"/>
      <c r="P355" s="54"/>
      <c r="Q355" s="54"/>
      <c r="R355" s="54"/>
      <c r="S355" s="54"/>
      <c r="T355" s="54" t="s">
        <v>56</v>
      </c>
      <c r="U355" s="54" t="s">
        <v>56</v>
      </c>
    </row>
    <row r="356" spans="1:21" ht="125" x14ac:dyDescent="0.25">
      <c r="A356" s="53">
        <v>355</v>
      </c>
      <c r="B356" s="54" t="s">
        <v>1533</v>
      </c>
      <c r="C356" s="54" t="s">
        <v>1534</v>
      </c>
      <c r="D356" s="54" t="s">
        <v>59</v>
      </c>
      <c r="E356" s="54" t="s">
        <v>257</v>
      </c>
      <c r="F356" s="55" t="s">
        <v>1535</v>
      </c>
      <c r="G356" s="56">
        <v>42601.338935185202</v>
      </c>
      <c r="H356" s="54" t="s">
        <v>1536</v>
      </c>
      <c r="I356" s="57">
        <v>42640</v>
      </c>
      <c r="J356" s="54" t="s">
        <v>80</v>
      </c>
      <c r="K356" s="54" t="s">
        <v>55</v>
      </c>
      <c r="L356" s="56"/>
      <c r="M356" s="56"/>
      <c r="N356" s="58"/>
      <c r="O356" s="58"/>
      <c r="P356" s="58"/>
      <c r="Q356" s="59"/>
      <c r="R356" s="58"/>
      <c r="S356" s="58"/>
      <c r="T356" s="54" t="s">
        <v>56</v>
      </c>
      <c r="U356" s="54" t="s">
        <v>56</v>
      </c>
    </row>
    <row r="357" spans="1:21" ht="112.5" x14ac:dyDescent="0.25">
      <c r="A357" s="53">
        <v>356</v>
      </c>
      <c r="B357" s="54" t="s">
        <v>1537</v>
      </c>
      <c r="C357" s="54" t="s">
        <v>1538</v>
      </c>
      <c r="D357" s="54" t="s">
        <v>59</v>
      </c>
      <c r="E357" s="54" t="s">
        <v>257</v>
      </c>
      <c r="F357" s="55" t="s">
        <v>1539</v>
      </c>
      <c r="G357" s="56">
        <v>43000</v>
      </c>
      <c r="H357" s="54" t="s">
        <v>1540</v>
      </c>
      <c r="I357" s="57">
        <v>43020</v>
      </c>
      <c r="J357" s="54" t="s">
        <v>986</v>
      </c>
      <c r="K357" s="54" t="s">
        <v>81</v>
      </c>
      <c r="L357" s="56"/>
      <c r="M357" s="56"/>
      <c r="N357" s="54"/>
      <c r="O357" s="54"/>
      <c r="P357" s="54"/>
      <c r="Q357" s="54"/>
      <c r="R357" s="54"/>
      <c r="S357" s="54"/>
      <c r="T357" s="54" t="s">
        <v>56</v>
      </c>
      <c r="U357" s="54" t="s">
        <v>56</v>
      </c>
    </row>
    <row r="358" spans="1:21" ht="125" x14ac:dyDescent="0.25">
      <c r="A358" s="53">
        <v>357</v>
      </c>
      <c r="B358" s="54" t="s">
        <v>1541</v>
      </c>
      <c r="C358" s="54" t="s">
        <v>1542</v>
      </c>
      <c r="D358" s="54" t="s">
        <v>59</v>
      </c>
      <c r="E358" s="54" t="s">
        <v>257</v>
      </c>
      <c r="F358" s="55" t="s">
        <v>1543</v>
      </c>
      <c r="G358" s="56">
        <v>42601.338877314804</v>
      </c>
      <c r="H358" s="54" t="s">
        <v>1544</v>
      </c>
      <c r="I358" s="57">
        <v>42640</v>
      </c>
      <c r="J358" s="54" t="s">
        <v>80</v>
      </c>
      <c r="K358" s="54" t="s">
        <v>55</v>
      </c>
      <c r="L358" s="56"/>
      <c r="M358" s="56"/>
      <c r="N358" s="58"/>
      <c r="O358" s="58"/>
      <c r="P358" s="58"/>
      <c r="Q358" s="59"/>
      <c r="R358" s="58"/>
      <c r="S358" s="58"/>
      <c r="T358" s="54" t="s">
        <v>56</v>
      </c>
      <c r="U358" s="54" t="s">
        <v>56</v>
      </c>
    </row>
    <row r="359" spans="1:21" ht="75" x14ac:dyDescent="0.25">
      <c r="A359" s="53">
        <v>358</v>
      </c>
      <c r="B359" s="54" t="s">
        <v>1545</v>
      </c>
      <c r="C359" s="64" t="s">
        <v>1546</v>
      </c>
      <c r="D359" s="54" t="s">
        <v>59</v>
      </c>
      <c r="E359" s="54" t="s">
        <v>257</v>
      </c>
      <c r="F359" s="65" t="s">
        <v>1547</v>
      </c>
      <c r="G359" s="66">
        <v>43626</v>
      </c>
      <c r="H359" s="64" t="s">
        <v>1548</v>
      </c>
      <c r="I359" s="67">
        <v>43697</v>
      </c>
      <c r="J359" s="54" t="s">
        <v>986</v>
      </c>
      <c r="K359" s="54" t="s">
        <v>55</v>
      </c>
      <c r="L359" s="56"/>
      <c r="M359" s="56"/>
      <c r="N359" s="54"/>
      <c r="O359" s="54"/>
      <c r="P359" s="54"/>
      <c r="Q359" s="54"/>
      <c r="R359" s="54"/>
      <c r="S359" s="54"/>
      <c r="T359" s="54" t="s">
        <v>56</v>
      </c>
      <c r="U359" s="54" t="s">
        <v>56</v>
      </c>
    </row>
    <row r="360" spans="1:21" ht="137.5" x14ac:dyDescent="0.25">
      <c r="A360" s="53">
        <v>359</v>
      </c>
      <c r="B360" s="54" t="s">
        <v>1549</v>
      </c>
      <c r="C360" s="54" t="s">
        <v>1550</v>
      </c>
      <c r="D360" s="54" t="s">
        <v>59</v>
      </c>
      <c r="E360" s="54" t="s">
        <v>257</v>
      </c>
      <c r="F360" s="55" t="s">
        <v>1551</v>
      </c>
      <c r="G360" s="56">
        <v>43087</v>
      </c>
      <c r="H360" s="54" t="s">
        <v>1552</v>
      </c>
      <c r="I360" s="57">
        <v>43096</v>
      </c>
      <c r="J360" s="54" t="s">
        <v>965</v>
      </c>
      <c r="K360" s="54" t="s">
        <v>81</v>
      </c>
      <c r="L360" s="56"/>
      <c r="M360" s="56"/>
      <c r="N360" s="54"/>
      <c r="O360" s="54"/>
      <c r="P360" s="54"/>
      <c r="Q360" s="54"/>
      <c r="R360" s="54"/>
      <c r="S360" s="54"/>
      <c r="T360" s="54" t="s">
        <v>56</v>
      </c>
      <c r="U360" s="54" t="s">
        <v>56</v>
      </c>
    </row>
    <row r="361" spans="1:21" ht="125" x14ac:dyDescent="0.25">
      <c r="A361" s="53">
        <v>360</v>
      </c>
      <c r="B361" s="54" t="s">
        <v>1553</v>
      </c>
      <c r="C361" s="54" t="s">
        <v>1554</v>
      </c>
      <c r="D361" s="54" t="s">
        <v>59</v>
      </c>
      <c r="E361" s="54" t="s">
        <v>257</v>
      </c>
      <c r="F361" s="55" t="s">
        <v>1555</v>
      </c>
      <c r="G361" s="56">
        <v>42600.755486111098</v>
      </c>
      <c r="H361" s="54" t="s">
        <v>1556</v>
      </c>
      <c r="I361" s="57">
        <v>42640</v>
      </c>
      <c r="J361" s="54" t="s">
        <v>80</v>
      </c>
      <c r="K361" s="54" t="s">
        <v>55</v>
      </c>
      <c r="L361" s="56"/>
      <c r="M361" s="56"/>
      <c r="N361" s="58"/>
      <c r="O361" s="58"/>
      <c r="P361" s="58"/>
      <c r="Q361" s="59"/>
      <c r="R361" s="58"/>
      <c r="S361" s="58"/>
      <c r="T361" s="54" t="s">
        <v>56</v>
      </c>
      <c r="U361" s="54" t="s">
        <v>56</v>
      </c>
    </row>
    <row r="362" spans="1:21" ht="125" x14ac:dyDescent="0.25">
      <c r="A362" s="53">
        <v>361</v>
      </c>
      <c r="B362" s="54" t="s">
        <v>1557</v>
      </c>
      <c r="C362" s="54" t="s">
        <v>1558</v>
      </c>
      <c r="D362" s="54" t="s">
        <v>59</v>
      </c>
      <c r="E362" s="54" t="s">
        <v>257</v>
      </c>
      <c r="F362" s="55" t="s">
        <v>1559</v>
      </c>
      <c r="G362" s="56">
        <v>42600.755439814799</v>
      </c>
      <c r="H362" s="54" t="s">
        <v>1560</v>
      </c>
      <c r="I362" s="57">
        <v>42640</v>
      </c>
      <c r="J362" s="54" t="s">
        <v>80</v>
      </c>
      <c r="K362" s="54" t="s">
        <v>55</v>
      </c>
      <c r="L362" s="56"/>
      <c r="M362" s="56"/>
      <c r="N362" s="58"/>
      <c r="O362" s="58"/>
      <c r="P362" s="58"/>
      <c r="Q362" s="59"/>
      <c r="R362" s="58"/>
      <c r="S362" s="58"/>
      <c r="T362" s="54" t="s">
        <v>56</v>
      </c>
      <c r="U362" s="54" t="s">
        <v>56</v>
      </c>
    </row>
    <row r="363" spans="1:21" ht="125" x14ac:dyDescent="0.25">
      <c r="A363" s="53">
        <v>362</v>
      </c>
      <c r="B363" s="54" t="s">
        <v>1561</v>
      </c>
      <c r="C363" s="54" t="s">
        <v>1562</v>
      </c>
      <c r="D363" s="54" t="s">
        <v>59</v>
      </c>
      <c r="E363" s="54" t="s">
        <v>257</v>
      </c>
      <c r="F363" s="55" t="s">
        <v>1563</v>
      </c>
      <c r="G363" s="56">
        <v>42600.7554282407</v>
      </c>
      <c r="H363" s="54" t="s">
        <v>1564</v>
      </c>
      <c r="I363" s="57">
        <v>42640</v>
      </c>
      <c r="J363" s="54" t="s">
        <v>80</v>
      </c>
      <c r="K363" s="54" t="s">
        <v>55</v>
      </c>
      <c r="L363" s="56"/>
      <c r="M363" s="56"/>
      <c r="N363" s="58"/>
      <c r="O363" s="58"/>
      <c r="P363" s="58"/>
      <c r="Q363" s="59"/>
      <c r="R363" s="58"/>
      <c r="S363" s="58"/>
      <c r="T363" s="54" t="s">
        <v>56</v>
      </c>
      <c r="U363" s="54" t="s">
        <v>56</v>
      </c>
    </row>
    <row r="364" spans="1:21" ht="100" x14ac:dyDescent="0.25">
      <c r="A364" s="53">
        <v>363</v>
      </c>
      <c r="B364" s="54" t="s">
        <v>1565</v>
      </c>
      <c r="C364" s="54" t="s">
        <v>1566</v>
      </c>
      <c r="D364" s="54" t="s">
        <v>59</v>
      </c>
      <c r="E364" s="54" t="s">
        <v>257</v>
      </c>
      <c r="F364" s="55" t="s">
        <v>1567</v>
      </c>
      <c r="G364" s="56">
        <v>42600.755486111098</v>
      </c>
      <c r="H364" s="54" t="s">
        <v>1568</v>
      </c>
      <c r="I364" s="57">
        <v>42647</v>
      </c>
      <c r="J364" s="54" t="s">
        <v>999</v>
      </c>
      <c r="K364" s="54" t="s">
        <v>55</v>
      </c>
      <c r="L364" s="56"/>
      <c r="M364" s="56"/>
      <c r="N364" s="58"/>
      <c r="O364" s="58"/>
      <c r="P364" s="58"/>
      <c r="Q364" s="59"/>
      <c r="R364" s="58"/>
      <c r="S364" s="58"/>
      <c r="T364" s="54" t="s">
        <v>56</v>
      </c>
      <c r="U364" s="54" t="s">
        <v>56</v>
      </c>
    </row>
    <row r="365" spans="1:21" ht="100" x14ac:dyDescent="0.25">
      <c r="A365" s="53">
        <v>364</v>
      </c>
      <c r="B365" s="54" t="s">
        <v>1569</v>
      </c>
      <c r="C365" s="54" t="s">
        <v>1570</v>
      </c>
      <c r="D365" s="54" t="s">
        <v>59</v>
      </c>
      <c r="E365" s="54" t="s">
        <v>257</v>
      </c>
      <c r="F365" s="55" t="s">
        <v>1571</v>
      </c>
      <c r="G365" s="56">
        <v>42601.338923611103</v>
      </c>
      <c r="H365" s="54" t="s">
        <v>1572</v>
      </c>
      <c r="I365" s="57">
        <v>42647</v>
      </c>
      <c r="J365" s="54" t="s">
        <v>999</v>
      </c>
      <c r="K365" s="54" t="s">
        <v>55</v>
      </c>
      <c r="L365" s="56"/>
      <c r="M365" s="56"/>
      <c r="N365" s="58"/>
      <c r="O365" s="58"/>
      <c r="P365" s="58"/>
      <c r="Q365" s="59"/>
      <c r="R365" s="58"/>
      <c r="S365" s="58"/>
      <c r="T365" s="54" t="s">
        <v>56</v>
      </c>
      <c r="U365" s="54" t="s">
        <v>56</v>
      </c>
    </row>
    <row r="366" spans="1:21" ht="62.5" x14ac:dyDescent="0.25">
      <c r="A366" s="53">
        <v>365</v>
      </c>
      <c r="B366" s="54" t="s">
        <v>1573</v>
      </c>
      <c r="C366" s="64" t="s">
        <v>1574</v>
      </c>
      <c r="D366" s="54" t="s">
        <v>59</v>
      </c>
      <c r="E366" s="54" t="s">
        <v>257</v>
      </c>
      <c r="F366" s="65" t="s">
        <v>1575</v>
      </c>
      <c r="G366" s="66">
        <v>43626</v>
      </c>
      <c r="H366" s="64" t="s">
        <v>1576</v>
      </c>
      <c r="I366" s="67">
        <v>43697</v>
      </c>
      <c r="J366" s="64" t="s">
        <v>1577</v>
      </c>
      <c r="K366" s="54" t="s">
        <v>55</v>
      </c>
      <c r="L366" s="56"/>
      <c r="M366" s="56"/>
      <c r="N366" s="54"/>
      <c r="O366" s="54"/>
      <c r="P366" s="54"/>
      <c r="Q366" s="54"/>
      <c r="R366" s="54"/>
      <c r="S366" s="54"/>
      <c r="T366" s="54" t="s">
        <v>56</v>
      </c>
      <c r="U366" s="54" t="s">
        <v>56</v>
      </c>
    </row>
    <row r="367" spans="1:21" ht="137.5" x14ac:dyDescent="0.25">
      <c r="A367" s="53">
        <v>366</v>
      </c>
      <c r="B367" s="54" t="s">
        <v>1578</v>
      </c>
      <c r="C367" s="54" t="s">
        <v>1579</v>
      </c>
      <c r="D367" s="54" t="s">
        <v>59</v>
      </c>
      <c r="E367" s="54" t="s">
        <v>257</v>
      </c>
      <c r="F367" s="55" t="s">
        <v>1580</v>
      </c>
      <c r="G367" s="56">
        <v>43012</v>
      </c>
      <c r="H367" s="54" t="s">
        <v>1581</v>
      </c>
      <c r="I367" s="57">
        <v>43046</v>
      </c>
      <c r="J367" s="54" t="s">
        <v>965</v>
      </c>
      <c r="K367" s="54" t="s">
        <v>81</v>
      </c>
      <c r="L367" s="56"/>
      <c r="M367" s="56"/>
      <c r="N367" s="54"/>
      <c r="O367" s="54"/>
      <c r="P367" s="54"/>
      <c r="Q367" s="54"/>
      <c r="R367" s="54"/>
      <c r="S367" s="54"/>
      <c r="T367" s="54" t="s">
        <v>56</v>
      </c>
      <c r="U367" s="54" t="s">
        <v>56</v>
      </c>
    </row>
    <row r="368" spans="1:21" ht="125" x14ac:dyDescent="0.25">
      <c r="A368" s="53">
        <v>367</v>
      </c>
      <c r="B368" s="54" t="s">
        <v>1582</v>
      </c>
      <c r="C368" s="54" t="s">
        <v>1583</v>
      </c>
      <c r="D368" s="54" t="s">
        <v>59</v>
      </c>
      <c r="E368" s="54" t="s">
        <v>257</v>
      </c>
      <c r="F368" s="55" t="s">
        <v>1584</v>
      </c>
      <c r="G368" s="56">
        <v>42601.338865740698</v>
      </c>
      <c r="H368" s="54" t="s">
        <v>1585</v>
      </c>
      <c r="I368" s="57">
        <v>42647</v>
      </c>
      <c r="J368" s="54" t="s">
        <v>80</v>
      </c>
      <c r="K368" s="54" t="s">
        <v>55</v>
      </c>
      <c r="L368" s="56"/>
      <c r="M368" s="56"/>
      <c r="N368" s="58"/>
      <c r="O368" s="58"/>
      <c r="P368" s="58"/>
      <c r="Q368" s="59"/>
      <c r="R368" s="58"/>
      <c r="S368" s="58"/>
      <c r="T368" s="54" t="s">
        <v>56</v>
      </c>
      <c r="U368" s="54" t="s">
        <v>56</v>
      </c>
    </row>
    <row r="369" spans="1:21" ht="100" x14ac:dyDescent="0.25">
      <c r="A369" s="53">
        <v>368</v>
      </c>
      <c r="B369" s="54" t="s">
        <v>1586</v>
      </c>
      <c r="C369" s="54" t="s">
        <v>1587</v>
      </c>
      <c r="D369" s="54" t="s">
        <v>59</v>
      </c>
      <c r="E369" s="54" t="s">
        <v>257</v>
      </c>
      <c r="F369" s="55" t="s">
        <v>1588</v>
      </c>
      <c r="G369" s="56">
        <v>42600.7554282407</v>
      </c>
      <c r="H369" s="54" t="s">
        <v>1589</v>
      </c>
      <c r="I369" s="57">
        <v>42647</v>
      </c>
      <c r="J369" s="54" t="s">
        <v>999</v>
      </c>
      <c r="K369" s="54" t="s">
        <v>55</v>
      </c>
      <c r="L369" s="56"/>
      <c r="M369" s="56"/>
      <c r="N369" s="58"/>
      <c r="O369" s="58"/>
      <c r="P369" s="58"/>
      <c r="Q369" s="59"/>
      <c r="R369" s="58"/>
      <c r="S369" s="58"/>
      <c r="T369" s="54" t="s">
        <v>56</v>
      </c>
      <c r="U369" s="54" t="s">
        <v>56</v>
      </c>
    </row>
    <row r="370" spans="1:21" ht="100" x14ac:dyDescent="0.25">
      <c r="A370" s="53">
        <v>369</v>
      </c>
      <c r="B370" s="54" t="s">
        <v>1590</v>
      </c>
      <c r="C370" s="54" t="s">
        <v>1591</v>
      </c>
      <c r="D370" s="54" t="s">
        <v>59</v>
      </c>
      <c r="E370" s="54" t="s">
        <v>257</v>
      </c>
      <c r="F370" s="55" t="s">
        <v>1592</v>
      </c>
      <c r="G370" s="56">
        <v>42601.338935185202</v>
      </c>
      <c r="H370" s="54" t="s">
        <v>1593</v>
      </c>
      <c r="I370" s="57">
        <v>42647</v>
      </c>
      <c r="J370" s="54" t="s">
        <v>999</v>
      </c>
      <c r="K370" s="54" t="s">
        <v>55</v>
      </c>
      <c r="L370" s="56"/>
      <c r="M370" s="56"/>
      <c r="N370" s="58"/>
      <c r="O370" s="58"/>
      <c r="P370" s="58"/>
      <c r="Q370" s="59"/>
      <c r="R370" s="58"/>
      <c r="S370" s="58"/>
      <c r="T370" s="54" t="s">
        <v>56</v>
      </c>
      <c r="U370" s="54" t="s">
        <v>56</v>
      </c>
    </row>
    <row r="371" spans="1:21" ht="137.5" x14ac:dyDescent="0.25">
      <c r="A371" s="53">
        <v>370</v>
      </c>
      <c r="B371" s="54" t="s">
        <v>1594</v>
      </c>
      <c r="C371" s="54" t="s">
        <v>1595</v>
      </c>
      <c r="D371" s="54" t="s">
        <v>59</v>
      </c>
      <c r="E371" s="54" t="s">
        <v>257</v>
      </c>
      <c r="F371" s="55" t="s">
        <v>1596</v>
      </c>
      <c r="G371" s="56">
        <v>42997</v>
      </c>
      <c r="H371" s="54" t="s">
        <v>1597</v>
      </c>
      <c r="I371" s="57">
        <v>43038</v>
      </c>
      <c r="J371" s="54" t="s">
        <v>965</v>
      </c>
      <c r="K371" s="54" t="s">
        <v>81</v>
      </c>
      <c r="L371" s="56"/>
      <c r="M371" s="56"/>
      <c r="N371" s="54"/>
      <c r="O371" s="54"/>
      <c r="P371" s="54"/>
      <c r="Q371" s="54"/>
      <c r="R371" s="54"/>
      <c r="S371" s="54"/>
      <c r="T371" s="54" t="s">
        <v>56</v>
      </c>
      <c r="U371" s="54" t="s">
        <v>56</v>
      </c>
    </row>
    <row r="372" spans="1:21" ht="112.5" x14ac:dyDescent="0.25">
      <c r="A372" s="53">
        <v>371</v>
      </c>
      <c r="B372" s="54" t="s">
        <v>1598</v>
      </c>
      <c r="C372" s="54" t="s">
        <v>1599</v>
      </c>
      <c r="D372" s="54" t="s">
        <v>59</v>
      </c>
      <c r="E372" s="54" t="s">
        <v>257</v>
      </c>
      <c r="F372" s="55" t="s">
        <v>1600</v>
      </c>
      <c r="G372" s="56">
        <v>42600.755451388897</v>
      </c>
      <c r="H372" s="54" t="s">
        <v>1601</v>
      </c>
      <c r="I372" s="57">
        <v>42647</v>
      </c>
      <c r="J372" s="54" t="s">
        <v>999</v>
      </c>
      <c r="K372" s="54" t="s">
        <v>55</v>
      </c>
      <c r="L372" s="56"/>
      <c r="M372" s="56"/>
      <c r="N372" s="58"/>
      <c r="O372" s="58"/>
      <c r="P372" s="58"/>
      <c r="Q372" s="59"/>
      <c r="R372" s="58"/>
      <c r="S372" s="58"/>
      <c r="T372" s="54" t="s">
        <v>56</v>
      </c>
      <c r="U372" s="54" t="s">
        <v>56</v>
      </c>
    </row>
    <row r="373" spans="1:21" ht="137.5" x14ac:dyDescent="0.25">
      <c r="A373" s="53">
        <v>372</v>
      </c>
      <c r="B373" s="54" t="s">
        <v>1602</v>
      </c>
      <c r="C373" s="54" t="s">
        <v>1603</v>
      </c>
      <c r="D373" s="54" t="s">
        <v>59</v>
      </c>
      <c r="E373" s="54" t="s">
        <v>257</v>
      </c>
      <c r="F373" s="55" t="s">
        <v>1604</v>
      </c>
      <c r="G373" s="56">
        <v>42997</v>
      </c>
      <c r="H373" s="54" t="s">
        <v>1605</v>
      </c>
      <c r="I373" s="57">
        <v>43038</v>
      </c>
      <c r="J373" s="54" t="s">
        <v>965</v>
      </c>
      <c r="K373" s="54" t="s">
        <v>81</v>
      </c>
      <c r="L373" s="56"/>
      <c r="M373" s="56"/>
      <c r="N373" s="54"/>
      <c r="O373" s="54"/>
      <c r="P373" s="54"/>
      <c r="Q373" s="54"/>
      <c r="R373" s="54"/>
      <c r="S373" s="54"/>
      <c r="T373" s="54" t="s">
        <v>56</v>
      </c>
      <c r="U373" s="54" t="s">
        <v>56</v>
      </c>
    </row>
    <row r="374" spans="1:21" ht="75" x14ac:dyDescent="0.25">
      <c r="A374" s="53">
        <v>373</v>
      </c>
      <c r="B374" s="79" t="s">
        <v>1606</v>
      </c>
      <c r="C374" s="54" t="s">
        <v>1607</v>
      </c>
      <c r="D374" s="54" t="s">
        <v>59</v>
      </c>
      <c r="E374" s="54" t="s">
        <v>257</v>
      </c>
      <c r="F374" s="55" t="s">
        <v>1608</v>
      </c>
      <c r="G374" s="56">
        <v>43201</v>
      </c>
      <c r="H374" s="54" t="s">
        <v>1609</v>
      </c>
      <c r="I374" s="57">
        <v>43210</v>
      </c>
      <c r="J374" s="54" t="s">
        <v>986</v>
      </c>
      <c r="K374" s="54" t="s">
        <v>81</v>
      </c>
      <c r="L374" s="56"/>
      <c r="M374" s="56"/>
      <c r="N374" s="54"/>
      <c r="O374" s="54"/>
      <c r="P374" s="54"/>
      <c r="Q374" s="54"/>
      <c r="R374" s="54"/>
      <c r="S374" s="54"/>
      <c r="T374" s="54" t="s">
        <v>56</v>
      </c>
      <c r="U374" s="54" t="s">
        <v>56</v>
      </c>
    </row>
    <row r="375" spans="1:21" ht="125" x14ac:dyDescent="0.25">
      <c r="A375" s="53">
        <v>374</v>
      </c>
      <c r="B375" s="54" t="s">
        <v>1610</v>
      </c>
      <c r="C375" s="54" t="s">
        <v>1611</v>
      </c>
      <c r="D375" s="54" t="s">
        <v>59</v>
      </c>
      <c r="E375" s="54" t="s">
        <v>257</v>
      </c>
      <c r="F375" s="55" t="s">
        <v>1612</v>
      </c>
      <c r="G375" s="56">
        <v>42600.755532407398</v>
      </c>
      <c r="H375" s="54" t="s">
        <v>1613</v>
      </c>
      <c r="I375" s="57">
        <v>42640</v>
      </c>
      <c r="J375" s="54" t="s">
        <v>80</v>
      </c>
      <c r="K375" s="54" t="s">
        <v>55</v>
      </c>
      <c r="L375" s="56"/>
      <c r="M375" s="56"/>
      <c r="N375" s="58"/>
      <c r="O375" s="58"/>
      <c r="P375" s="58"/>
      <c r="Q375" s="59"/>
      <c r="R375" s="58"/>
      <c r="S375" s="58"/>
      <c r="T375" s="54" t="s">
        <v>56</v>
      </c>
      <c r="U375" s="54" t="s">
        <v>56</v>
      </c>
    </row>
    <row r="376" spans="1:21" ht="125" x14ac:dyDescent="0.25">
      <c r="A376" s="53">
        <v>375</v>
      </c>
      <c r="B376" s="54" t="s">
        <v>1614</v>
      </c>
      <c r="C376" s="54" t="s">
        <v>1615</v>
      </c>
      <c r="D376" s="54" t="s">
        <v>59</v>
      </c>
      <c r="E376" s="54" t="s">
        <v>257</v>
      </c>
      <c r="F376" s="55" t="s">
        <v>1616</v>
      </c>
      <c r="G376" s="56">
        <v>43013.460405092599</v>
      </c>
      <c r="H376" s="59" t="s">
        <v>1617</v>
      </c>
      <c r="I376" s="57">
        <v>43038</v>
      </c>
      <c r="J376" s="54" t="s">
        <v>80</v>
      </c>
      <c r="K376" s="54" t="s">
        <v>81</v>
      </c>
      <c r="L376" s="56"/>
      <c r="M376" s="56"/>
      <c r="N376" s="54"/>
      <c r="O376" s="54"/>
      <c r="P376" s="54"/>
      <c r="Q376" s="54"/>
      <c r="R376" s="54"/>
      <c r="S376" s="54"/>
      <c r="T376" s="54" t="s">
        <v>104</v>
      </c>
      <c r="U376" s="54" t="s">
        <v>105</v>
      </c>
    </row>
    <row r="377" spans="1:21" ht="125" x14ac:dyDescent="0.25">
      <c r="A377" s="53">
        <v>376</v>
      </c>
      <c r="B377" s="54" t="s">
        <v>1618</v>
      </c>
      <c r="C377" s="54" t="s">
        <v>1619</v>
      </c>
      <c r="D377" s="54" t="s">
        <v>59</v>
      </c>
      <c r="E377" s="54" t="s">
        <v>257</v>
      </c>
      <c r="F377" s="55" t="s">
        <v>1620</v>
      </c>
      <c r="G377" s="56">
        <v>42600.755486111098</v>
      </c>
      <c r="H377" s="54" t="s">
        <v>1621</v>
      </c>
      <c r="I377" s="57">
        <v>42640</v>
      </c>
      <c r="J377" s="54" t="s">
        <v>80</v>
      </c>
      <c r="K377" s="54" t="s">
        <v>55</v>
      </c>
      <c r="L377" s="56"/>
      <c r="M377" s="56"/>
      <c r="N377" s="58"/>
      <c r="O377" s="58"/>
      <c r="P377" s="58"/>
      <c r="Q377" s="59"/>
      <c r="R377" s="58"/>
      <c r="S377" s="58"/>
      <c r="T377" s="54" t="s">
        <v>56</v>
      </c>
      <c r="U377" s="54" t="s">
        <v>56</v>
      </c>
    </row>
    <row r="378" spans="1:21" ht="137.5" x14ac:dyDescent="0.25">
      <c r="A378" s="53">
        <v>377</v>
      </c>
      <c r="B378" s="54" t="s">
        <v>1622</v>
      </c>
      <c r="C378" s="54" t="s">
        <v>1623</v>
      </c>
      <c r="D378" s="54" t="s">
        <v>59</v>
      </c>
      <c r="E378" s="54" t="s">
        <v>257</v>
      </c>
      <c r="F378" s="55" t="s">
        <v>1624</v>
      </c>
      <c r="G378" s="56">
        <v>42997</v>
      </c>
      <c r="H378" s="54" t="s">
        <v>1625</v>
      </c>
      <c r="I378" s="57">
        <v>43060</v>
      </c>
      <c r="J378" s="54" t="s">
        <v>965</v>
      </c>
      <c r="K378" s="54" t="s">
        <v>55</v>
      </c>
      <c r="L378" s="56"/>
      <c r="M378" s="56"/>
      <c r="N378" s="54"/>
      <c r="O378" s="54"/>
      <c r="P378" s="54"/>
      <c r="Q378" s="54"/>
      <c r="R378" s="54"/>
      <c r="S378" s="54"/>
      <c r="T378" s="54" t="s">
        <v>56</v>
      </c>
      <c r="U378" s="54" t="s">
        <v>56</v>
      </c>
    </row>
    <row r="379" spans="1:21" ht="100" x14ac:dyDescent="0.25">
      <c r="A379" s="53">
        <v>378</v>
      </c>
      <c r="B379" s="54" t="s">
        <v>1626</v>
      </c>
      <c r="C379" s="54" t="s">
        <v>1627</v>
      </c>
      <c r="D379" s="54" t="s">
        <v>50</v>
      </c>
      <c r="E379" s="54" t="s">
        <v>257</v>
      </c>
      <c r="F379" s="55" t="s">
        <v>1628</v>
      </c>
      <c r="G379" s="56">
        <v>43000</v>
      </c>
      <c r="H379" s="54" t="s">
        <v>1629</v>
      </c>
      <c r="I379" s="57">
        <v>43020</v>
      </c>
      <c r="J379" s="54" t="s">
        <v>54</v>
      </c>
      <c r="K379" s="54" t="s">
        <v>55</v>
      </c>
      <c r="L379" s="56"/>
      <c r="M379" s="56"/>
      <c r="N379" s="54"/>
      <c r="O379" s="54"/>
      <c r="P379" s="54"/>
      <c r="Q379" s="54"/>
      <c r="R379" s="54"/>
      <c r="S379" s="54"/>
      <c r="T379" s="54" t="s">
        <v>56</v>
      </c>
      <c r="U379" s="54" t="s">
        <v>56</v>
      </c>
    </row>
    <row r="380" spans="1:21" ht="125" x14ac:dyDescent="0.25">
      <c r="A380" s="53">
        <v>379</v>
      </c>
      <c r="B380" s="54" t="s">
        <v>1630</v>
      </c>
      <c r="C380" s="54" t="s">
        <v>1631</v>
      </c>
      <c r="D380" s="54" t="s">
        <v>59</v>
      </c>
      <c r="E380" s="54" t="s">
        <v>257</v>
      </c>
      <c r="F380" s="55" t="s">
        <v>1632</v>
      </c>
      <c r="G380" s="56">
        <v>42600.755486111098</v>
      </c>
      <c r="H380" s="54" t="s">
        <v>1633</v>
      </c>
      <c r="I380" s="57">
        <v>42640</v>
      </c>
      <c r="J380" s="54" t="s">
        <v>80</v>
      </c>
      <c r="K380" s="54" t="s">
        <v>55</v>
      </c>
      <c r="L380" s="56"/>
      <c r="M380" s="56"/>
      <c r="N380" s="58"/>
      <c r="O380" s="58"/>
      <c r="P380" s="58"/>
      <c r="Q380" s="59"/>
      <c r="R380" s="58"/>
      <c r="S380" s="58"/>
      <c r="T380" s="54" t="s">
        <v>56</v>
      </c>
      <c r="U380" s="54" t="s">
        <v>56</v>
      </c>
    </row>
    <row r="381" spans="1:21" ht="37.5" x14ac:dyDescent="0.25">
      <c r="A381" s="53">
        <v>380</v>
      </c>
      <c r="B381" s="54" t="s">
        <v>1634</v>
      </c>
      <c r="C381" s="54" t="s">
        <v>1635</v>
      </c>
      <c r="D381" s="54" t="s">
        <v>59</v>
      </c>
      <c r="E381" s="54" t="s">
        <v>257</v>
      </c>
      <c r="F381" s="55" t="s">
        <v>1636</v>
      </c>
      <c r="G381" s="56">
        <v>43327</v>
      </c>
      <c r="H381" s="54" t="s">
        <v>1637</v>
      </c>
      <c r="I381" s="57">
        <v>43438</v>
      </c>
      <c r="J381" s="54" t="s">
        <v>986</v>
      </c>
      <c r="K381" s="54" t="s">
        <v>55</v>
      </c>
      <c r="L381" s="56"/>
      <c r="M381" s="56"/>
      <c r="N381" s="54"/>
      <c r="O381" s="54"/>
      <c r="P381" s="54"/>
      <c r="Q381" s="54"/>
      <c r="R381" s="54"/>
      <c r="S381" s="54"/>
      <c r="T381" s="54" t="s">
        <v>56</v>
      </c>
      <c r="U381" s="54" t="s">
        <v>56</v>
      </c>
    </row>
    <row r="382" spans="1:21" ht="125" x14ac:dyDescent="0.25">
      <c r="A382" s="53">
        <v>381</v>
      </c>
      <c r="B382" s="54" t="s">
        <v>1638</v>
      </c>
      <c r="C382" s="54" t="s">
        <v>1639</v>
      </c>
      <c r="D382" s="54" t="s">
        <v>59</v>
      </c>
      <c r="E382" s="54" t="s">
        <v>257</v>
      </c>
      <c r="F382" s="55" t="s">
        <v>1640</v>
      </c>
      <c r="G382" s="56">
        <v>42600.755416666703</v>
      </c>
      <c r="H382" s="54" t="s">
        <v>1641</v>
      </c>
      <c r="I382" s="57">
        <v>42641</v>
      </c>
      <c r="J382" s="54" t="s">
        <v>80</v>
      </c>
      <c r="K382" s="54" t="s">
        <v>55</v>
      </c>
      <c r="L382" s="56"/>
      <c r="M382" s="56"/>
      <c r="N382" s="58"/>
      <c r="O382" s="58"/>
      <c r="P382" s="58"/>
      <c r="Q382" s="59"/>
      <c r="R382" s="58"/>
      <c r="S382" s="58"/>
      <c r="T382" s="54" t="s">
        <v>56</v>
      </c>
      <c r="U382" s="54" t="s">
        <v>56</v>
      </c>
    </row>
    <row r="383" spans="1:21" ht="137.5" x14ac:dyDescent="0.25">
      <c r="A383" s="53">
        <v>382</v>
      </c>
      <c r="B383" s="54" t="s">
        <v>1642</v>
      </c>
      <c r="C383" s="54" t="s">
        <v>1643</v>
      </c>
      <c r="D383" s="54" t="s">
        <v>59</v>
      </c>
      <c r="E383" s="54" t="s">
        <v>257</v>
      </c>
      <c r="F383" s="55" t="s">
        <v>1644</v>
      </c>
      <c r="G383" s="56">
        <v>43027</v>
      </c>
      <c r="H383" s="54" t="s">
        <v>1645</v>
      </c>
      <c r="I383" s="57">
        <v>43046</v>
      </c>
      <c r="J383" s="54" t="s">
        <v>965</v>
      </c>
      <c r="K383" s="54" t="s">
        <v>55</v>
      </c>
      <c r="L383" s="56"/>
      <c r="M383" s="56"/>
      <c r="N383" s="54"/>
      <c r="O383" s="54"/>
      <c r="P383" s="54"/>
      <c r="Q383" s="54"/>
      <c r="R383" s="54"/>
      <c r="S383" s="54"/>
      <c r="T383" s="54" t="s">
        <v>56</v>
      </c>
      <c r="U383" s="54" t="s">
        <v>56</v>
      </c>
    </row>
    <row r="384" spans="1:21" ht="125" x14ac:dyDescent="0.25">
      <c r="A384" s="53">
        <v>383</v>
      </c>
      <c r="B384" s="54" t="s">
        <v>1646</v>
      </c>
      <c r="C384" s="54" t="s">
        <v>1647</v>
      </c>
      <c r="D384" s="54" t="s">
        <v>59</v>
      </c>
      <c r="E384" s="54" t="s">
        <v>257</v>
      </c>
      <c r="F384" s="55" t="s">
        <v>1648</v>
      </c>
      <c r="G384" s="56">
        <v>42600.755451388897</v>
      </c>
      <c r="H384" s="54" t="s">
        <v>1649</v>
      </c>
      <c r="I384" s="57">
        <v>42640</v>
      </c>
      <c r="J384" s="54" t="s">
        <v>80</v>
      </c>
      <c r="K384" s="54" t="s">
        <v>55</v>
      </c>
      <c r="L384" s="56"/>
      <c r="M384" s="56"/>
      <c r="N384" s="58"/>
      <c r="O384" s="58"/>
      <c r="P384" s="58"/>
      <c r="Q384" s="59"/>
      <c r="R384" s="58"/>
      <c r="S384" s="58"/>
      <c r="T384" s="54" t="s">
        <v>56</v>
      </c>
      <c r="U384" s="54" t="s">
        <v>56</v>
      </c>
    </row>
    <row r="385" spans="1:21" ht="137.5" x14ac:dyDescent="0.25">
      <c r="A385" s="53">
        <v>384</v>
      </c>
      <c r="B385" s="54" t="s">
        <v>1650</v>
      </c>
      <c r="C385" s="54" t="s">
        <v>1651</v>
      </c>
      <c r="D385" s="54" t="s">
        <v>59</v>
      </c>
      <c r="E385" s="54" t="s">
        <v>257</v>
      </c>
      <c r="F385" s="55" t="s">
        <v>1652</v>
      </c>
      <c r="G385" s="56">
        <v>42685</v>
      </c>
      <c r="H385" s="54" t="s">
        <v>1653</v>
      </c>
      <c r="I385" s="57">
        <v>42716</v>
      </c>
      <c r="J385" s="54" t="s">
        <v>920</v>
      </c>
      <c r="K385" s="54" t="s">
        <v>55</v>
      </c>
      <c r="L385" s="56"/>
      <c r="M385" s="56"/>
      <c r="N385" s="58"/>
      <c r="O385" s="58"/>
      <c r="P385" s="58"/>
      <c r="Q385" s="59"/>
      <c r="R385" s="58"/>
      <c r="S385" s="58"/>
      <c r="T385" s="54" t="s">
        <v>56</v>
      </c>
      <c r="U385" s="54" t="s">
        <v>56</v>
      </c>
    </row>
    <row r="386" spans="1:21" ht="125" x14ac:dyDescent="0.25">
      <c r="A386" s="53">
        <v>385</v>
      </c>
      <c r="B386" s="54" t="s">
        <v>1654</v>
      </c>
      <c r="C386" s="54" t="s">
        <v>1655</v>
      </c>
      <c r="D386" s="54" t="s">
        <v>59</v>
      </c>
      <c r="E386" s="54" t="s">
        <v>257</v>
      </c>
      <c r="F386" s="55" t="s">
        <v>1656</v>
      </c>
      <c r="G386" s="56">
        <v>42600.755532407398</v>
      </c>
      <c r="H386" s="54" t="s">
        <v>1657</v>
      </c>
      <c r="I386" s="57">
        <v>42640</v>
      </c>
      <c r="J386" s="54" t="s">
        <v>80</v>
      </c>
      <c r="K386" s="54" t="s">
        <v>55</v>
      </c>
      <c r="L386" s="56"/>
      <c r="M386" s="56"/>
      <c r="N386" s="58"/>
      <c r="O386" s="58"/>
      <c r="P386" s="58"/>
      <c r="Q386" s="59"/>
      <c r="R386" s="58"/>
      <c r="S386" s="58"/>
      <c r="T386" s="54" t="s">
        <v>56</v>
      </c>
      <c r="U386" s="54" t="s">
        <v>56</v>
      </c>
    </row>
    <row r="387" spans="1:21" ht="62.5" x14ac:dyDescent="0.25">
      <c r="A387" s="53">
        <v>386</v>
      </c>
      <c r="B387" s="54" t="s">
        <v>1658</v>
      </c>
      <c r="C387" s="54" t="s">
        <v>1659</v>
      </c>
      <c r="D387" s="54" t="s">
        <v>59</v>
      </c>
      <c r="E387" s="54" t="s">
        <v>257</v>
      </c>
      <c r="F387" s="55" t="s">
        <v>1660</v>
      </c>
      <c r="G387" s="56">
        <v>43000</v>
      </c>
      <c r="H387" s="54" t="s">
        <v>1661</v>
      </c>
      <c r="I387" s="57">
        <v>43020</v>
      </c>
      <c r="J387" s="54" t="s">
        <v>986</v>
      </c>
      <c r="K387" s="54" t="s">
        <v>55</v>
      </c>
      <c r="L387" s="56"/>
      <c r="M387" s="56"/>
      <c r="N387" s="54"/>
      <c r="O387" s="54"/>
      <c r="P387" s="54"/>
      <c r="Q387" s="54"/>
      <c r="R387" s="54"/>
      <c r="S387" s="54"/>
      <c r="T387" s="54" t="s">
        <v>87</v>
      </c>
      <c r="U387" s="58" t="s">
        <v>105</v>
      </c>
    </row>
    <row r="388" spans="1:21" ht="137.5" x14ac:dyDescent="0.25">
      <c r="A388" s="53">
        <v>387</v>
      </c>
      <c r="B388" s="54" t="s">
        <v>1662</v>
      </c>
      <c r="C388" s="54" t="s">
        <v>1663</v>
      </c>
      <c r="D388" s="54" t="s">
        <v>59</v>
      </c>
      <c r="E388" s="54" t="s">
        <v>257</v>
      </c>
      <c r="F388" s="55" t="s">
        <v>1664</v>
      </c>
      <c r="G388" s="56">
        <v>43012</v>
      </c>
      <c r="H388" s="54" t="s">
        <v>1665</v>
      </c>
      <c r="I388" s="57">
        <v>43046</v>
      </c>
      <c r="J388" s="54" t="s">
        <v>1666</v>
      </c>
      <c r="K388" s="54" t="s">
        <v>55</v>
      </c>
      <c r="L388" s="56"/>
      <c r="M388" s="56"/>
      <c r="N388" s="54"/>
      <c r="O388" s="54"/>
      <c r="P388" s="54"/>
      <c r="Q388" s="54"/>
      <c r="R388" s="54"/>
      <c r="S388" s="54"/>
      <c r="T388" s="54" t="s">
        <v>56</v>
      </c>
      <c r="U388" s="54" t="s">
        <v>56</v>
      </c>
    </row>
    <row r="389" spans="1:21" ht="125" x14ac:dyDescent="0.25">
      <c r="A389" s="53">
        <v>388</v>
      </c>
      <c r="B389" s="54" t="s">
        <v>1667</v>
      </c>
      <c r="C389" s="54" t="s">
        <v>1668</v>
      </c>
      <c r="D389" s="54" t="s">
        <v>59</v>
      </c>
      <c r="E389" s="54" t="s">
        <v>257</v>
      </c>
      <c r="F389" s="55" t="s">
        <v>1669</v>
      </c>
      <c r="G389" s="56">
        <v>42600.7554282407</v>
      </c>
      <c r="H389" s="54" t="s">
        <v>1670</v>
      </c>
      <c r="I389" s="57">
        <v>42642</v>
      </c>
      <c r="J389" s="54" t="s">
        <v>80</v>
      </c>
      <c r="K389" s="54" t="s">
        <v>55</v>
      </c>
      <c r="L389" s="56"/>
      <c r="M389" s="56"/>
      <c r="N389" s="58"/>
      <c r="O389" s="58"/>
      <c r="P389" s="58"/>
      <c r="Q389" s="59"/>
      <c r="R389" s="58"/>
      <c r="S389" s="58"/>
      <c r="T389" s="54" t="s">
        <v>56</v>
      </c>
      <c r="U389" s="54" t="s">
        <v>56</v>
      </c>
    </row>
    <row r="390" spans="1:21" ht="100" x14ac:dyDescent="0.25">
      <c r="A390" s="53">
        <v>389</v>
      </c>
      <c r="B390" s="54" t="s">
        <v>1671</v>
      </c>
      <c r="C390" s="54" t="s">
        <v>1672</v>
      </c>
      <c r="D390" s="54" t="s">
        <v>59</v>
      </c>
      <c r="E390" s="54" t="s">
        <v>257</v>
      </c>
      <c r="F390" s="65" t="s">
        <v>1673</v>
      </c>
      <c r="G390" s="66">
        <v>43626</v>
      </c>
      <c r="H390" s="64" t="s">
        <v>1674</v>
      </c>
      <c r="I390" s="67">
        <v>43697</v>
      </c>
      <c r="J390" s="64" t="s">
        <v>986</v>
      </c>
      <c r="K390" s="54" t="s">
        <v>55</v>
      </c>
      <c r="L390" s="56"/>
      <c r="M390" s="56"/>
      <c r="N390" s="54"/>
      <c r="O390" s="54"/>
      <c r="P390" s="54"/>
      <c r="Q390" s="54"/>
      <c r="R390" s="54"/>
      <c r="S390" s="54"/>
      <c r="T390" s="54" t="s">
        <v>56</v>
      </c>
      <c r="U390" s="54" t="s">
        <v>56</v>
      </c>
    </row>
    <row r="391" spans="1:21" ht="62.5" x14ac:dyDescent="0.25">
      <c r="A391" s="53">
        <v>390</v>
      </c>
      <c r="B391" s="54" t="s">
        <v>1675</v>
      </c>
      <c r="C391" s="54" t="s">
        <v>1676</v>
      </c>
      <c r="D391" s="54" t="s">
        <v>59</v>
      </c>
      <c r="E391" s="54" t="s">
        <v>257</v>
      </c>
      <c r="F391" s="55" t="s">
        <v>1677</v>
      </c>
      <c r="G391" s="56">
        <v>43000</v>
      </c>
      <c r="H391" s="54" t="s">
        <v>1678</v>
      </c>
      <c r="I391" s="57">
        <v>43020</v>
      </c>
      <c r="J391" s="64" t="s">
        <v>986</v>
      </c>
      <c r="K391" s="54" t="s">
        <v>81</v>
      </c>
      <c r="L391" s="56"/>
      <c r="M391" s="56"/>
      <c r="N391" s="54"/>
      <c r="O391" s="54"/>
      <c r="P391" s="54"/>
      <c r="Q391" s="54"/>
      <c r="R391" s="54"/>
      <c r="S391" s="54"/>
      <c r="T391" s="54" t="s">
        <v>56</v>
      </c>
      <c r="U391" s="54" t="s">
        <v>56</v>
      </c>
    </row>
    <row r="392" spans="1:21" ht="50" x14ac:dyDescent="0.25">
      <c r="A392" s="53">
        <v>391</v>
      </c>
      <c r="B392" s="54" t="s">
        <v>1679</v>
      </c>
      <c r="C392" s="54" t="s">
        <v>1680</v>
      </c>
      <c r="D392" s="54" t="s">
        <v>59</v>
      </c>
      <c r="E392" s="54" t="s">
        <v>257</v>
      </c>
      <c r="F392" s="55" t="s">
        <v>1681</v>
      </c>
      <c r="G392" s="56">
        <v>43000</v>
      </c>
      <c r="H392" s="54" t="s">
        <v>1682</v>
      </c>
      <c r="I392" s="57">
        <v>43020</v>
      </c>
      <c r="J392" s="64" t="s">
        <v>986</v>
      </c>
      <c r="K392" s="54" t="s">
        <v>81</v>
      </c>
      <c r="L392" s="56"/>
      <c r="M392" s="56"/>
      <c r="N392" s="54"/>
      <c r="O392" s="54"/>
      <c r="P392" s="54"/>
      <c r="Q392" s="54"/>
      <c r="R392" s="54"/>
      <c r="S392" s="54"/>
      <c r="T392" s="54" t="s">
        <v>56</v>
      </c>
      <c r="U392" s="54" t="s">
        <v>56</v>
      </c>
    </row>
    <row r="393" spans="1:21" ht="87.5" x14ac:dyDescent="0.25">
      <c r="A393" s="53">
        <v>392</v>
      </c>
      <c r="B393" s="54" t="s">
        <v>1683</v>
      </c>
      <c r="C393" s="54" t="s">
        <v>1684</v>
      </c>
      <c r="D393" s="54" t="s">
        <v>59</v>
      </c>
      <c r="E393" s="54" t="s">
        <v>257</v>
      </c>
      <c r="F393" s="55" t="s">
        <v>1685</v>
      </c>
      <c r="G393" s="56">
        <v>43000</v>
      </c>
      <c r="H393" s="54" t="s">
        <v>1686</v>
      </c>
      <c r="I393" s="57">
        <v>43020</v>
      </c>
      <c r="J393" s="64" t="s">
        <v>986</v>
      </c>
      <c r="K393" s="54" t="s">
        <v>81</v>
      </c>
      <c r="L393" s="56"/>
      <c r="M393" s="56"/>
      <c r="N393" s="54"/>
      <c r="O393" s="54"/>
      <c r="P393" s="54"/>
      <c r="Q393" s="54"/>
      <c r="R393" s="54"/>
      <c r="S393" s="54"/>
      <c r="T393" s="54" t="s">
        <v>56</v>
      </c>
      <c r="U393" s="54" t="s">
        <v>56</v>
      </c>
    </row>
    <row r="394" spans="1:21" ht="100" x14ac:dyDescent="0.25">
      <c r="A394" s="53">
        <v>393</v>
      </c>
      <c r="B394" s="54" t="s">
        <v>1687</v>
      </c>
      <c r="C394" s="54" t="s">
        <v>1688</v>
      </c>
      <c r="D394" s="54" t="s">
        <v>59</v>
      </c>
      <c r="E394" s="54" t="s">
        <v>257</v>
      </c>
      <c r="F394" s="55" t="s">
        <v>1689</v>
      </c>
      <c r="G394" s="56">
        <v>42600.755486111098</v>
      </c>
      <c r="H394" s="54" t="s">
        <v>1690</v>
      </c>
      <c r="I394" s="57">
        <v>42657</v>
      </c>
      <c r="J394" s="54" t="s">
        <v>999</v>
      </c>
      <c r="K394" s="54" t="s">
        <v>55</v>
      </c>
      <c r="L394" s="56"/>
      <c r="M394" s="56"/>
      <c r="N394" s="58"/>
      <c r="O394" s="58"/>
      <c r="P394" s="58"/>
      <c r="Q394" s="59"/>
      <c r="R394" s="58"/>
      <c r="S394" s="58"/>
      <c r="T394" s="54" t="s">
        <v>56</v>
      </c>
      <c r="U394" s="54" t="s">
        <v>56</v>
      </c>
    </row>
    <row r="395" spans="1:21" ht="50" x14ac:dyDescent="0.25">
      <c r="A395" s="53">
        <v>394</v>
      </c>
      <c r="B395" s="54" t="s">
        <v>1691</v>
      </c>
      <c r="C395" s="54" t="s">
        <v>1692</v>
      </c>
      <c r="D395" s="54" t="s">
        <v>59</v>
      </c>
      <c r="E395" s="54" t="s">
        <v>257</v>
      </c>
      <c r="F395" s="55" t="s">
        <v>1693</v>
      </c>
      <c r="G395" s="56">
        <v>43000</v>
      </c>
      <c r="H395" s="54" t="s">
        <v>1694</v>
      </c>
      <c r="I395" s="57">
        <v>43020</v>
      </c>
      <c r="J395" s="64" t="s">
        <v>986</v>
      </c>
      <c r="K395" s="54" t="s">
        <v>81</v>
      </c>
      <c r="L395" s="56"/>
      <c r="M395" s="56"/>
      <c r="N395" s="54"/>
      <c r="O395" s="54"/>
      <c r="P395" s="54"/>
      <c r="Q395" s="54"/>
      <c r="R395" s="54"/>
      <c r="S395" s="54"/>
      <c r="T395" s="54" t="s">
        <v>56</v>
      </c>
      <c r="U395" s="54" t="s">
        <v>56</v>
      </c>
    </row>
    <row r="396" spans="1:21" ht="75" x14ac:dyDescent="0.25">
      <c r="A396" s="53">
        <v>395</v>
      </c>
      <c r="B396" s="54" t="s">
        <v>1695</v>
      </c>
      <c r="C396" s="64" t="s">
        <v>1696</v>
      </c>
      <c r="D396" s="54" t="s">
        <v>59</v>
      </c>
      <c r="E396" s="54" t="s">
        <v>257</v>
      </c>
      <c r="F396" s="65" t="s">
        <v>1697</v>
      </c>
      <c r="G396" s="66">
        <v>43539</v>
      </c>
      <c r="H396" s="64" t="s">
        <v>1698</v>
      </c>
      <c r="I396" s="67">
        <v>43641</v>
      </c>
      <c r="J396" s="64" t="s">
        <v>986</v>
      </c>
      <c r="K396" s="54" t="s">
        <v>81</v>
      </c>
      <c r="L396" s="56"/>
      <c r="M396" s="56"/>
      <c r="N396" s="54"/>
      <c r="O396" s="54"/>
      <c r="P396" s="54"/>
      <c r="Q396" s="54"/>
      <c r="R396" s="54"/>
      <c r="S396" s="54"/>
      <c r="T396" s="54" t="s">
        <v>56</v>
      </c>
      <c r="U396" s="54" t="s">
        <v>56</v>
      </c>
    </row>
    <row r="397" spans="1:21" ht="125" x14ac:dyDescent="0.25">
      <c r="A397" s="53">
        <v>396</v>
      </c>
      <c r="B397" s="54" t="s">
        <v>1699</v>
      </c>
      <c r="C397" s="54" t="s">
        <v>1700</v>
      </c>
      <c r="D397" s="54" t="s">
        <v>59</v>
      </c>
      <c r="E397" s="54" t="s">
        <v>257</v>
      </c>
      <c r="F397" s="55" t="s">
        <v>1701</v>
      </c>
      <c r="G397" s="56">
        <v>42600.755405092597</v>
      </c>
      <c r="H397" s="54" t="s">
        <v>1702</v>
      </c>
      <c r="I397" s="57">
        <v>42640</v>
      </c>
      <c r="J397" s="54" t="s">
        <v>80</v>
      </c>
      <c r="K397" s="54" t="s">
        <v>55</v>
      </c>
      <c r="L397" s="56"/>
      <c r="M397" s="56"/>
      <c r="N397" s="58"/>
      <c r="O397" s="58"/>
      <c r="P397" s="58"/>
      <c r="Q397" s="59"/>
      <c r="R397" s="58"/>
      <c r="S397" s="58"/>
      <c r="T397" s="54" t="s">
        <v>56</v>
      </c>
      <c r="U397" s="54" t="s">
        <v>56</v>
      </c>
    </row>
    <row r="398" spans="1:21" ht="125" x14ac:dyDescent="0.25">
      <c r="A398" s="53">
        <v>397</v>
      </c>
      <c r="B398" s="54" t="s">
        <v>1703</v>
      </c>
      <c r="C398" s="54" t="s">
        <v>1704</v>
      </c>
      <c r="D398" s="54" t="s">
        <v>59</v>
      </c>
      <c r="E398" s="54" t="s">
        <v>257</v>
      </c>
      <c r="F398" s="55" t="s">
        <v>1705</v>
      </c>
      <c r="G398" s="56">
        <v>42601.338912036997</v>
      </c>
      <c r="H398" s="54" t="s">
        <v>1706</v>
      </c>
      <c r="I398" s="57">
        <v>42640</v>
      </c>
      <c r="J398" s="54" t="s">
        <v>80</v>
      </c>
      <c r="K398" s="54" t="s">
        <v>55</v>
      </c>
      <c r="L398" s="56"/>
      <c r="M398" s="56"/>
      <c r="N398" s="58"/>
      <c r="O398" s="58"/>
      <c r="P398" s="58"/>
      <c r="Q398" s="59"/>
      <c r="R398" s="58"/>
      <c r="S398" s="58"/>
      <c r="T398" s="54" t="s">
        <v>56</v>
      </c>
      <c r="U398" s="54" t="s">
        <v>56</v>
      </c>
    </row>
    <row r="399" spans="1:21" ht="37.5" x14ac:dyDescent="0.25">
      <c r="A399" s="53">
        <v>398</v>
      </c>
      <c r="B399" s="54" t="s">
        <v>1707</v>
      </c>
      <c r="C399" s="64" t="s">
        <v>1708</v>
      </c>
      <c r="D399" s="54" t="s">
        <v>59</v>
      </c>
      <c r="E399" s="54" t="s">
        <v>257</v>
      </c>
      <c r="F399" s="65" t="s">
        <v>1709</v>
      </c>
      <c r="G399" s="66">
        <v>43696</v>
      </c>
      <c r="H399" s="64" t="s">
        <v>1710</v>
      </c>
      <c r="I399" s="67">
        <v>43707</v>
      </c>
      <c r="J399" s="64" t="s">
        <v>986</v>
      </c>
      <c r="K399" s="54" t="s">
        <v>81</v>
      </c>
      <c r="L399" s="56"/>
      <c r="M399" s="56"/>
      <c r="N399" s="54"/>
      <c r="O399" s="54"/>
      <c r="P399" s="54"/>
      <c r="Q399" s="54"/>
      <c r="R399" s="54"/>
      <c r="S399" s="54"/>
      <c r="T399" s="54" t="s">
        <v>56</v>
      </c>
      <c r="U399" s="54" t="s">
        <v>56</v>
      </c>
    </row>
    <row r="400" spans="1:21" ht="125" x14ac:dyDescent="0.25">
      <c r="A400" s="53">
        <v>399</v>
      </c>
      <c r="B400" s="54" t="s">
        <v>1711</v>
      </c>
      <c r="C400" s="54" t="s">
        <v>1712</v>
      </c>
      <c r="D400" s="54" t="s">
        <v>59</v>
      </c>
      <c r="E400" s="54" t="s">
        <v>257</v>
      </c>
      <c r="F400" s="55" t="s">
        <v>1713</v>
      </c>
      <c r="G400" s="56">
        <v>42997</v>
      </c>
      <c r="H400" s="54" t="s">
        <v>1714</v>
      </c>
      <c r="I400" s="57">
        <v>43056</v>
      </c>
      <c r="J400" s="54" t="s">
        <v>80</v>
      </c>
      <c r="K400" s="54" t="s">
        <v>81</v>
      </c>
      <c r="L400" s="56"/>
      <c r="M400" s="56"/>
      <c r="N400" s="54"/>
      <c r="O400" s="54"/>
      <c r="P400" s="54"/>
      <c r="Q400" s="54"/>
      <c r="R400" s="54"/>
      <c r="S400" s="54"/>
      <c r="T400" s="54" t="s">
        <v>56</v>
      </c>
      <c r="U400" s="54" t="s">
        <v>56</v>
      </c>
    </row>
    <row r="401" spans="1:21" ht="125" x14ac:dyDescent="0.25">
      <c r="A401" s="53">
        <v>400</v>
      </c>
      <c r="B401" s="54" t="s">
        <v>1715</v>
      </c>
      <c r="C401" s="54" t="s">
        <v>1716</v>
      </c>
      <c r="D401" s="54" t="s">
        <v>59</v>
      </c>
      <c r="E401" s="54" t="s">
        <v>257</v>
      </c>
      <c r="F401" s="55" t="s">
        <v>1717</v>
      </c>
      <c r="G401" s="56">
        <v>42600.755451388897</v>
      </c>
      <c r="H401" s="54" t="s">
        <v>1718</v>
      </c>
      <c r="I401" s="57">
        <v>42640</v>
      </c>
      <c r="J401" s="54" t="s">
        <v>80</v>
      </c>
      <c r="K401" s="54" t="s">
        <v>55</v>
      </c>
      <c r="L401" s="56"/>
      <c r="M401" s="56"/>
      <c r="N401" s="58"/>
      <c r="O401" s="58"/>
      <c r="P401" s="58"/>
      <c r="Q401" s="59"/>
      <c r="R401" s="58"/>
      <c r="S401" s="58"/>
      <c r="T401" s="54" t="s">
        <v>56</v>
      </c>
      <c r="U401" s="54" t="s">
        <v>56</v>
      </c>
    </row>
    <row r="402" spans="1:21" ht="137.5" x14ac:dyDescent="0.25">
      <c r="A402" s="53">
        <v>401</v>
      </c>
      <c r="B402" s="54" t="s">
        <v>1719</v>
      </c>
      <c r="C402" s="54" t="s">
        <v>1720</v>
      </c>
      <c r="D402" s="54" t="s">
        <v>59</v>
      </c>
      <c r="E402" s="54" t="s">
        <v>257</v>
      </c>
      <c r="F402" s="55" t="s">
        <v>1721</v>
      </c>
      <c r="G402" s="56">
        <v>43053</v>
      </c>
      <c r="H402" s="54" t="s">
        <v>1722</v>
      </c>
      <c r="I402" s="57">
        <v>43066</v>
      </c>
      <c r="J402" s="54" t="s">
        <v>1666</v>
      </c>
      <c r="K402" s="54" t="s">
        <v>81</v>
      </c>
      <c r="L402" s="56"/>
      <c r="M402" s="56"/>
      <c r="N402" s="54"/>
      <c r="O402" s="54"/>
      <c r="P402" s="54"/>
      <c r="Q402" s="54"/>
      <c r="R402" s="54"/>
      <c r="S402" s="54"/>
      <c r="T402" s="54" t="s">
        <v>56</v>
      </c>
      <c r="U402" s="54" t="s">
        <v>56</v>
      </c>
    </row>
    <row r="403" spans="1:21" ht="125" x14ac:dyDescent="0.25">
      <c r="A403" s="53">
        <v>402</v>
      </c>
      <c r="B403" s="54" t="s">
        <v>1723</v>
      </c>
      <c r="C403" s="54" t="s">
        <v>1724</v>
      </c>
      <c r="D403" s="54" t="s">
        <v>59</v>
      </c>
      <c r="E403" s="54" t="s">
        <v>257</v>
      </c>
      <c r="F403" s="55" t="s">
        <v>1725</v>
      </c>
      <c r="G403" s="56">
        <v>42600.755405092597</v>
      </c>
      <c r="H403" s="54" t="s">
        <v>1726</v>
      </c>
      <c r="I403" s="57">
        <v>42632</v>
      </c>
      <c r="J403" s="54" t="s">
        <v>80</v>
      </c>
      <c r="K403" s="54" t="s">
        <v>55</v>
      </c>
      <c r="L403" s="56"/>
      <c r="M403" s="56"/>
      <c r="N403" s="58"/>
      <c r="O403" s="58"/>
      <c r="P403" s="58"/>
      <c r="Q403" s="59"/>
      <c r="R403" s="58"/>
      <c r="S403" s="58"/>
      <c r="T403" s="54" t="s">
        <v>56</v>
      </c>
      <c r="U403" s="54" t="s">
        <v>56</v>
      </c>
    </row>
    <row r="404" spans="1:21" ht="125" x14ac:dyDescent="0.25">
      <c r="A404" s="53">
        <v>403</v>
      </c>
      <c r="B404" s="54" t="s">
        <v>1727</v>
      </c>
      <c r="C404" s="54" t="s">
        <v>1728</v>
      </c>
      <c r="D404" s="54" t="s">
        <v>59</v>
      </c>
      <c r="E404" s="54" t="s">
        <v>257</v>
      </c>
      <c r="F404" s="55" t="s">
        <v>1729</v>
      </c>
      <c r="G404" s="56">
        <v>42601.338912036997</v>
      </c>
      <c r="H404" s="54" t="s">
        <v>1730</v>
      </c>
      <c r="I404" s="57">
        <v>42629</v>
      </c>
      <c r="J404" s="54" t="s">
        <v>80</v>
      </c>
      <c r="K404" s="54" t="s">
        <v>55</v>
      </c>
      <c r="L404" s="56"/>
      <c r="M404" s="56"/>
      <c r="N404" s="58"/>
      <c r="O404" s="58"/>
      <c r="P404" s="58"/>
      <c r="Q404" s="59"/>
      <c r="R404" s="58"/>
      <c r="S404" s="58"/>
      <c r="T404" s="54" t="s">
        <v>56</v>
      </c>
      <c r="U404" s="54" t="s">
        <v>56</v>
      </c>
    </row>
    <row r="405" spans="1:21" ht="125" x14ac:dyDescent="0.25">
      <c r="A405" s="53">
        <v>404</v>
      </c>
      <c r="B405" s="54" t="s">
        <v>1731</v>
      </c>
      <c r="C405" s="54" t="s">
        <v>1732</v>
      </c>
      <c r="D405" s="54" t="s">
        <v>59</v>
      </c>
      <c r="E405" s="54" t="s">
        <v>257</v>
      </c>
      <c r="F405" s="55" t="s">
        <v>1733</v>
      </c>
      <c r="G405" s="56">
        <v>42601.338900463001</v>
      </c>
      <c r="H405" s="54" t="s">
        <v>1734</v>
      </c>
      <c r="I405" s="57">
        <v>42629</v>
      </c>
      <c r="J405" s="54" t="s">
        <v>80</v>
      </c>
      <c r="K405" s="54" t="s">
        <v>55</v>
      </c>
      <c r="L405" s="56"/>
      <c r="M405" s="56"/>
      <c r="N405" s="58"/>
      <c r="O405" s="58"/>
      <c r="P405" s="58"/>
      <c r="Q405" s="59"/>
      <c r="R405" s="58"/>
      <c r="S405" s="58"/>
      <c r="T405" s="54" t="s">
        <v>56</v>
      </c>
      <c r="U405" s="54" t="s">
        <v>56</v>
      </c>
    </row>
    <row r="406" spans="1:21" ht="137.5" x14ac:dyDescent="0.25">
      <c r="A406" s="53">
        <v>405</v>
      </c>
      <c r="B406" s="54" t="s">
        <v>1735</v>
      </c>
      <c r="C406" s="54" t="s">
        <v>1736</v>
      </c>
      <c r="D406" s="54" t="s">
        <v>59</v>
      </c>
      <c r="E406" s="54" t="s">
        <v>257</v>
      </c>
      <c r="F406" s="55" t="s">
        <v>1737</v>
      </c>
      <c r="G406" s="56">
        <v>42997</v>
      </c>
      <c r="H406" s="54" t="s">
        <v>1738</v>
      </c>
      <c r="I406" s="57">
        <v>43038</v>
      </c>
      <c r="J406" s="54" t="s">
        <v>1666</v>
      </c>
      <c r="K406" s="54" t="s">
        <v>81</v>
      </c>
      <c r="L406" s="56"/>
      <c r="M406" s="56"/>
      <c r="N406" s="54"/>
      <c r="O406" s="54"/>
      <c r="P406" s="54"/>
      <c r="Q406" s="54"/>
      <c r="R406" s="54"/>
      <c r="S406" s="54"/>
      <c r="T406" s="54" t="s">
        <v>56</v>
      </c>
      <c r="U406" s="54" t="s">
        <v>56</v>
      </c>
    </row>
    <row r="407" spans="1:21" ht="137.5" x14ac:dyDescent="0.25">
      <c r="A407" s="53">
        <v>406</v>
      </c>
      <c r="B407" s="54" t="s">
        <v>1739</v>
      </c>
      <c r="C407" s="54" t="s">
        <v>1740</v>
      </c>
      <c r="D407" s="54" t="s">
        <v>59</v>
      </c>
      <c r="E407" s="54" t="s">
        <v>257</v>
      </c>
      <c r="F407" s="55" t="s">
        <v>1741</v>
      </c>
      <c r="G407" s="56">
        <v>42601.338854166701</v>
      </c>
      <c r="H407" s="54" t="s">
        <v>1742</v>
      </c>
      <c r="I407" s="57">
        <v>42640</v>
      </c>
      <c r="J407" s="54" t="s">
        <v>1666</v>
      </c>
      <c r="K407" s="54" t="s">
        <v>55</v>
      </c>
      <c r="L407" s="56"/>
      <c r="M407" s="56"/>
      <c r="N407" s="58"/>
      <c r="O407" s="58"/>
      <c r="P407" s="58"/>
      <c r="Q407" s="59"/>
      <c r="R407" s="58"/>
      <c r="S407" s="58"/>
      <c r="T407" s="54" t="s">
        <v>56</v>
      </c>
      <c r="U407" s="54" t="s">
        <v>56</v>
      </c>
    </row>
    <row r="408" spans="1:21" ht="125" x14ac:dyDescent="0.25">
      <c r="A408" s="53">
        <v>407</v>
      </c>
      <c r="B408" s="54" t="s">
        <v>1743</v>
      </c>
      <c r="C408" s="54" t="s">
        <v>1744</v>
      </c>
      <c r="D408" s="54" t="s">
        <v>59</v>
      </c>
      <c r="E408" s="54" t="s">
        <v>257</v>
      </c>
      <c r="F408" s="55" t="s">
        <v>1745</v>
      </c>
      <c r="G408" s="56">
        <v>42601.338935185202</v>
      </c>
      <c r="H408" s="54" t="s">
        <v>1746</v>
      </c>
      <c r="I408" s="57">
        <v>42640</v>
      </c>
      <c r="J408" s="54" t="s">
        <v>80</v>
      </c>
      <c r="K408" s="54" t="s">
        <v>55</v>
      </c>
      <c r="L408" s="56"/>
      <c r="M408" s="56"/>
      <c r="N408" s="58"/>
      <c r="O408" s="58"/>
      <c r="P408" s="58"/>
      <c r="Q408" s="59"/>
      <c r="R408" s="58"/>
      <c r="S408" s="58"/>
      <c r="T408" s="54" t="s">
        <v>56</v>
      </c>
      <c r="U408" s="54" t="s">
        <v>56</v>
      </c>
    </row>
    <row r="409" spans="1:21" ht="37.5" x14ac:dyDescent="0.25">
      <c r="A409" s="53">
        <v>408</v>
      </c>
      <c r="B409" s="54" t="s">
        <v>1747</v>
      </c>
      <c r="C409" s="64" t="s">
        <v>1748</v>
      </c>
      <c r="D409" s="54" t="s">
        <v>59</v>
      </c>
      <c r="E409" s="54" t="s">
        <v>257</v>
      </c>
      <c r="F409" s="65" t="s">
        <v>1749</v>
      </c>
      <c r="G409" s="66">
        <v>43543</v>
      </c>
      <c r="H409" s="64" t="s">
        <v>1750</v>
      </c>
      <c r="I409" s="67">
        <v>43647</v>
      </c>
      <c r="J409" s="64" t="s">
        <v>986</v>
      </c>
      <c r="K409" s="54" t="s">
        <v>55</v>
      </c>
      <c r="L409" s="56"/>
      <c r="M409" s="56"/>
      <c r="N409" s="54"/>
      <c r="O409" s="54"/>
      <c r="P409" s="54"/>
      <c r="Q409" s="54"/>
      <c r="R409" s="54"/>
      <c r="S409" s="54"/>
      <c r="T409" s="54" t="s">
        <v>56</v>
      </c>
      <c r="U409" s="54" t="s">
        <v>56</v>
      </c>
    </row>
    <row r="410" spans="1:21" ht="37.5" x14ac:dyDescent="0.25">
      <c r="A410" s="53">
        <v>409</v>
      </c>
      <c r="B410" s="54" t="s">
        <v>1751</v>
      </c>
      <c r="C410" s="54" t="s">
        <v>1752</v>
      </c>
      <c r="D410" s="54" t="s">
        <v>59</v>
      </c>
      <c r="E410" s="54" t="s">
        <v>257</v>
      </c>
      <c r="F410" s="55" t="s">
        <v>1753</v>
      </c>
      <c r="G410" s="56">
        <v>43307</v>
      </c>
      <c r="H410" s="54" t="s">
        <v>1754</v>
      </c>
      <c r="I410" s="57">
        <v>43438</v>
      </c>
      <c r="J410" s="64" t="s">
        <v>986</v>
      </c>
      <c r="K410" s="54" t="s">
        <v>81</v>
      </c>
      <c r="L410" s="56"/>
      <c r="M410" s="56"/>
      <c r="N410" s="54"/>
      <c r="O410" s="54"/>
      <c r="P410" s="54"/>
      <c r="Q410" s="54"/>
      <c r="R410" s="54"/>
      <c r="S410" s="54"/>
      <c r="T410" s="54" t="s">
        <v>56</v>
      </c>
      <c r="U410" s="54" t="s">
        <v>56</v>
      </c>
    </row>
    <row r="411" spans="1:21" ht="137.5" x14ac:dyDescent="0.25">
      <c r="A411" s="53">
        <v>410</v>
      </c>
      <c r="B411" s="54" t="s">
        <v>1755</v>
      </c>
      <c r="C411" s="54" t="s">
        <v>1756</v>
      </c>
      <c r="D411" s="54" t="s">
        <v>59</v>
      </c>
      <c r="E411" s="54" t="s">
        <v>257</v>
      </c>
      <c r="F411" s="55" t="s">
        <v>1757</v>
      </c>
      <c r="G411" s="56">
        <v>43027</v>
      </c>
      <c r="H411" s="54" t="s">
        <v>1758</v>
      </c>
      <c r="I411" s="57">
        <v>43046</v>
      </c>
      <c r="J411" s="54" t="s">
        <v>1666</v>
      </c>
      <c r="K411" s="54" t="s">
        <v>81</v>
      </c>
      <c r="L411" s="56"/>
      <c r="M411" s="56"/>
      <c r="N411" s="54"/>
      <c r="O411" s="54"/>
      <c r="P411" s="54"/>
      <c r="Q411" s="54"/>
      <c r="R411" s="54"/>
      <c r="S411" s="54"/>
      <c r="T411" s="54" t="s">
        <v>56</v>
      </c>
      <c r="U411" s="54" t="s">
        <v>56</v>
      </c>
    </row>
    <row r="412" spans="1:21" ht="125" x14ac:dyDescent="0.25">
      <c r="A412" s="53">
        <v>411</v>
      </c>
      <c r="B412" s="54" t="s">
        <v>1759</v>
      </c>
      <c r="C412" s="54" t="s">
        <v>1760</v>
      </c>
      <c r="D412" s="54" t="s">
        <v>59</v>
      </c>
      <c r="E412" s="54" t="s">
        <v>257</v>
      </c>
      <c r="F412" s="55" t="s">
        <v>1761</v>
      </c>
      <c r="G412" s="56">
        <v>42600.755462963003</v>
      </c>
      <c r="H412" s="54" t="s">
        <v>1762</v>
      </c>
      <c r="I412" s="57">
        <v>42640</v>
      </c>
      <c r="J412" s="54" t="s">
        <v>80</v>
      </c>
      <c r="K412" s="54" t="s">
        <v>55</v>
      </c>
      <c r="L412" s="56"/>
      <c r="M412" s="56"/>
      <c r="N412" s="58"/>
      <c r="O412" s="58"/>
      <c r="P412" s="58"/>
      <c r="Q412" s="59"/>
      <c r="R412" s="58"/>
      <c r="S412" s="58"/>
      <c r="T412" s="54" t="s">
        <v>56</v>
      </c>
      <c r="U412" s="54" t="s">
        <v>56</v>
      </c>
    </row>
    <row r="413" spans="1:21" ht="112.5" x14ac:dyDescent="0.25">
      <c r="A413" s="53">
        <v>412</v>
      </c>
      <c r="B413" s="54" t="s">
        <v>1763</v>
      </c>
      <c r="C413" s="54" t="s">
        <v>1764</v>
      </c>
      <c r="D413" s="54" t="s">
        <v>59</v>
      </c>
      <c r="E413" s="54" t="s">
        <v>257</v>
      </c>
      <c r="F413" s="55" t="s">
        <v>1765</v>
      </c>
      <c r="G413" s="56">
        <v>43242</v>
      </c>
      <c r="H413" s="54" t="s">
        <v>1766</v>
      </c>
      <c r="I413" s="57">
        <v>43439</v>
      </c>
      <c r="J413" s="54" t="s">
        <v>986</v>
      </c>
      <c r="K413" s="54" t="s">
        <v>55</v>
      </c>
      <c r="L413" s="56"/>
      <c r="M413" s="56"/>
      <c r="N413" s="54"/>
      <c r="O413" s="54"/>
      <c r="P413" s="54"/>
      <c r="Q413" s="54"/>
      <c r="R413" s="54"/>
      <c r="S413" s="54"/>
      <c r="T413" s="54" t="s">
        <v>1146</v>
      </c>
      <c r="U413" s="54" t="s">
        <v>501</v>
      </c>
    </row>
    <row r="414" spans="1:21" ht="37.5" x14ac:dyDescent="0.25">
      <c r="A414" s="53">
        <v>413</v>
      </c>
      <c r="B414" s="54" t="s">
        <v>1767</v>
      </c>
      <c r="C414" s="54" t="s">
        <v>1768</v>
      </c>
      <c r="D414" s="54" t="s">
        <v>59</v>
      </c>
      <c r="E414" s="54" t="s">
        <v>257</v>
      </c>
      <c r="F414" s="65" t="s">
        <v>1769</v>
      </c>
      <c r="G414" s="66">
        <v>43698</v>
      </c>
      <c r="H414" s="64" t="s">
        <v>1770</v>
      </c>
      <c r="I414" s="67">
        <v>43707</v>
      </c>
      <c r="J414" s="64" t="s">
        <v>986</v>
      </c>
      <c r="K414" s="54" t="s">
        <v>55</v>
      </c>
      <c r="L414" s="56"/>
      <c r="M414" s="56"/>
      <c r="N414" s="54"/>
      <c r="O414" s="54"/>
      <c r="P414" s="54"/>
      <c r="Q414" s="54"/>
      <c r="R414" s="54"/>
      <c r="S414" s="54"/>
      <c r="T414" s="54" t="s">
        <v>56</v>
      </c>
      <c r="U414" s="54" t="s">
        <v>56</v>
      </c>
    </row>
    <row r="415" spans="1:21" ht="150" x14ac:dyDescent="0.25">
      <c r="A415" s="53">
        <v>414</v>
      </c>
      <c r="B415" s="54" t="s">
        <v>1771</v>
      </c>
      <c r="C415" s="54" t="s">
        <v>1772</v>
      </c>
      <c r="D415" s="54" t="s">
        <v>59</v>
      </c>
      <c r="E415" s="54" t="s">
        <v>257</v>
      </c>
      <c r="F415" s="55" t="s">
        <v>1773</v>
      </c>
      <c r="G415" s="56">
        <v>42685</v>
      </c>
      <c r="H415" s="54" t="s">
        <v>1774</v>
      </c>
      <c r="I415" s="57">
        <v>42733</v>
      </c>
      <c r="J415" s="54" t="s">
        <v>500</v>
      </c>
      <c r="K415" s="54" t="s">
        <v>55</v>
      </c>
      <c r="L415" s="56"/>
      <c r="M415" s="56"/>
      <c r="N415" s="58"/>
      <c r="O415" s="58"/>
      <c r="P415" s="58"/>
      <c r="Q415" s="59"/>
      <c r="R415" s="58"/>
      <c r="S415" s="58"/>
      <c r="T415" s="54" t="s">
        <v>56</v>
      </c>
      <c r="U415" s="54" t="s">
        <v>56</v>
      </c>
    </row>
    <row r="416" spans="1:21" ht="137.5" x14ac:dyDescent="0.25">
      <c r="A416" s="53">
        <v>415</v>
      </c>
      <c r="B416" s="54" t="s">
        <v>1775</v>
      </c>
      <c r="C416" s="54" t="s">
        <v>1776</v>
      </c>
      <c r="D416" s="54" t="s">
        <v>59</v>
      </c>
      <c r="E416" s="54" t="s">
        <v>257</v>
      </c>
      <c r="F416" s="55" t="s">
        <v>1777</v>
      </c>
      <c r="G416" s="56">
        <v>43000</v>
      </c>
      <c r="H416" s="54" t="s">
        <v>1778</v>
      </c>
      <c r="I416" s="57">
        <v>43020</v>
      </c>
      <c r="J416" s="54" t="s">
        <v>920</v>
      </c>
      <c r="K416" s="54" t="s">
        <v>81</v>
      </c>
      <c r="L416" s="56"/>
      <c r="M416" s="56"/>
      <c r="N416" s="54"/>
      <c r="O416" s="54"/>
      <c r="P416" s="54"/>
      <c r="Q416" s="54"/>
      <c r="R416" s="54"/>
      <c r="S416" s="54"/>
      <c r="T416" s="54" t="s">
        <v>56</v>
      </c>
      <c r="U416" s="54" t="s">
        <v>56</v>
      </c>
    </row>
    <row r="417" spans="1:21" ht="100" x14ac:dyDescent="0.25">
      <c r="A417" s="53">
        <v>416</v>
      </c>
      <c r="B417" s="54" t="s">
        <v>1779</v>
      </c>
      <c r="C417" s="54" t="s">
        <v>1780</v>
      </c>
      <c r="D417" s="54" t="s">
        <v>50</v>
      </c>
      <c r="E417" s="54" t="s">
        <v>257</v>
      </c>
      <c r="F417" s="55" t="s">
        <v>1781</v>
      </c>
      <c r="G417" s="56">
        <v>42685</v>
      </c>
      <c r="H417" s="54" t="s">
        <v>1782</v>
      </c>
      <c r="I417" s="57">
        <v>42747</v>
      </c>
      <c r="J417" s="54" t="s">
        <v>54</v>
      </c>
      <c r="K417" s="54" t="s">
        <v>176</v>
      </c>
      <c r="L417" s="56"/>
      <c r="M417" s="56">
        <v>41274</v>
      </c>
      <c r="N417" s="54" t="s">
        <v>1783</v>
      </c>
      <c r="O417" s="59">
        <v>44215</v>
      </c>
      <c r="P417" s="58"/>
      <c r="Q417" s="59"/>
      <c r="R417" s="58"/>
      <c r="S417" s="58"/>
      <c r="T417" s="54" t="s">
        <v>87</v>
      </c>
      <c r="U417" s="58" t="s">
        <v>88</v>
      </c>
    </row>
    <row r="418" spans="1:21" ht="150" x14ac:dyDescent="0.25">
      <c r="A418" s="53">
        <v>417</v>
      </c>
      <c r="B418" s="54" t="s">
        <v>1784</v>
      </c>
      <c r="C418" s="54" t="s">
        <v>1785</v>
      </c>
      <c r="D418" s="54" t="s">
        <v>59</v>
      </c>
      <c r="E418" s="54" t="s">
        <v>257</v>
      </c>
      <c r="F418" s="55" t="s">
        <v>1786</v>
      </c>
      <c r="G418" s="56">
        <v>42601.338877314804</v>
      </c>
      <c r="H418" s="54" t="s">
        <v>1787</v>
      </c>
      <c r="I418" s="57">
        <v>42640</v>
      </c>
      <c r="J418" s="54" t="s">
        <v>500</v>
      </c>
      <c r="K418" s="54" t="s">
        <v>55</v>
      </c>
      <c r="L418" s="56"/>
      <c r="M418" s="56"/>
      <c r="N418" s="58"/>
      <c r="O418" s="58"/>
      <c r="P418" s="58"/>
      <c r="Q418" s="59"/>
      <c r="R418" s="58"/>
      <c r="S418" s="58"/>
      <c r="T418" s="54" t="s">
        <v>56</v>
      </c>
      <c r="U418" s="54" t="s">
        <v>56</v>
      </c>
    </row>
    <row r="419" spans="1:21" ht="150" x14ac:dyDescent="0.25">
      <c r="A419" s="53">
        <v>418</v>
      </c>
      <c r="B419" s="54" t="s">
        <v>1788</v>
      </c>
      <c r="C419" s="54" t="s">
        <v>1789</v>
      </c>
      <c r="D419" s="54" t="s">
        <v>59</v>
      </c>
      <c r="E419" s="54" t="s">
        <v>257</v>
      </c>
      <c r="F419" s="55" t="s">
        <v>1790</v>
      </c>
      <c r="G419" s="56">
        <v>43027</v>
      </c>
      <c r="H419" s="54" t="s">
        <v>1791</v>
      </c>
      <c r="I419" s="57">
        <v>43046</v>
      </c>
      <c r="J419" s="54" t="s">
        <v>500</v>
      </c>
      <c r="K419" s="54" t="s">
        <v>81</v>
      </c>
      <c r="L419" s="56"/>
      <c r="M419" s="56"/>
      <c r="N419" s="54"/>
      <c r="O419" s="54"/>
      <c r="P419" s="54"/>
      <c r="Q419" s="54"/>
      <c r="R419" s="54"/>
      <c r="S419" s="54"/>
      <c r="T419" s="54" t="s">
        <v>56</v>
      </c>
      <c r="U419" s="54" t="s">
        <v>56</v>
      </c>
    </row>
    <row r="420" spans="1:21" ht="150" x14ac:dyDescent="0.25">
      <c r="A420" s="53">
        <v>419</v>
      </c>
      <c r="B420" s="54" t="s">
        <v>1792</v>
      </c>
      <c r="C420" s="54" t="s">
        <v>1793</v>
      </c>
      <c r="D420" s="54" t="s">
        <v>59</v>
      </c>
      <c r="E420" s="54" t="s">
        <v>257</v>
      </c>
      <c r="F420" s="55" t="s">
        <v>1794</v>
      </c>
      <c r="G420" s="56">
        <v>42600.7554282407</v>
      </c>
      <c r="H420" s="54" t="s">
        <v>1795</v>
      </c>
      <c r="I420" s="57">
        <v>42628</v>
      </c>
      <c r="J420" s="54" t="s">
        <v>500</v>
      </c>
      <c r="K420" s="54" t="s">
        <v>55</v>
      </c>
      <c r="L420" s="56"/>
      <c r="M420" s="56"/>
      <c r="N420" s="58"/>
      <c r="O420" s="58"/>
      <c r="P420" s="58"/>
      <c r="Q420" s="59"/>
      <c r="R420" s="58"/>
      <c r="S420" s="58"/>
      <c r="T420" s="54" t="s">
        <v>56</v>
      </c>
      <c r="U420" s="54" t="s">
        <v>56</v>
      </c>
    </row>
    <row r="421" spans="1:21" ht="150" x14ac:dyDescent="0.25">
      <c r="A421" s="53">
        <v>420</v>
      </c>
      <c r="B421" s="54" t="s">
        <v>1796</v>
      </c>
      <c r="C421" s="54" t="s">
        <v>1797</v>
      </c>
      <c r="D421" s="54" t="s">
        <v>59</v>
      </c>
      <c r="E421" s="54" t="s">
        <v>257</v>
      </c>
      <c r="F421" s="55" t="s">
        <v>1798</v>
      </c>
      <c r="G421" s="56">
        <v>42601.338888888902</v>
      </c>
      <c r="H421" s="54" t="s">
        <v>1799</v>
      </c>
      <c r="I421" s="57">
        <v>42640</v>
      </c>
      <c r="J421" s="54" t="s">
        <v>500</v>
      </c>
      <c r="K421" s="54" t="s">
        <v>55</v>
      </c>
      <c r="L421" s="56"/>
      <c r="M421" s="56"/>
      <c r="N421" s="58"/>
      <c r="O421" s="58"/>
      <c r="P421" s="58"/>
      <c r="Q421" s="59"/>
      <c r="R421" s="58"/>
      <c r="S421" s="58"/>
      <c r="T421" s="54" t="s">
        <v>56</v>
      </c>
      <c r="U421" s="54" t="s">
        <v>56</v>
      </c>
    </row>
    <row r="422" spans="1:21" ht="150" x14ac:dyDescent="0.25">
      <c r="A422" s="53">
        <v>421</v>
      </c>
      <c r="B422" s="54" t="s">
        <v>1800</v>
      </c>
      <c r="C422" s="54" t="s">
        <v>1801</v>
      </c>
      <c r="D422" s="54" t="s">
        <v>59</v>
      </c>
      <c r="E422" s="54" t="s">
        <v>257</v>
      </c>
      <c r="F422" s="55" t="s">
        <v>1802</v>
      </c>
      <c r="G422" s="56">
        <v>42600.755474537</v>
      </c>
      <c r="H422" s="54" t="s">
        <v>1803</v>
      </c>
      <c r="I422" s="57">
        <v>42640</v>
      </c>
      <c r="J422" s="54" t="s">
        <v>500</v>
      </c>
      <c r="K422" s="54" t="s">
        <v>55</v>
      </c>
      <c r="L422" s="56"/>
      <c r="M422" s="56"/>
      <c r="N422" s="58"/>
      <c r="O422" s="58"/>
      <c r="P422" s="58"/>
      <c r="Q422" s="59"/>
      <c r="R422" s="58"/>
      <c r="S422" s="58"/>
      <c r="T422" s="54" t="s">
        <v>56</v>
      </c>
      <c r="U422" s="54" t="s">
        <v>56</v>
      </c>
    </row>
    <row r="423" spans="1:21" ht="100" x14ac:dyDescent="0.25">
      <c r="A423" s="53">
        <v>422</v>
      </c>
      <c r="B423" s="54" t="s">
        <v>1804</v>
      </c>
      <c r="C423" s="54" t="s">
        <v>1805</v>
      </c>
      <c r="D423" s="54" t="s">
        <v>50</v>
      </c>
      <c r="E423" s="54" t="s">
        <v>257</v>
      </c>
      <c r="F423" s="55" t="s">
        <v>1806</v>
      </c>
      <c r="G423" s="56">
        <v>43000</v>
      </c>
      <c r="H423" s="54" t="s">
        <v>1807</v>
      </c>
      <c r="I423" s="57">
        <v>43020</v>
      </c>
      <c r="J423" s="54" t="s">
        <v>54</v>
      </c>
      <c r="K423" s="54" t="s">
        <v>55</v>
      </c>
      <c r="L423" s="56"/>
      <c r="M423" s="56"/>
      <c r="N423" s="54"/>
      <c r="O423" s="54"/>
      <c r="P423" s="54"/>
      <c r="Q423" s="54"/>
      <c r="R423" s="54"/>
      <c r="S423" s="54"/>
      <c r="T423" s="54" t="s">
        <v>56</v>
      </c>
      <c r="U423" s="54" t="s">
        <v>56</v>
      </c>
    </row>
    <row r="424" spans="1:21" ht="100" x14ac:dyDescent="0.25">
      <c r="A424" s="53">
        <v>423</v>
      </c>
      <c r="B424" s="54" t="s">
        <v>1808</v>
      </c>
      <c r="C424" s="54" t="s">
        <v>1809</v>
      </c>
      <c r="D424" s="54" t="s">
        <v>59</v>
      </c>
      <c r="E424" s="54" t="s">
        <v>257</v>
      </c>
      <c r="F424" s="55" t="s">
        <v>1810</v>
      </c>
      <c r="G424" s="56">
        <v>43047</v>
      </c>
      <c r="H424" s="54" t="s">
        <v>1811</v>
      </c>
      <c r="I424" s="57">
        <v>43188</v>
      </c>
      <c r="J424" s="54" t="s">
        <v>999</v>
      </c>
      <c r="K424" s="54" t="s">
        <v>81</v>
      </c>
      <c r="L424" s="56"/>
      <c r="M424" s="56"/>
      <c r="N424" s="54"/>
      <c r="O424" s="54"/>
      <c r="P424" s="54"/>
      <c r="Q424" s="54"/>
      <c r="R424" s="54"/>
      <c r="S424" s="54"/>
      <c r="T424" s="54" t="s">
        <v>56</v>
      </c>
      <c r="U424" s="54" t="s">
        <v>56</v>
      </c>
    </row>
    <row r="425" spans="1:21" ht="37.5" x14ac:dyDescent="0.25">
      <c r="A425" s="53">
        <v>424</v>
      </c>
      <c r="B425" s="54" t="s">
        <v>1812</v>
      </c>
      <c r="C425" s="54" t="s">
        <v>1813</v>
      </c>
      <c r="D425" s="54" t="s">
        <v>59</v>
      </c>
      <c r="E425" s="54" t="s">
        <v>257</v>
      </c>
      <c r="F425" s="55" t="s">
        <v>1814</v>
      </c>
      <c r="G425" s="56">
        <v>42601.338900463001</v>
      </c>
      <c r="H425" s="54" t="s">
        <v>1815</v>
      </c>
      <c r="I425" s="57">
        <v>42628</v>
      </c>
      <c r="J425" s="54" t="s">
        <v>491</v>
      </c>
      <c r="K425" s="54" t="s">
        <v>55</v>
      </c>
      <c r="L425" s="56"/>
      <c r="M425" s="56"/>
      <c r="N425" s="58"/>
      <c r="O425" s="58"/>
      <c r="P425" s="58"/>
      <c r="Q425" s="59"/>
      <c r="R425" s="58"/>
      <c r="S425" s="58"/>
      <c r="T425" s="54" t="s">
        <v>56</v>
      </c>
      <c r="U425" s="54" t="s">
        <v>56</v>
      </c>
    </row>
    <row r="426" spans="1:21" ht="62.5" x14ac:dyDescent="0.25">
      <c r="A426" s="53">
        <v>425</v>
      </c>
      <c r="B426" s="54" t="s">
        <v>1816</v>
      </c>
      <c r="C426" s="54" t="s">
        <v>1817</v>
      </c>
      <c r="D426" s="54" t="s">
        <v>59</v>
      </c>
      <c r="E426" s="54" t="s">
        <v>257</v>
      </c>
      <c r="F426" s="55" t="s">
        <v>1818</v>
      </c>
      <c r="G426" s="56">
        <v>42685</v>
      </c>
      <c r="H426" s="54" t="s">
        <v>1819</v>
      </c>
      <c r="I426" s="57">
        <v>42719</v>
      </c>
      <c r="J426" s="54" t="s">
        <v>986</v>
      </c>
      <c r="K426" s="54" t="s">
        <v>55</v>
      </c>
      <c r="L426" s="56"/>
      <c r="M426" s="56"/>
      <c r="N426" s="58"/>
      <c r="O426" s="58"/>
      <c r="P426" s="58"/>
      <c r="Q426" s="59"/>
      <c r="R426" s="58"/>
      <c r="S426" s="58"/>
      <c r="T426" s="54" t="s">
        <v>56</v>
      </c>
      <c r="U426" s="54" t="s">
        <v>56</v>
      </c>
    </row>
    <row r="427" spans="1:21" ht="150" x14ac:dyDescent="0.25">
      <c r="A427" s="53">
        <v>426</v>
      </c>
      <c r="B427" s="54" t="s">
        <v>1820</v>
      </c>
      <c r="C427" s="54" t="s">
        <v>1821</v>
      </c>
      <c r="D427" s="54" t="s">
        <v>59</v>
      </c>
      <c r="E427" s="54" t="s">
        <v>257</v>
      </c>
      <c r="F427" s="55" t="s">
        <v>1822</v>
      </c>
      <c r="G427" s="56">
        <v>42685</v>
      </c>
      <c r="H427" s="54" t="s">
        <v>1823</v>
      </c>
      <c r="I427" s="57">
        <v>42733</v>
      </c>
      <c r="J427" s="54" t="s">
        <v>500</v>
      </c>
      <c r="K427" s="54" t="s">
        <v>55</v>
      </c>
      <c r="L427" s="56"/>
      <c r="M427" s="56"/>
      <c r="N427" s="58"/>
      <c r="O427" s="58"/>
      <c r="P427" s="58"/>
      <c r="Q427" s="59"/>
      <c r="R427" s="58"/>
      <c r="S427" s="58"/>
      <c r="T427" s="54" t="s">
        <v>87</v>
      </c>
      <c r="U427" s="58" t="s">
        <v>105</v>
      </c>
    </row>
    <row r="428" spans="1:21" ht="100" x14ac:dyDescent="0.25">
      <c r="A428" s="53">
        <v>427</v>
      </c>
      <c r="B428" s="54" t="s">
        <v>1824</v>
      </c>
      <c r="C428" s="54" t="s">
        <v>1825</v>
      </c>
      <c r="D428" s="54" t="s">
        <v>50</v>
      </c>
      <c r="E428" s="54" t="s">
        <v>257</v>
      </c>
      <c r="F428" s="55" t="s">
        <v>1826</v>
      </c>
      <c r="G428" s="56">
        <v>42685</v>
      </c>
      <c r="H428" s="54" t="s">
        <v>1827</v>
      </c>
      <c r="I428" s="57">
        <v>42733</v>
      </c>
      <c r="J428" s="54" t="s">
        <v>54</v>
      </c>
      <c r="K428" s="54" t="s">
        <v>55</v>
      </c>
      <c r="L428" s="56"/>
      <c r="M428" s="56"/>
      <c r="N428" s="58"/>
      <c r="O428" s="58"/>
      <c r="P428" s="58"/>
      <c r="Q428" s="59"/>
      <c r="R428" s="58"/>
      <c r="S428" s="58"/>
      <c r="T428" s="54" t="s">
        <v>56</v>
      </c>
      <c r="U428" s="54" t="s">
        <v>56</v>
      </c>
    </row>
    <row r="429" spans="1:21" ht="150" x14ac:dyDescent="0.25">
      <c r="A429" s="53">
        <v>428</v>
      </c>
      <c r="B429" s="54" t="s">
        <v>1828</v>
      </c>
      <c r="C429" s="54" t="s">
        <v>1829</v>
      </c>
      <c r="D429" s="54" t="s">
        <v>59</v>
      </c>
      <c r="E429" s="54" t="s">
        <v>257</v>
      </c>
      <c r="F429" s="55" t="s">
        <v>1830</v>
      </c>
      <c r="G429" s="56">
        <v>42600.755532407398</v>
      </c>
      <c r="H429" s="54" t="s">
        <v>1831</v>
      </c>
      <c r="I429" s="57">
        <v>42640</v>
      </c>
      <c r="J429" s="54" t="s">
        <v>500</v>
      </c>
      <c r="K429" s="54" t="s">
        <v>55</v>
      </c>
      <c r="L429" s="56"/>
      <c r="M429" s="56"/>
      <c r="N429" s="58"/>
      <c r="O429" s="58"/>
      <c r="P429" s="58"/>
      <c r="Q429" s="59"/>
      <c r="R429" s="58"/>
      <c r="S429" s="58"/>
      <c r="T429" s="54" t="s">
        <v>56</v>
      </c>
      <c r="U429" s="54" t="s">
        <v>56</v>
      </c>
    </row>
    <row r="430" spans="1:21" ht="25" x14ac:dyDescent="0.25">
      <c r="A430" s="53">
        <v>429</v>
      </c>
      <c r="B430" s="54" t="s">
        <v>1832</v>
      </c>
      <c r="C430" s="54" t="s">
        <v>1833</v>
      </c>
      <c r="D430" s="54" t="s">
        <v>59</v>
      </c>
      <c r="E430" s="54" t="s">
        <v>257</v>
      </c>
      <c r="F430" s="55" t="s">
        <v>1834</v>
      </c>
      <c r="G430" s="56">
        <v>43006</v>
      </c>
      <c r="H430" s="54" t="s">
        <v>1835</v>
      </c>
      <c r="I430" s="57">
        <v>43046</v>
      </c>
      <c r="J430" s="54" t="s">
        <v>1</v>
      </c>
      <c r="K430" s="54" t="s">
        <v>81</v>
      </c>
      <c r="L430" s="56"/>
      <c r="M430" s="56"/>
      <c r="N430" s="54"/>
      <c r="O430" s="54"/>
      <c r="P430" s="54"/>
      <c r="Q430" s="54"/>
      <c r="R430" s="54"/>
      <c r="S430" s="54"/>
      <c r="T430" s="54" t="s">
        <v>56</v>
      </c>
      <c r="U430" s="54" t="s">
        <v>56</v>
      </c>
    </row>
    <row r="431" spans="1:21" ht="150" x14ac:dyDescent="0.25">
      <c r="A431" s="53">
        <v>430</v>
      </c>
      <c r="B431" s="54" t="s">
        <v>1836</v>
      </c>
      <c r="C431" s="54" t="s">
        <v>1837</v>
      </c>
      <c r="D431" s="54" t="s">
        <v>59</v>
      </c>
      <c r="E431" s="54" t="s">
        <v>257</v>
      </c>
      <c r="F431" s="55" t="s">
        <v>1838</v>
      </c>
      <c r="G431" s="56">
        <v>43027</v>
      </c>
      <c r="H431" s="54" t="s">
        <v>1839</v>
      </c>
      <c r="I431" s="57">
        <v>43046</v>
      </c>
      <c r="J431" s="54" t="s">
        <v>500</v>
      </c>
      <c r="K431" s="54" t="s">
        <v>81</v>
      </c>
      <c r="L431" s="56"/>
      <c r="M431" s="56"/>
      <c r="N431" s="54"/>
      <c r="O431" s="54"/>
      <c r="P431" s="54"/>
      <c r="Q431" s="54"/>
      <c r="R431" s="54"/>
      <c r="S431" s="54"/>
      <c r="T431" s="54" t="s">
        <v>56</v>
      </c>
      <c r="U431" s="54" t="s">
        <v>56</v>
      </c>
    </row>
    <row r="432" spans="1:21" ht="100" x14ac:dyDescent="0.25">
      <c r="A432" s="53">
        <v>431</v>
      </c>
      <c r="B432" s="54" t="s">
        <v>1840</v>
      </c>
      <c r="C432" s="54" t="s">
        <v>1841</v>
      </c>
      <c r="D432" s="54" t="s">
        <v>59</v>
      </c>
      <c r="E432" s="54" t="s">
        <v>257</v>
      </c>
      <c r="F432" s="55" t="s">
        <v>1842</v>
      </c>
      <c r="G432" s="56">
        <v>42600.755543981497</v>
      </c>
      <c r="H432" s="54" t="s">
        <v>1843</v>
      </c>
      <c r="I432" s="57">
        <v>42657</v>
      </c>
      <c r="J432" s="54" t="s">
        <v>999</v>
      </c>
      <c r="K432" s="54" t="s">
        <v>55</v>
      </c>
      <c r="L432" s="56"/>
      <c r="M432" s="56"/>
      <c r="N432" s="58"/>
      <c r="O432" s="58"/>
      <c r="P432" s="58"/>
      <c r="Q432" s="59"/>
      <c r="R432" s="58"/>
      <c r="S432" s="58"/>
      <c r="T432" s="54" t="s">
        <v>56</v>
      </c>
      <c r="U432" s="54" t="s">
        <v>56</v>
      </c>
    </row>
    <row r="433" spans="1:21" ht="100" x14ac:dyDescent="0.25">
      <c r="A433" s="53">
        <v>432</v>
      </c>
      <c r="B433" s="54" t="s">
        <v>1844</v>
      </c>
      <c r="C433" s="54" t="s">
        <v>1845</v>
      </c>
      <c r="D433" s="54" t="s">
        <v>50</v>
      </c>
      <c r="E433" s="54" t="s">
        <v>257</v>
      </c>
      <c r="F433" s="55" t="s">
        <v>1846</v>
      </c>
      <c r="G433" s="56">
        <v>43307</v>
      </c>
      <c r="H433" s="54" t="s">
        <v>1847</v>
      </c>
      <c r="I433" s="57">
        <v>43438</v>
      </c>
      <c r="J433" s="54" t="s">
        <v>54</v>
      </c>
      <c r="K433" s="54" t="s">
        <v>55</v>
      </c>
      <c r="L433" s="56"/>
      <c r="M433" s="56"/>
      <c r="N433" s="54"/>
      <c r="O433" s="54"/>
      <c r="P433" s="54"/>
      <c r="Q433" s="54"/>
      <c r="R433" s="54"/>
      <c r="S433" s="54"/>
      <c r="T433" s="54" t="s">
        <v>56</v>
      </c>
      <c r="U433" s="54" t="s">
        <v>56</v>
      </c>
    </row>
    <row r="434" spans="1:21" ht="100" x14ac:dyDescent="0.25">
      <c r="A434" s="53">
        <v>433</v>
      </c>
      <c r="B434" s="54" t="s">
        <v>1848</v>
      </c>
      <c r="C434" s="54" t="s">
        <v>1849</v>
      </c>
      <c r="D434" s="54" t="s">
        <v>50</v>
      </c>
      <c r="E434" s="54" t="s">
        <v>257</v>
      </c>
      <c r="F434" s="55" t="s">
        <v>1850</v>
      </c>
      <c r="G434" s="56">
        <v>42685</v>
      </c>
      <c r="H434" s="54" t="s">
        <v>1851</v>
      </c>
      <c r="I434" s="57">
        <v>42713</v>
      </c>
      <c r="J434" s="54" t="s">
        <v>54</v>
      </c>
      <c r="K434" s="54" t="s">
        <v>55</v>
      </c>
      <c r="L434" s="56"/>
      <c r="M434" s="56"/>
      <c r="N434" s="58"/>
      <c r="O434" s="58"/>
      <c r="P434" s="58"/>
      <c r="Q434" s="59"/>
      <c r="R434" s="58"/>
      <c r="S434" s="58"/>
      <c r="T434" s="54" t="s">
        <v>56</v>
      </c>
      <c r="U434" s="54" t="s">
        <v>56</v>
      </c>
    </row>
    <row r="435" spans="1:21" ht="150" x14ac:dyDescent="0.25">
      <c r="A435" s="53">
        <v>434</v>
      </c>
      <c r="B435" s="54" t="s">
        <v>1852</v>
      </c>
      <c r="C435" s="54" t="s">
        <v>1853</v>
      </c>
      <c r="D435" s="54" t="s">
        <v>59</v>
      </c>
      <c r="E435" s="54" t="s">
        <v>257</v>
      </c>
      <c r="F435" s="55" t="s">
        <v>1854</v>
      </c>
      <c r="G435" s="56">
        <v>42600.755451388897</v>
      </c>
      <c r="H435" s="54" t="s">
        <v>1855</v>
      </c>
      <c r="I435" s="57">
        <v>42640</v>
      </c>
      <c r="J435" s="54" t="s">
        <v>500</v>
      </c>
      <c r="K435" s="54" t="s">
        <v>55</v>
      </c>
      <c r="L435" s="56"/>
      <c r="M435" s="56"/>
      <c r="N435" s="58"/>
      <c r="O435" s="58"/>
      <c r="P435" s="58"/>
      <c r="Q435" s="59"/>
      <c r="R435" s="58"/>
      <c r="S435" s="58"/>
      <c r="T435" s="54" t="s">
        <v>56</v>
      </c>
      <c r="U435" s="54" t="s">
        <v>56</v>
      </c>
    </row>
    <row r="436" spans="1:21" ht="150" x14ac:dyDescent="0.25">
      <c r="A436" s="53">
        <v>435</v>
      </c>
      <c r="B436" s="54" t="s">
        <v>1856</v>
      </c>
      <c r="C436" s="54" t="s">
        <v>1857</v>
      </c>
      <c r="D436" s="54" t="s">
        <v>59</v>
      </c>
      <c r="E436" s="54" t="s">
        <v>257</v>
      </c>
      <c r="F436" s="55" t="s">
        <v>1858</v>
      </c>
      <c r="G436" s="56">
        <v>42600.7555208333</v>
      </c>
      <c r="H436" s="54" t="s">
        <v>1859</v>
      </c>
      <c r="I436" s="57">
        <v>42640</v>
      </c>
      <c r="J436" s="54" t="s">
        <v>500</v>
      </c>
      <c r="K436" s="54" t="s">
        <v>55</v>
      </c>
      <c r="L436" s="56"/>
      <c r="M436" s="56"/>
      <c r="N436" s="58"/>
      <c r="O436" s="58"/>
      <c r="P436" s="58"/>
      <c r="Q436" s="59"/>
      <c r="R436" s="58"/>
      <c r="S436" s="58"/>
      <c r="T436" s="54" t="s">
        <v>56</v>
      </c>
      <c r="U436" s="54" t="s">
        <v>56</v>
      </c>
    </row>
    <row r="437" spans="1:21" ht="150" x14ac:dyDescent="0.25">
      <c r="A437" s="53">
        <v>436</v>
      </c>
      <c r="B437" s="54" t="s">
        <v>1860</v>
      </c>
      <c r="C437" s="54" t="s">
        <v>1861</v>
      </c>
      <c r="D437" s="54" t="s">
        <v>59</v>
      </c>
      <c r="E437" s="54" t="s">
        <v>257</v>
      </c>
      <c r="F437" s="55" t="s">
        <v>1862</v>
      </c>
      <c r="G437" s="56">
        <v>42600.7555208333</v>
      </c>
      <c r="H437" s="54" t="s">
        <v>1863</v>
      </c>
      <c r="I437" s="57">
        <v>42633</v>
      </c>
      <c r="J437" s="54" t="s">
        <v>500</v>
      </c>
      <c r="K437" s="54" t="s">
        <v>55</v>
      </c>
      <c r="L437" s="56"/>
      <c r="M437" s="56"/>
      <c r="N437" s="58"/>
      <c r="O437" s="58"/>
      <c r="P437" s="58"/>
      <c r="Q437" s="59"/>
      <c r="R437" s="58"/>
      <c r="S437" s="58"/>
      <c r="T437" s="54" t="s">
        <v>56</v>
      </c>
      <c r="U437" s="54" t="s">
        <v>56</v>
      </c>
    </row>
    <row r="438" spans="1:21" ht="150" x14ac:dyDescent="0.25">
      <c r="A438" s="53">
        <v>437</v>
      </c>
      <c r="B438" s="54" t="s">
        <v>1864</v>
      </c>
      <c r="C438" s="54" t="s">
        <v>1865</v>
      </c>
      <c r="D438" s="54" t="s">
        <v>59</v>
      </c>
      <c r="E438" s="54" t="s">
        <v>257</v>
      </c>
      <c r="F438" s="55" t="s">
        <v>1866</v>
      </c>
      <c r="G438" s="56">
        <v>42601.338900463001</v>
      </c>
      <c r="H438" s="54" t="s">
        <v>1867</v>
      </c>
      <c r="I438" s="57">
        <v>42646</v>
      </c>
      <c r="J438" s="54" t="s">
        <v>500</v>
      </c>
      <c r="K438" s="54" t="s">
        <v>55</v>
      </c>
      <c r="L438" s="56"/>
      <c r="M438" s="56"/>
      <c r="N438" s="58"/>
      <c r="O438" s="58"/>
      <c r="P438" s="58"/>
      <c r="Q438" s="59"/>
      <c r="R438" s="58"/>
      <c r="S438" s="58"/>
      <c r="T438" s="54" t="s">
        <v>56</v>
      </c>
      <c r="U438" s="54" t="s">
        <v>56</v>
      </c>
    </row>
    <row r="439" spans="1:21" ht="137.5" x14ac:dyDescent="0.25">
      <c r="A439" s="53">
        <v>438</v>
      </c>
      <c r="B439" s="54" t="s">
        <v>1868</v>
      </c>
      <c r="C439" s="54" t="s">
        <v>1869</v>
      </c>
      <c r="D439" s="54" t="s">
        <v>59</v>
      </c>
      <c r="E439" s="54" t="s">
        <v>257</v>
      </c>
      <c r="F439" s="55" t="s">
        <v>1870</v>
      </c>
      <c r="G439" s="56">
        <v>43000.713576388902</v>
      </c>
      <c r="H439" s="54" t="s">
        <v>1871</v>
      </c>
      <c r="I439" s="57">
        <v>43046</v>
      </c>
      <c r="J439" s="54" t="s">
        <v>1872</v>
      </c>
      <c r="K439" s="54" t="s">
        <v>81</v>
      </c>
      <c r="L439" s="56"/>
      <c r="M439" s="56"/>
      <c r="N439" s="54"/>
      <c r="O439" s="54"/>
      <c r="P439" s="54"/>
      <c r="Q439" s="54"/>
      <c r="R439" s="54"/>
      <c r="S439" s="54"/>
      <c r="T439" s="54" t="s">
        <v>56</v>
      </c>
      <c r="U439" s="54" t="s">
        <v>56</v>
      </c>
    </row>
    <row r="440" spans="1:21" ht="150" x14ac:dyDescent="0.25">
      <c r="A440" s="53">
        <v>439</v>
      </c>
      <c r="B440" s="54" t="s">
        <v>1873</v>
      </c>
      <c r="C440" s="54" t="s">
        <v>1874</v>
      </c>
      <c r="D440" s="54" t="s">
        <v>59</v>
      </c>
      <c r="E440" s="54" t="s">
        <v>257</v>
      </c>
      <c r="F440" s="55" t="s">
        <v>1875</v>
      </c>
      <c r="G440" s="56">
        <v>42600.755532407398</v>
      </c>
      <c r="H440" s="54" t="s">
        <v>1876</v>
      </c>
      <c r="I440" s="57">
        <v>42646</v>
      </c>
      <c r="J440" s="54" t="s">
        <v>500</v>
      </c>
      <c r="K440" s="54" t="s">
        <v>55</v>
      </c>
      <c r="L440" s="56"/>
      <c r="M440" s="56"/>
      <c r="N440" s="58"/>
      <c r="O440" s="58"/>
      <c r="P440" s="58"/>
      <c r="Q440" s="59"/>
      <c r="R440" s="58"/>
      <c r="S440" s="58"/>
      <c r="T440" s="54" t="s">
        <v>56</v>
      </c>
      <c r="U440" s="54" t="s">
        <v>56</v>
      </c>
    </row>
    <row r="441" spans="1:21" ht="150" x14ac:dyDescent="0.25">
      <c r="A441" s="53">
        <v>440</v>
      </c>
      <c r="B441" s="54" t="s">
        <v>1877</v>
      </c>
      <c r="C441" s="54" t="s">
        <v>1878</v>
      </c>
      <c r="D441" s="54" t="s">
        <v>59</v>
      </c>
      <c r="E441" s="54" t="s">
        <v>257</v>
      </c>
      <c r="F441" s="55" t="s">
        <v>1879</v>
      </c>
      <c r="G441" s="56">
        <v>42600.755486111098</v>
      </c>
      <c r="H441" s="54" t="s">
        <v>1880</v>
      </c>
      <c r="I441" s="57">
        <v>42640</v>
      </c>
      <c r="J441" s="54" t="s">
        <v>500</v>
      </c>
      <c r="K441" s="54" t="s">
        <v>55</v>
      </c>
      <c r="L441" s="56"/>
      <c r="M441" s="56"/>
      <c r="N441" s="58"/>
      <c r="O441" s="58"/>
      <c r="P441" s="58"/>
      <c r="Q441" s="59"/>
      <c r="R441" s="58"/>
      <c r="S441" s="58"/>
      <c r="T441" s="54" t="s">
        <v>56</v>
      </c>
      <c r="U441" s="54" t="s">
        <v>56</v>
      </c>
    </row>
    <row r="442" spans="1:21" ht="150" x14ac:dyDescent="0.25">
      <c r="A442" s="53">
        <v>441</v>
      </c>
      <c r="B442" s="54" t="s">
        <v>1881</v>
      </c>
      <c r="C442" s="54" t="s">
        <v>1882</v>
      </c>
      <c r="D442" s="54" t="s">
        <v>59</v>
      </c>
      <c r="E442" s="54" t="s">
        <v>257</v>
      </c>
      <c r="F442" s="55" t="s">
        <v>1883</v>
      </c>
      <c r="G442" s="56">
        <v>42601.338831018496</v>
      </c>
      <c r="H442" s="54" t="s">
        <v>1884</v>
      </c>
      <c r="I442" s="57">
        <v>42640</v>
      </c>
      <c r="J442" s="54" t="s">
        <v>500</v>
      </c>
      <c r="K442" s="54" t="s">
        <v>55</v>
      </c>
      <c r="L442" s="56"/>
      <c r="M442" s="56"/>
      <c r="N442" s="58"/>
      <c r="O442" s="58"/>
      <c r="P442" s="58"/>
      <c r="Q442" s="59"/>
      <c r="R442" s="58"/>
      <c r="S442" s="58"/>
      <c r="T442" s="54" t="s">
        <v>56</v>
      </c>
      <c r="U442" s="54" t="s">
        <v>56</v>
      </c>
    </row>
    <row r="443" spans="1:21" ht="150" x14ac:dyDescent="0.25">
      <c r="A443" s="53">
        <v>442</v>
      </c>
      <c r="B443" s="54" t="s">
        <v>1885</v>
      </c>
      <c r="C443" s="54" t="s">
        <v>1886</v>
      </c>
      <c r="D443" s="54" t="s">
        <v>59</v>
      </c>
      <c r="E443" s="54" t="s">
        <v>257</v>
      </c>
      <c r="F443" s="55" t="s">
        <v>1887</v>
      </c>
      <c r="G443" s="56">
        <v>42601.338865740698</v>
      </c>
      <c r="H443" s="54" t="s">
        <v>1888</v>
      </c>
      <c r="I443" s="57">
        <v>42640</v>
      </c>
      <c r="J443" s="54" t="s">
        <v>500</v>
      </c>
      <c r="K443" s="54" t="s">
        <v>55</v>
      </c>
      <c r="L443" s="56"/>
      <c r="M443" s="56"/>
      <c r="N443" s="58"/>
      <c r="O443" s="58"/>
      <c r="P443" s="58"/>
      <c r="Q443" s="59"/>
      <c r="R443" s="58"/>
      <c r="S443" s="58"/>
      <c r="T443" s="54" t="s">
        <v>56</v>
      </c>
      <c r="U443" s="54" t="s">
        <v>56</v>
      </c>
    </row>
    <row r="444" spans="1:21" ht="100" x14ac:dyDescent="0.25">
      <c r="A444" s="53">
        <v>443</v>
      </c>
      <c r="B444" s="54" t="s">
        <v>1889</v>
      </c>
      <c r="C444" s="54" t="s">
        <v>1890</v>
      </c>
      <c r="D444" s="54" t="s">
        <v>59</v>
      </c>
      <c r="E444" s="54" t="s">
        <v>257</v>
      </c>
      <c r="F444" s="55" t="s">
        <v>1891</v>
      </c>
      <c r="G444" s="56">
        <v>42600.755416666703</v>
      </c>
      <c r="H444" s="54" t="s">
        <v>1892</v>
      </c>
      <c r="I444" s="57">
        <v>42657</v>
      </c>
      <c r="J444" s="54" t="s">
        <v>999</v>
      </c>
      <c r="K444" s="54" t="s">
        <v>55</v>
      </c>
      <c r="L444" s="56"/>
      <c r="M444" s="56"/>
      <c r="N444" s="58"/>
      <c r="O444" s="58"/>
      <c r="P444" s="58"/>
      <c r="Q444" s="59"/>
      <c r="R444" s="58"/>
      <c r="S444" s="58"/>
      <c r="T444" s="54" t="s">
        <v>56</v>
      </c>
      <c r="U444" s="54" t="s">
        <v>56</v>
      </c>
    </row>
    <row r="445" spans="1:21" ht="100" x14ac:dyDescent="0.25">
      <c r="A445" s="53">
        <v>444</v>
      </c>
      <c r="B445" s="54" t="s">
        <v>1893</v>
      </c>
      <c r="C445" s="54" t="s">
        <v>1894</v>
      </c>
      <c r="D445" s="54" t="s">
        <v>59</v>
      </c>
      <c r="E445" s="54" t="s">
        <v>257</v>
      </c>
      <c r="F445" s="55" t="s">
        <v>1895</v>
      </c>
      <c r="G445" s="56">
        <v>42600.755486111098</v>
      </c>
      <c r="H445" s="54" t="s">
        <v>1896</v>
      </c>
      <c r="I445" s="57">
        <v>42641</v>
      </c>
      <c r="J445" s="54" t="s">
        <v>999</v>
      </c>
      <c r="K445" s="54" t="s">
        <v>55</v>
      </c>
      <c r="L445" s="56"/>
      <c r="M445" s="56"/>
      <c r="N445" s="58"/>
      <c r="O445" s="58"/>
      <c r="P445" s="58"/>
      <c r="Q445" s="59"/>
      <c r="R445" s="58"/>
      <c r="S445" s="58"/>
      <c r="T445" s="54" t="s">
        <v>56</v>
      </c>
      <c r="U445" s="54" t="s">
        <v>56</v>
      </c>
    </row>
    <row r="446" spans="1:21" ht="37.5" x14ac:dyDescent="0.25">
      <c r="A446" s="53">
        <v>445</v>
      </c>
      <c r="B446" s="54" t="s">
        <v>1897</v>
      </c>
      <c r="C446" s="54" t="s">
        <v>1898</v>
      </c>
      <c r="D446" s="54" t="s">
        <v>59</v>
      </c>
      <c r="E446" s="54" t="s">
        <v>257</v>
      </c>
      <c r="F446" s="55" t="s">
        <v>1899</v>
      </c>
      <c r="G446" s="56">
        <v>43000</v>
      </c>
      <c r="H446" s="54" t="s">
        <v>1900</v>
      </c>
      <c r="I446" s="57">
        <v>43020</v>
      </c>
      <c r="J446" s="54" t="s">
        <v>986</v>
      </c>
      <c r="K446" s="54" t="s">
        <v>81</v>
      </c>
      <c r="L446" s="56"/>
      <c r="M446" s="56"/>
      <c r="N446" s="54"/>
      <c r="O446" s="54"/>
      <c r="P446" s="54"/>
      <c r="Q446" s="54"/>
      <c r="R446" s="54"/>
      <c r="S446" s="54"/>
      <c r="T446" s="54" t="s">
        <v>56</v>
      </c>
      <c r="U446" s="54" t="s">
        <v>56</v>
      </c>
    </row>
    <row r="447" spans="1:21" ht="137.5" x14ac:dyDescent="0.25">
      <c r="A447" s="53">
        <v>446</v>
      </c>
      <c r="B447" s="54" t="s">
        <v>1901</v>
      </c>
      <c r="C447" s="54" t="s">
        <v>1902</v>
      </c>
      <c r="D447" s="54" t="s">
        <v>59</v>
      </c>
      <c r="E447" s="54" t="s">
        <v>257</v>
      </c>
      <c r="F447" s="55" t="s">
        <v>1903</v>
      </c>
      <c r="G447" s="56">
        <v>43019</v>
      </c>
      <c r="H447" s="54" t="s">
        <v>1904</v>
      </c>
      <c r="I447" s="57">
        <v>43046</v>
      </c>
      <c r="J447" s="54" t="s">
        <v>1905</v>
      </c>
      <c r="K447" s="54" t="s">
        <v>55</v>
      </c>
      <c r="L447" s="56"/>
      <c r="M447" s="56"/>
      <c r="N447" s="54"/>
      <c r="O447" s="54"/>
      <c r="P447" s="54"/>
      <c r="Q447" s="54"/>
      <c r="R447" s="54"/>
      <c r="S447" s="54"/>
      <c r="T447" s="54" t="s">
        <v>56</v>
      </c>
      <c r="U447" s="54" t="s">
        <v>56</v>
      </c>
    </row>
    <row r="448" spans="1:21" ht="137.5" x14ac:dyDescent="0.25">
      <c r="A448" s="53">
        <v>447</v>
      </c>
      <c r="B448" s="54" t="s">
        <v>1906</v>
      </c>
      <c r="C448" s="54" t="s">
        <v>1907</v>
      </c>
      <c r="D448" s="54" t="s">
        <v>59</v>
      </c>
      <c r="E448" s="54" t="s">
        <v>257</v>
      </c>
      <c r="F448" s="55" t="s">
        <v>1908</v>
      </c>
      <c r="G448" s="56">
        <v>42600.755486111098</v>
      </c>
      <c r="H448" s="54" t="s">
        <v>1909</v>
      </c>
      <c r="I448" s="57">
        <v>42647</v>
      </c>
      <c r="J448" s="54" t="s">
        <v>1905</v>
      </c>
      <c r="K448" s="54" t="s">
        <v>55</v>
      </c>
      <c r="L448" s="56"/>
      <c r="M448" s="56"/>
      <c r="N448" s="58"/>
      <c r="O448" s="58"/>
      <c r="P448" s="58"/>
      <c r="Q448" s="59"/>
      <c r="R448" s="58"/>
      <c r="S448" s="58"/>
      <c r="T448" s="54" t="s">
        <v>56</v>
      </c>
      <c r="U448" s="54" t="s">
        <v>56</v>
      </c>
    </row>
    <row r="449" spans="1:21" ht="150" x14ac:dyDescent="0.25">
      <c r="A449" s="53">
        <v>448</v>
      </c>
      <c r="B449" s="54" t="s">
        <v>1910</v>
      </c>
      <c r="C449" s="54" t="s">
        <v>1911</v>
      </c>
      <c r="D449" s="54" t="s">
        <v>59</v>
      </c>
      <c r="E449" s="54" t="s">
        <v>257</v>
      </c>
      <c r="F449" s="55" t="s">
        <v>1912</v>
      </c>
      <c r="G449" s="56">
        <v>42600.755416666703</v>
      </c>
      <c r="H449" s="54" t="s">
        <v>1913</v>
      </c>
      <c r="I449" s="57">
        <v>42647</v>
      </c>
      <c r="J449" s="54" t="s">
        <v>500</v>
      </c>
      <c r="K449" s="54" t="s">
        <v>55</v>
      </c>
      <c r="L449" s="56"/>
      <c r="M449" s="56"/>
      <c r="N449" s="58"/>
      <c r="O449" s="58"/>
      <c r="P449" s="58"/>
      <c r="Q449" s="59"/>
      <c r="R449" s="58"/>
      <c r="S449" s="58"/>
      <c r="T449" s="54" t="s">
        <v>56</v>
      </c>
      <c r="U449" s="54" t="s">
        <v>56</v>
      </c>
    </row>
    <row r="450" spans="1:21" ht="150" x14ac:dyDescent="0.25">
      <c r="A450" s="53">
        <v>449</v>
      </c>
      <c r="B450" s="54" t="s">
        <v>1914</v>
      </c>
      <c r="C450" s="54" t="s">
        <v>1915</v>
      </c>
      <c r="D450" s="54" t="s">
        <v>59</v>
      </c>
      <c r="E450" s="54" t="s">
        <v>257</v>
      </c>
      <c r="F450" s="55" t="s">
        <v>1916</v>
      </c>
      <c r="G450" s="56">
        <v>42600.7555208333</v>
      </c>
      <c r="H450" s="54" t="s">
        <v>1917</v>
      </c>
      <c r="I450" s="57">
        <v>42646</v>
      </c>
      <c r="J450" s="54" t="s">
        <v>500</v>
      </c>
      <c r="K450" s="54" t="s">
        <v>55</v>
      </c>
      <c r="L450" s="56"/>
      <c r="M450" s="56"/>
      <c r="N450" s="58"/>
      <c r="O450" s="58"/>
      <c r="P450" s="58"/>
      <c r="Q450" s="59"/>
      <c r="R450" s="58"/>
      <c r="S450" s="58"/>
      <c r="T450" s="54" t="s">
        <v>56</v>
      </c>
      <c r="U450" s="54" t="s">
        <v>56</v>
      </c>
    </row>
    <row r="451" spans="1:21" ht="150" x14ac:dyDescent="0.25">
      <c r="A451" s="53">
        <v>450</v>
      </c>
      <c r="B451" s="54" t="s">
        <v>1918</v>
      </c>
      <c r="C451" s="54" t="s">
        <v>1919</v>
      </c>
      <c r="D451" s="54" t="s">
        <v>59</v>
      </c>
      <c r="E451" s="54" t="s">
        <v>257</v>
      </c>
      <c r="F451" s="55" t="s">
        <v>1920</v>
      </c>
      <c r="G451" s="56">
        <v>42689</v>
      </c>
      <c r="H451" s="54" t="s">
        <v>1921</v>
      </c>
      <c r="I451" s="57">
        <v>42754</v>
      </c>
      <c r="J451" s="54" t="s">
        <v>500</v>
      </c>
      <c r="K451" s="54" t="s">
        <v>55</v>
      </c>
      <c r="L451" s="56"/>
      <c r="M451" s="56"/>
      <c r="N451" s="58"/>
      <c r="O451" s="58"/>
      <c r="P451" s="58"/>
      <c r="Q451" s="59"/>
      <c r="R451" s="58"/>
      <c r="S451" s="58"/>
      <c r="T451" s="54" t="s">
        <v>56</v>
      </c>
      <c r="U451" s="54" t="s">
        <v>56</v>
      </c>
    </row>
    <row r="452" spans="1:21" ht="150" x14ac:dyDescent="0.25">
      <c r="A452" s="53">
        <v>451</v>
      </c>
      <c r="B452" s="54" t="s">
        <v>1922</v>
      </c>
      <c r="C452" s="54" t="s">
        <v>1923</v>
      </c>
      <c r="D452" s="54" t="s">
        <v>59</v>
      </c>
      <c r="E452" s="54" t="s">
        <v>257</v>
      </c>
      <c r="F452" s="55" t="s">
        <v>1924</v>
      </c>
      <c r="G452" s="56">
        <v>42605.041736111103</v>
      </c>
      <c r="H452" s="54" t="s">
        <v>1925</v>
      </c>
      <c r="I452" s="57">
        <v>42640</v>
      </c>
      <c r="J452" s="54" t="s">
        <v>500</v>
      </c>
      <c r="K452" s="54" t="s">
        <v>55</v>
      </c>
      <c r="L452" s="56"/>
      <c r="M452" s="56"/>
      <c r="N452" s="58"/>
      <c r="O452" s="58"/>
      <c r="P452" s="58"/>
      <c r="Q452" s="59"/>
      <c r="R452" s="58"/>
      <c r="S452" s="58"/>
      <c r="T452" s="54" t="s">
        <v>56</v>
      </c>
      <c r="U452" s="54" t="s">
        <v>56</v>
      </c>
    </row>
    <row r="453" spans="1:21" ht="150" x14ac:dyDescent="0.25">
      <c r="A453" s="53">
        <v>452</v>
      </c>
      <c r="B453" s="54" t="s">
        <v>1926</v>
      </c>
      <c r="C453" s="54" t="s">
        <v>1927</v>
      </c>
      <c r="D453" s="54" t="s">
        <v>59</v>
      </c>
      <c r="E453" s="54" t="s">
        <v>257</v>
      </c>
      <c r="F453" s="55" t="s">
        <v>1928</v>
      </c>
      <c r="G453" s="56">
        <v>43012</v>
      </c>
      <c r="H453" s="54" t="s">
        <v>1929</v>
      </c>
      <c r="I453" s="57">
        <v>43046</v>
      </c>
      <c r="J453" s="54" t="s">
        <v>500</v>
      </c>
      <c r="K453" s="54" t="s">
        <v>55</v>
      </c>
      <c r="L453" s="56"/>
      <c r="M453" s="56"/>
      <c r="N453" s="54"/>
      <c r="O453" s="54"/>
      <c r="P453" s="54"/>
      <c r="Q453" s="54"/>
      <c r="R453" s="54"/>
      <c r="S453" s="54"/>
      <c r="T453" s="54" t="s">
        <v>1146</v>
      </c>
      <c r="U453" s="54" t="s">
        <v>501</v>
      </c>
    </row>
    <row r="454" spans="1:21" ht="100" x14ac:dyDescent="0.25">
      <c r="A454" s="53">
        <v>453</v>
      </c>
      <c r="B454" s="54" t="s">
        <v>1930</v>
      </c>
      <c r="C454" s="54" t="s">
        <v>1931</v>
      </c>
      <c r="D454" s="54" t="s">
        <v>173</v>
      </c>
      <c r="E454" s="54" t="s">
        <v>257</v>
      </c>
      <c r="F454" s="55" t="s">
        <v>1932</v>
      </c>
      <c r="G454" s="56">
        <v>42685</v>
      </c>
      <c r="H454" s="54" t="s">
        <v>1933</v>
      </c>
      <c r="I454" s="57">
        <v>42754</v>
      </c>
      <c r="J454" s="54" t="s">
        <v>54</v>
      </c>
      <c r="K454" s="54" t="s">
        <v>55</v>
      </c>
      <c r="L454" s="56"/>
      <c r="M454" s="56"/>
      <c r="N454" s="58"/>
      <c r="O454" s="58"/>
      <c r="P454" s="58" t="s">
        <v>1934</v>
      </c>
      <c r="Q454" s="59">
        <v>43249</v>
      </c>
      <c r="R454" s="54" t="s">
        <v>179</v>
      </c>
      <c r="S454" s="58" t="s">
        <v>56</v>
      </c>
      <c r="T454" s="54" t="s">
        <v>56</v>
      </c>
      <c r="U454" s="54" t="s">
        <v>56</v>
      </c>
    </row>
    <row r="455" spans="1:21" ht="150" x14ac:dyDescent="0.25">
      <c r="A455" s="53">
        <v>454</v>
      </c>
      <c r="B455" s="54" t="s">
        <v>1935</v>
      </c>
      <c r="C455" s="54" t="s">
        <v>1936</v>
      </c>
      <c r="D455" s="54" t="s">
        <v>59</v>
      </c>
      <c r="E455" s="54" t="s">
        <v>257</v>
      </c>
      <c r="F455" s="55" t="s">
        <v>1937</v>
      </c>
      <c r="G455" s="56">
        <v>42600.755439814799</v>
      </c>
      <c r="H455" s="54" t="s">
        <v>1938</v>
      </c>
      <c r="I455" s="57">
        <v>42642</v>
      </c>
      <c r="J455" s="54" t="s">
        <v>500</v>
      </c>
      <c r="K455" s="54" t="s">
        <v>55</v>
      </c>
      <c r="L455" s="56"/>
      <c r="M455" s="56"/>
      <c r="N455" s="58"/>
      <c r="O455" s="58"/>
      <c r="P455" s="58"/>
      <c r="Q455" s="59"/>
      <c r="R455" s="58"/>
      <c r="S455" s="58"/>
      <c r="T455" s="54" t="s">
        <v>56</v>
      </c>
      <c r="U455" s="54" t="s">
        <v>56</v>
      </c>
    </row>
    <row r="456" spans="1:21" ht="125" x14ac:dyDescent="0.25">
      <c r="A456" s="53">
        <v>455</v>
      </c>
      <c r="B456" s="54" t="s">
        <v>1939</v>
      </c>
      <c r="C456" s="54" t="s">
        <v>1940</v>
      </c>
      <c r="D456" s="54" t="s">
        <v>59</v>
      </c>
      <c r="E456" s="54" t="s">
        <v>257</v>
      </c>
      <c r="F456" s="55" t="s">
        <v>1941</v>
      </c>
      <c r="G456" s="56">
        <v>42929</v>
      </c>
      <c r="H456" s="54" t="s">
        <v>1942</v>
      </c>
      <c r="I456" s="57">
        <v>43021</v>
      </c>
      <c r="J456" s="54" t="s">
        <v>80</v>
      </c>
      <c r="K456" s="54" t="s">
        <v>55</v>
      </c>
      <c r="L456" s="56"/>
      <c r="M456" s="56"/>
      <c r="N456" s="54"/>
      <c r="O456" s="54"/>
      <c r="P456" s="54"/>
      <c r="Q456" s="54"/>
      <c r="R456" s="54"/>
      <c r="S456" s="54"/>
      <c r="T456" s="54" t="s">
        <v>1146</v>
      </c>
      <c r="U456" s="54" t="s">
        <v>501</v>
      </c>
    </row>
    <row r="457" spans="1:21" ht="37.5" x14ac:dyDescent="0.25">
      <c r="A457" s="53">
        <v>456</v>
      </c>
      <c r="B457" s="54" t="s">
        <v>1943</v>
      </c>
      <c r="C457" s="54" t="s">
        <v>1944</v>
      </c>
      <c r="D457" s="54" t="s">
        <v>59</v>
      </c>
      <c r="E457" s="54" t="s">
        <v>257</v>
      </c>
      <c r="F457" s="55" t="s">
        <v>1945</v>
      </c>
      <c r="G457" s="56">
        <v>43210</v>
      </c>
      <c r="H457" s="54" t="s">
        <v>1946</v>
      </c>
      <c r="I457" s="86">
        <v>43224</v>
      </c>
      <c r="J457" s="54" t="s">
        <v>986</v>
      </c>
      <c r="K457" s="54" t="s">
        <v>81</v>
      </c>
      <c r="L457" s="56"/>
      <c r="M457" s="56"/>
      <c r="N457" s="54"/>
      <c r="O457" s="54"/>
      <c r="P457" s="54"/>
      <c r="Q457" s="54"/>
      <c r="R457" s="54"/>
      <c r="S457" s="54"/>
      <c r="T457" s="54" t="s">
        <v>56</v>
      </c>
      <c r="U457" s="54" t="s">
        <v>56</v>
      </c>
    </row>
    <row r="458" spans="1:21" ht="137.5" x14ac:dyDescent="0.25">
      <c r="A458" s="53">
        <v>457</v>
      </c>
      <c r="B458" s="54" t="s">
        <v>1947</v>
      </c>
      <c r="C458" s="54" t="s">
        <v>1948</v>
      </c>
      <c r="D458" s="54" t="s">
        <v>59</v>
      </c>
      <c r="E458" s="54" t="s">
        <v>257</v>
      </c>
      <c r="F458" s="55" t="s">
        <v>1949</v>
      </c>
      <c r="G458" s="56">
        <v>42685</v>
      </c>
      <c r="H458" s="54" t="s">
        <v>1950</v>
      </c>
      <c r="I458" s="57">
        <v>42754</v>
      </c>
      <c r="J458" s="54" t="s">
        <v>920</v>
      </c>
      <c r="K458" s="54" t="s">
        <v>55</v>
      </c>
      <c r="L458" s="56"/>
      <c r="M458" s="56"/>
      <c r="N458" s="58"/>
      <c r="O458" s="58"/>
      <c r="P458" s="58"/>
      <c r="Q458" s="59"/>
      <c r="R458" s="58"/>
      <c r="S458" s="58"/>
      <c r="T458" s="54" t="s">
        <v>56</v>
      </c>
      <c r="U458" s="54" t="s">
        <v>56</v>
      </c>
    </row>
    <row r="459" spans="1:21" ht="125" x14ac:dyDescent="0.25">
      <c r="A459" s="53">
        <v>458</v>
      </c>
      <c r="B459" s="54" t="s">
        <v>1951</v>
      </c>
      <c r="C459" s="54" t="s">
        <v>1952</v>
      </c>
      <c r="D459" s="54" t="s">
        <v>59</v>
      </c>
      <c r="E459" s="54" t="s">
        <v>257</v>
      </c>
      <c r="F459" s="55" t="s">
        <v>1953</v>
      </c>
      <c r="G459" s="56">
        <v>42601.338935185202</v>
      </c>
      <c r="H459" s="54" t="s">
        <v>1954</v>
      </c>
      <c r="I459" s="57">
        <v>42640</v>
      </c>
      <c r="J459" s="54" t="s">
        <v>80</v>
      </c>
      <c r="K459" s="54" t="s">
        <v>55</v>
      </c>
      <c r="L459" s="56"/>
      <c r="M459" s="56"/>
      <c r="N459" s="58"/>
      <c r="O459" s="58"/>
      <c r="P459" s="58"/>
      <c r="Q459" s="59"/>
      <c r="R459" s="58"/>
      <c r="S459" s="58"/>
      <c r="T459" s="54" t="s">
        <v>56</v>
      </c>
      <c r="U459" s="54" t="s">
        <v>56</v>
      </c>
    </row>
    <row r="460" spans="1:21" ht="37.5" x14ac:dyDescent="0.25">
      <c r="A460" s="53">
        <v>459</v>
      </c>
      <c r="B460" s="54" t="s">
        <v>1955</v>
      </c>
      <c r="C460" s="54" t="s">
        <v>1956</v>
      </c>
      <c r="D460" s="54" t="s">
        <v>59</v>
      </c>
      <c r="E460" s="54" t="s">
        <v>257</v>
      </c>
      <c r="F460" s="55" t="s">
        <v>1957</v>
      </c>
      <c r="G460" s="56">
        <v>43000</v>
      </c>
      <c r="H460" s="54" t="s">
        <v>1958</v>
      </c>
      <c r="I460" s="57">
        <v>43020</v>
      </c>
      <c r="J460" s="54" t="s">
        <v>986</v>
      </c>
      <c r="K460" s="54" t="s">
        <v>55</v>
      </c>
      <c r="L460" s="56"/>
      <c r="M460" s="56"/>
      <c r="N460" s="54"/>
      <c r="O460" s="54"/>
      <c r="P460" s="54"/>
      <c r="Q460" s="54"/>
      <c r="R460" s="54"/>
      <c r="S460" s="54"/>
      <c r="T460" s="54" t="s">
        <v>56</v>
      </c>
      <c r="U460" s="54" t="s">
        <v>56</v>
      </c>
    </row>
    <row r="461" spans="1:21" ht="125" x14ac:dyDescent="0.25">
      <c r="A461" s="53">
        <v>460</v>
      </c>
      <c r="B461" s="54" t="s">
        <v>1959</v>
      </c>
      <c r="C461" s="54" t="s">
        <v>1960</v>
      </c>
      <c r="D461" s="54" t="s">
        <v>59</v>
      </c>
      <c r="E461" s="54" t="s">
        <v>257</v>
      </c>
      <c r="F461" s="55" t="s">
        <v>1961</v>
      </c>
      <c r="G461" s="56">
        <v>42601.338912036997</v>
      </c>
      <c r="H461" s="54" t="s">
        <v>1962</v>
      </c>
      <c r="I461" s="57">
        <v>42657</v>
      </c>
      <c r="J461" s="54" t="s">
        <v>80</v>
      </c>
      <c r="K461" s="54" t="s">
        <v>55</v>
      </c>
      <c r="L461" s="56"/>
      <c r="M461" s="56"/>
      <c r="N461" s="58"/>
      <c r="O461" s="58"/>
      <c r="P461" s="58"/>
      <c r="Q461" s="59"/>
      <c r="R461" s="58"/>
      <c r="S461" s="58"/>
      <c r="T461" s="54" t="s">
        <v>56</v>
      </c>
      <c r="U461" s="54" t="s">
        <v>56</v>
      </c>
    </row>
    <row r="462" spans="1:21" ht="125" x14ac:dyDescent="0.25">
      <c r="A462" s="53">
        <v>461</v>
      </c>
      <c r="B462" s="54" t="s">
        <v>1963</v>
      </c>
      <c r="C462" s="54" t="s">
        <v>1964</v>
      </c>
      <c r="D462" s="54" t="s">
        <v>59</v>
      </c>
      <c r="E462" s="54" t="s">
        <v>257</v>
      </c>
      <c r="F462" s="55" t="s">
        <v>1965</v>
      </c>
      <c r="G462" s="56">
        <v>42600.755497685197</v>
      </c>
      <c r="H462" s="54" t="s">
        <v>1966</v>
      </c>
      <c r="I462" s="57">
        <v>42640</v>
      </c>
      <c r="J462" s="54" t="s">
        <v>80</v>
      </c>
      <c r="K462" s="54" t="s">
        <v>55</v>
      </c>
      <c r="L462" s="56"/>
      <c r="M462" s="56"/>
      <c r="N462" s="58"/>
      <c r="O462" s="58"/>
      <c r="P462" s="58"/>
      <c r="Q462" s="59"/>
      <c r="R462" s="58"/>
      <c r="S462" s="58"/>
      <c r="T462" s="54" t="s">
        <v>56</v>
      </c>
      <c r="U462" s="54" t="s">
        <v>56</v>
      </c>
    </row>
    <row r="463" spans="1:21" ht="125" x14ac:dyDescent="0.25">
      <c r="A463" s="53">
        <v>462</v>
      </c>
      <c r="B463" s="54" t="s">
        <v>1967</v>
      </c>
      <c r="C463" s="54" t="s">
        <v>1968</v>
      </c>
      <c r="D463" s="54" t="s">
        <v>59</v>
      </c>
      <c r="E463" s="54" t="s">
        <v>257</v>
      </c>
      <c r="F463" s="55" t="s">
        <v>1969</v>
      </c>
      <c r="G463" s="56">
        <v>42600.755451388897</v>
      </c>
      <c r="H463" s="54" t="s">
        <v>1970</v>
      </c>
      <c r="I463" s="57">
        <v>42640</v>
      </c>
      <c r="J463" s="54" t="s">
        <v>80</v>
      </c>
      <c r="K463" s="54" t="s">
        <v>81</v>
      </c>
      <c r="L463" s="56"/>
      <c r="M463" s="56"/>
      <c r="N463" s="58"/>
      <c r="O463" s="58"/>
      <c r="P463" s="58"/>
      <c r="Q463" s="59"/>
      <c r="R463" s="58"/>
      <c r="S463" s="58"/>
      <c r="T463" s="54" t="s">
        <v>56</v>
      </c>
      <c r="U463" s="54" t="s">
        <v>56</v>
      </c>
    </row>
    <row r="464" spans="1:21" ht="125" x14ac:dyDescent="0.25">
      <c r="A464" s="53">
        <v>463</v>
      </c>
      <c r="B464" s="54" t="s">
        <v>1971</v>
      </c>
      <c r="C464" s="54" t="s">
        <v>1972</v>
      </c>
      <c r="D464" s="54" t="s">
        <v>59</v>
      </c>
      <c r="E464" s="54" t="s">
        <v>257</v>
      </c>
      <c r="F464" s="55" t="s">
        <v>1973</v>
      </c>
      <c r="G464" s="56">
        <v>42600.755405092597</v>
      </c>
      <c r="H464" s="54" t="s">
        <v>1974</v>
      </c>
      <c r="I464" s="57">
        <v>42640</v>
      </c>
      <c r="J464" s="54" t="s">
        <v>80</v>
      </c>
      <c r="K464" s="54" t="s">
        <v>55</v>
      </c>
      <c r="L464" s="56"/>
      <c r="M464" s="56"/>
      <c r="N464" s="58"/>
      <c r="O464" s="58"/>
      <c r="P464" s="58"/>
      <c r="Q464" s="59"/>
      <c r="R464" s="58"/>
      <c r="S464" s="58"/>
      <c r="T464" s="54" t="s">
        <v>56</v>
      </c>
      <c r="U464" s="54" t="s">
        <v>56</v>
      </c>
    </row>
    <row r="465" spans="1:21" ht="100" x14ac:dyDescent="0.25">
      <c r="A465" s="53">
        <v>464</v>
      </c>
      <c r="B465" s="54" t="s">
        <v>1975</v>
      </c>
      <c r="C465" s="54" t="s">
        <v>1976</v>
      </c>
      <c r="D465" s="54" t="s">
        <v>59</v>
      </c>
      <c r="E465" s="54" t="s">
        <v>257</v>
      </c>
      <c r="F465" s="55" t="s">
        <v>1977</v>
      </c>
      <c r="G465" s="56">
        <v>42601.338865740698</v>
      </c>
      <c r="H465" s="54" t="s">
        <v>1978</v>
      </c>
      <c r="I465" s="57">
        <v>42657</v>
      </c>
      <c r="J465" s="54" t="s">
        <v>999</v>
      </c>
      <c r="K465" s="54" t="s">
        <v>55</v>
      </c>
      <c r="L465" s="56"/>
      <c r="M465" s="56"/>
      <c r="N465" s="58"/>
      <c r="O465" s="58"/>
      <c r="P465" s="58"/>
      <c r="Q465" s="59"/>
      <c r="R465" s="58"/>
      <c r="S465" s="58"/>
      <c r="T465" s="54" t="s">
        <v>56</v>
      </c>
      <c r="U465" s="54" t="s">
        <v>56</v>
      </c>
    </row>
    <row r="466" spans="1:21" ht="137.5" x14ac:dyDescent="0.25">
      <c r="A466" s="53">
        <v>465</v>
      </c>
      <c r="B466" s="54" t="s">
        <v>1979</v>
      </c>
      <c r="C466" s="54" t="s">
        <v>1980</v>
      </c>
      <c r="D466" s="54" t="s">
        <v>59</v>
      </c>
      <c r="E466" s="54" t="s">
        <v>257</v>
      </c>
      <c r="F466" s="55" t="s">
        <v>1981</v>
      </c>
      <c r="G466" s="56">
        <v>43053</v>
      </c>
      <c r="H466" s="54" t="s">
        <v>1982</v>
      </c>
      <c r="I466" s="57">
        <v>43066</v>
      </c>
      <c r="J466" s="54" t="s">
        <v>965</v>
      </c>
      <c r="K466" s="54" t="s">
        <v>81</v>
      </c>
      <c r="L466" s="56"/>
      <c r="M466" s="56"/>
      <c r="N466" s="54"/>
      <c r="O466" s="54"/>
      <c r="P466" s="54"/>
      <c r="Q466" s="54"/>
      <c r="R466" s="54"/>
      <c r="S466" s="54"/>
      <c r="T466" s="54" t="s">
        <v>56</v>
      </c>
      <c r="U466" s="54" t="s">
        <v>56</v>
      </c>
    </row>
    <row r="467" spans="1:21" ht="37.5" x14ac:dyDescent="0.25">
      <c r="A467" s="53">
        <v>466</v>
      </c>
      <c r="B467" s="54" t="s">
        <v>1983</v>
      </c>
      <c r="C467" s="64" t="s">
        <v>1984</v>
      </c>
      <c r="D467" s="54" t="s">
        <v>59</v>
      </c>
      <c r="E467" s="54" t="s">
        <v>257</v>
      </c>
      <c r="F467" s="65" t="s">
        <v>1985</v>
      </c>
      <c r="G467" s="66">
        <v>43511</v>
      </c>
      <c r="H467" s="64" t="s">
        <v>1986</v>
      </c>
      <c r="I467" s="67">
        <v>43690</v>
      </c>
      <c r="J467" s="64" t="s">
        <v>986</v>
      </c>
      <c r="K467" s="54" t="s">
        <v>55</v>
      </c>
      <c r="L467" s="56"/>
      <c r="M467" s="56"/>
      <c r="N467" s="54"/>
      <c r="O467" s="54"/>
      <c r="P467" s="54"/>
      <c r="Q467" s="54"/>
      <c r="R467" s="54"/>
      <c r="S467" s="54"/>
      <c r="T467" s="54" t="s">
        <v>56</v>
      </c>
      <c r="U467" s="54" t="s">
        <v>56</v>
      </c>
    </row>
    <row r="468" spans="1:21" ht="100" x14ac:dyDescent="0.25">
      <c r="A468" s="53">
        <v>467</v>
      </c>
      <c r="B468" s="54" t="s">
        <v>1987</v>
      </c>
      <c r="C468" s="54" t="s">
        <v>1988</v>
      </c>
      <c r="D468" s="54" t="s">
        <v>50</v>
      </c>
      <c r="E468" s="54" t="s">
        <v>257</v>
      </c>
      <c r="F468" s="55" t="s">
        <v>1989</v>
      </c>
      <c r="G468" s="56">
        <v>43010</v>
      </c>
      <c r="H468" s="54" t="s">
        <v>1990</v>
      </c>
      <c r="I468" s="57">
        <v>43038</v>
      </c>
      <c r="J468" s="54" t="s">
        <v>54</v>
      </c>
      <c r="K468" s="54" t="s">
        <v>55</v>
      </c>
      <c r="L468" s="56"/>
      <c r="M468" s="56"/>
      <c r="N468" s="54"/>
      <c r="O468" s="54"/>
      <c r="P468" s="54"/>
      <c r="Q468" s="54"/>
      <c r="R468" s="54"/>
      <c r="S468" s="54"/>
      <c r="T468" s="54" t="s">
        <v>56</v>
      </c>
      <c r="U468" s="54" t="s">
        <v>56</v>
      </c>
    </row>
    <row r="469" spans="1:21" ht="137.5" x14ac:dyDescent="0.25">
      <c r="A469" s="53">
        <v>468</v>
      </c>
      <c r="B469" s="54" t="s">
        <v>1991</v>
      </c>
      <c r="C469" s="54" t="s">
        <v>1992</v>
      </c>
      <c r="D469" s="54" t="s">
        <v>59</v>
      </c>
      <c r="E469" s="54" t="s">
        <v>257</v>
      </c>
      <c r="F469" s="55" t="s">
        <v>1993</v>
      </c>
      <c r="G469" s="56">
        <v>42600.755416666703</v>
      </c>
      <c r="H469" s="54" t="s">
        <v>1994</v>
      </c>
      <c r="I469" s="57">
        <v>42640</v>
      </c>
      <c r="J469" s="54" t="s">
        <v>965</v>
      </c>
      <c r="K469" s="54" t="s">
        <v>55</v>
      </c>
      <c r="L469" s="56"/>
      <c r="M469" s="56"/>
      <c r="N469" s="58"/>
      <c r="O469" s="58"/>
      <c r="P469" s="58"/>
      <c r="Q469" s="59"/>
      <c r="R469" s="58"/>
      <c r="S469" s="58"/>
      <c r="T469" s="54" t="s">
        <v>56</v>
      </c>
      <c r="U469" s="54" t="s">
        <v>56</v>
      </c>
    </row>
    <row r="470" spans="1:21" ht="137.5" x14ac:dyDescent="0.25">
      <c r="A470" s="53">
        <v>469</v>
      </c>
      <c r="B470" s="54" t="s">
        <v>1995</v>
      </c>
      <c r="C470" s="54" t="s">
        <v>1996</v>
      </c>
      <c r="D470" s="54" t="s">
        <v>59</v>
      </c>
      <c r="E470" s="54" t="s">
        <v>257</v>
      </c>
      <c r="F470" s="55" t="s">
        <v>1997</v>
      </c>
      <c r="G470" s="56">
        <v>42601.338946759301</v>
      </c>
      <c r="H470" s="54" t="s">
        <v>1998</v>
      </c>
      <c r="I470" s="57">
        <v>42640</v>
      </c>
      <c r="J470" s="54" t="s">
        <v>965</v>
      </c>
      <c r="K470" s="54" t="s">
        <v>55</v>
      </c>
      <c r="L470" s="56"/>
      <c r="M470" s="56"/>
      <c r="N470" s="58"/>
      <c r="O470" s="58"/>
      <c r="P470" s="58"/>
      <c r="Q470" s="59"/>
      <c r="R470" s="58"/>
      <c r="S470" s="58"/>
      <c r="T470" s="54" t="s">
        <v>56</v>
      </c>
      <c r="U470" s="54" t="s">
        <v>56</v>
      </c>
    </row>
    <row r="471" spans="1:21" ht="137.5" x14ac:dyDescent="0.25">
      <c r="A471" s="53">
        <v>470</v>
      </c>
      <c r="B471" s="54" t="s">
        <v>1999</v>
      </c>
      <c r="C471" s="54" t="s">
        <v>2000</v>
      </c>
      <c r="D471" s="54" t="s">
        <v>59</v>
      </c>
      <c r="E471" s="54" t="s">
        <v>257</v>
      </c>
      <c r="F471" s="55" t="s">
        <v>2001</v>
      </c>
      <c r="G471" s="56">
        <v>42685</v>
      </c>
      <c r="H471" s="54" t="s">
        <v>2002</v>
      </c>
      <c r="I471" s="57">
        <v>42754</v>
      </c>
      <c r="J471" s="54" t="s">
        <v>920</v>
      </c>
      <c r="K471" s="54" t="s">
        <v>55</v>
      </c>
      <c r="L471" s="56"/>
      <c r="M471" s="56"/>
      <c r="N471" s="58"/>
      <c r="O471" s="58"/>
      <c r="P471" s="58"/>
      <c r="Q471" s="59"/>
      <c r="R471" s="58"/>
      <c r="S471" s="58"/>
      <c r="T471" s="54" t="s">
        <v>56</v>
      </c>
      <c r="U471" s="54" t="s">
        <v>56</v>
      </c>
    </row>
    <row r="472" spans="1:21" ht="137.5" x14ac:dyDescent="0.25">
      <c r="A472" s="53">
        <v>471</v>
      </c>
      <c r="B472" s="54" t="s">
        <v>2003</v>
      </c>
      <c r="C472" s="54" t="s">
        <v>2004</v>
      </c>
      <c r="D472" s="54" t="s">
        <v>59</v>
      </c>
      <c r="E472" s="54" t="s">
        <v>257</v>
      </c>
      <c r="F472" s="55" t="s">
        <v>2005</v>
      </c>
      <c r="G472" s="56">
        <v>43019</v>
      </c>
      <c r="H472" s="54" t="s">
        <v>2006</v>
      </c>
      <c r="I472" s="57">
        <v>43046</v>
      </c>
      <c r="J472" s="54" t="s">
        <v>1905</v>
      </c>
      <c r="K472" s="54" t="s">
        <v>55</v>
      </c>
      <c r="L472" s="56"/>
      <c r="M472" s="56"/>
      <c r="N472" s="54"/>
      <c r="O472" s="54"/>
      <c r="P472" s="54"/>
      <c r="Q472" s="54"/>
      <c r="R472" s="54"/>
      <c r="S472" s="54"/>
      <c r="T472" s="54" t="s">
        <v>56</v>
      </c>
      <c r="U472" s="54" t="s">
        <v>56</v>
      </c>
    </row>
    <row r="473" spans="1:21" ht="125" x14ac:dyDescent="0.25">
      <c r="A473" s="53">
        <v>472</v>
      </c>
      <c r="B473" s="54" t="s">
        <v>2007</v>
      </c>
      <c r="C473" s="54" t="s">
        <v>2008</v>
      </c>
      <c r="D473" s="54" t="s">
        <v>59</v>
      </c>
      <c r="E473" s="54" t="s">
        <v>257</v>
      </c>
      <c r="F473" s="55" t="s">
        <v>2009</v>
      </c>
      <c r="G473" s="56">
        <v>42601.338900463001</v>
      </c>
      <c r="H473" s="54" t="s">
        <v>2010</v>
      </c>
      <c r="I473" s="57">
        <v>42629</v>
      </c>
      <c r="J473" s="54" t="s">
        <v>80</v>
      </c>
      <c r="K473" s="54" t="s">
        <v>55</v>
      </c>
      <c r="L473" s="56"/>
      <c r="M473" s="56"/>
      <c r="N473" s="58"/>
      <c r="O473" s="58"/>
      <c r="P473" s="58"/>
      <c r="Q473" s="59"/>
      <c r="R473" s="58"/>
      <c r="S473" s="58"/>
      <c r="T473" s="54" t="s">
        <v>56</v>
      </c>
      <c r="U473" s="54" t="s">
        <v>56</v>
      </c>
    </row>
    <row r="474" spans="1:21" ht="125" x14ac:dyDescent="0.25">
      <c r="A474" s="53">
        <v>473</v>
      </c>
      <c r="B474" s="54" t="s">
        <v>2011</v>
      </c>
      <c r="C474" s="54" t="s">
        <v>2012</v>
      </c>
      <c r="D474" s="54" t="s">
        <v>59</v>
      </c>
      <c r="E474" s="54" t="s">
        <v>257</v>
      </c>
      <c r="F474" s="55" t="s">
        <v>2013</v>
      </c>
      <c r="G474" s="56">
        <v>42600.7554282407</v>
      </c>
      <c r="H474" s="54" t="s">
        <v>2014</v>
      </c>
      <c r="I474" s="57">
        <v>42640</v>
      </c>
      <c r="J474" s="54" t="s">
        <v>80</v>
      </c>
      <c r="K474" s="54" t="s">
        <v>55</v>
      </c>
      <c r="L474" s="56"/>
      <c r="M474" s="56"/>
      <c r="N474" s="58"/>
      <c r="O474" s="58"/>
      <c r="P474" s="58"/>
      <c r="Q474" s="59"/>
      <c r="R474" s="58"/>
      <c r="S474" s="58"/>
      <c r="T474" s="54" t="s">
        <v>56</v>
      </c>
      <c r="U474" s="54" t="s">
        <v>56</v>
      </c>
    </row>
    <row r="475" spans="1:21" ht="125" x14ac:dyDescent="0.25">
      <c r="A475" s="53">
        <v>474</v>
      </c>
      <c r="B475" s="54" t="s">
        <v>2015</v>
      </c>
      <c r="C475" s="54" t="s">
        <v>2016</v>
      </c>
      <c r="D475" s="54" t="s">
        <v>59</v>
      </c>
      <c r="E475" s="54" t="s">
        <v>257</v>
      </c>
      <c r="F475" s="55" t="s">
        <v>2017</v>
      </c>
      <c r="G475" s="56">
        <v>42601.338854166701</v>
      </c>
      <c r="H475" s="54" t="s">
        <v>2018</v>
      </c>
      <c r="I475" s="57">
        <v>42640</v>
      </c>
      <c r="J475" s="54" t="s">
        <v>80</v>
      </c>
      <c r="K475" s="54" t="s">
        <v>55</v>
      </c>
      <c r="L475" s="56"/>
      <c r="M475" s="56"/>
      <c r="N475" s="58"/>
      <c r="O475" s="58"/>
      <c r="P475" s="58"/>
      <c r="Q475" s="59"/>
      <c r="R475" s="58"/>
      <c r="S475" s="58"/>
      <c r="T475" s="54" t="s">
        <v>56</v>
      </c>
      <c r="U475" s="54" t="s">
        <v>56</v>
      </c>
    </row>
    <row r="476" spans="1:21" ht="125" x14ac:dyDescent="0.25">
      <c r="A476" s="53">
        <v>475</v>
      </c>
      <c r="B476" s="54" t="s">
        <v>2019</v>
      </c>
      <c r="C476" s="54" t="s">
        <v>2020</v>
      </c>
      <c r="D476" s="54" t="s">
        <v>59</v>
      </c>
      <c r="E476" s="54" t="s">
        <v>257</v>
      </c>
      <c r="F476" s="55" t="s">
        <v>2021</v>
      </c>
      <c r="G476" s="56">
        <v>42601.338888888902</v>
      </c>
      <c r="H476" s="54" t="s">
        <v>2022</v>
      </c>
      <c r="I476" s="57">
        <v>42640</v>
      </c>
      <c r="J476" s="54" t="s">
        <v>80</v>
      </c>
      <c r="K476" s="54" t="s">
        <v>55</v>
      </c>
      <c r="L476" s="56"/>
      <c r="M476" s="56"/>
      <c r="N476" s="58"/>
      <c r="O476" s="58"/>
      <c r="P476" s="58"/>
      <c r="Q476" s="59"/>
      <c r="R476" s="58"/>
      <c r="S476" s="58"/>
      <c r="T476" s="54" t="s">
        <v>56</v>
      </c>
      <c r="U476" s="54" t="s">
        <v>56</v>
      </c>
    </row>
    <row r="477" spans="1:21" ht="37.5" x14ac:dyDescent="0.25">
      <c r="A477" s="53">
        <v>476</v>
      </c>
      <c r="B477" s="54" t="s">
        <v>2023</v>
      </c>
      <c r="C477" s="54" t="s">
        <v>2024</v>
      </c>
      <c r="D477" s="54" t="s">
        <v>59</v>
      </c>
      <c r="E477" s="54" t="s">
        <v>257</v>
      </c>
      <c r="F477" s="55" t="s">
        <v>2025</v>
      </c>
      <c r="G477" s="56">
        <v>43307</v>
      </c>
      <c r="H477" s="54" t="s">
        <v>2026</v>
      </c>
      <c r="I477" s="57">
        <v>43438</v>
      </c>
      <c r="J477" s="54" t="s">
        <v>986</v>
      </c>
      <c r="K477" s="54" t="s">
        <v>81</v>
      </c>
      <c r="L477" s="56"/>
      <c r="M477" s="56"/>
      <c r="N477" s="54"/>
      <c r="O477" s="54"/>
      <c r="P477" s="54"/>
      <c r="Q477" s="54"/>
      <c r="R477" s="54"/>
      <c r="S477" s="54"/>
      <c r="T477" s="54" t="s">
        <v>56</v>
      </c>
      <c r="U477" s="54" t="s">
        <v>56</v>
      </c>
    </row>
    <row r="478" spans="1:21" ht="125" x14ac:dyDescent="0.25">
      <c r="A478" s="53">
        <v>477</v>
      </c>
      <c r="B478" s="54" t="s">
        <v>2027</v>
      </c>
      <c r="C478" s="54" t="s">
        <v>2028</v>
      </c>
      <c r="D478" s="54" t="s">
        <v>59</v>
      </c>
      <c r="E478" s="54" t="s">
        <v>257</v>
      </c>
      <c r="F478" s="55" t="s">
        <v>2029</v>
      </c>
      <c r="G478" s="56">
        <v>42601.338912036997</v>
      </c>
      <c r="H478" s="54" t="s">
        <v>2030</v>
      </c>
      <c r="I478" s="57">
        <v>42641</v>
      </c>
      <c r="J478" s="54" t="s">
        <v>80</v>
      </c>
      <c r="K478" s="54" t="s">
        <v>55</v>
      </c>
      <c r="L478" s="56"/>
      <c r="M478" s="56"/>
      <c r="N478" s="58"/>
      <c r="O478" s="58"/>
      <c r="P478" s="58"/>
      <c r="Q478" s="59"/>
      <c r="R478" s="58"/>
      <c r="S478" s="58"/>
      <c r="T478" s="54" t="s">
        <v>56</v>
      </c>
      <c r="U478" s="54" t="s">
        <v>56</v>
      </c>
    </row>
    <row r="479" spans="1:21" ht="125" x14ac:dyDescent="0.25">
      <c r="A479" s="53">
        <v>478</v>
      </c>
      <c r="B479" s="54" t="s">
        <v>2031</v>
      </c>
      <c r="C479" s="54" t="s">
        <v>2032</v>
      </c>
      <c r="D479" s="54" t="s">
        <v>59</v>
      </c>
      <c r="E479" s="54" t="s">
        <v>257</v>
      </c>
      <c r="F479" s="55" t="s">
        <v>2033</v>
      </c>
      <c r="G479" s="56">
        <v>42601.338912036997</v>
      </c>
      <c r="H479" s="54" t="s">
        <v>2034</v>
      </c>
      <c r="I479" s="57">
        <v>42640</v>
      </c>
      <c r="J479" s="54" t="s">
        <v>80</v>
      </c>
      <c r="K479" s="54" t="s">
        <v>55</v>
      </c>
      <c r="L479" s="56"/>
      <c r="M479" s="56"/>
      <c r="N479" s="58"/>
      <c r="O479" s="58"/>
      <c r="P479" s="58"/>
      <c r="Q479" s="59"/>
      <c r="R479" s="58"/>
      <c r="S479" s="58"/>
      <c r="T479" s="54" t="s">
        <v>56</v>
      </c>
      <c r="U479" s="54" t="s">
        <v>56</v>
      </c>
    </row>
    <row r="480" spans="1:21" ht="125" x14ac:dyDescent="0.25">
      <c r="A480" s="53">
        <v>479</v>
      </c>
      <c r="B480" s="54" t="s">
        <v>2035</v>
      </c>
      <c r="C480" s="54" t="s">
        <v>2036</v>
      </c>
      <c r="D480" s="54" t="s">
        <v>59</v>
      </c>
      <c r="E480" s="54" t="s">
        <v>257</v>
      </c>
      <c r="F480" s="55" t="s">
        <v>2037</v>
      </c>
      <c r="G480" s="56">
        <v>42600.755486111098</v>
      </c>
      <c r="H480" s="54" t="s">
        <v>2038</v>
      </c>
      <c r="I480" s="57">
        <v>42642</v>
      </c>
      <c r="J480" s="54" t="s">
        <v>80</v>
      </c>
      <c r="K480" s="54" t="s">
        <v>55</v>
      </c>
      <c r="L480" s="56"/>
      <c r="M480" s="56"/>
      <c r="N480" s="58"/>
      <c r="O480" s="58"/>
      <c r="P480" s="58"/>
      <c r="Q480" s="59"/>
      <c r="R480" s="58"/>
      <c r="S480" s="58"/>
      <c r="T480" s="54" t="s">
        <v>56</v>
      </c>
      <c r="U480" s="54" t="s">
        <v>56</v>
      </c>
    </row>
    <row r="481" spans="1:21" ht="125" x14ac:dyDescent="0.25">
      <c r="A481" s="53">
        <v>480</v>
      </c>
      <c r="B481" s="54" t="s">
        <v>2039</v>
      </c>
      <c r="C481" s="54" t="s">
        <v>2040</v>
      </c>
      <c r="D481" s="54" t="s">
        <v>59</v>
      </c>
      <c r="E481" s="54" t="s">
        <v>257</v>
      </c>
      <c r="F481" s="55" t="s">
        <v>2041</v>
      </c>
      <c r="G481" s="56">
        <v>42600.755497685197</v>
      </c>
      <c r="H481" s="54" t="s">
        <v>2042</v>
      </c>
      <c r="I481" s="57">
        <v>42640</v>
      </c>
      <c r="J481" s="54" t="s">
        <v>80</v>
      </c>
      <c r="K481" s="54" t="s">
        <v>55</v>
      </c>
      <c r="L481" s="56"/>
      <c r="M481" s="56"/>
      <c r="N481" s="58"/>
      <c r="O481" s="58"/>
      <c r="P481" s="58"/>
      <c r="Q481" s="59"/>
      <c r="R481" s="58"/>
      <c r="S481" s="58"/>
      <c r="T481" s="54" t="s">
        <v>56</v>
      </c>
      <c r="U481" s="54" t="s">
        <v>56</v>
      </c>
    </row>
    <row r="482" spans="1:21" ht="37.5" x14ac:dyDescent="0.25">
      <c r="A482" s="53">
        <v>481</v>
      </c>
      <c r="B482" s="54" t="s">
        <v>2043</v>
      </c>
      <c r="C482" s="54" t="s">
        <v>2044</v>
      </c>
      <c r="D482" s="54" t="s">
        <v>59</v>
      </c>
      <c r="E482" s="54" t="s">
        <v>257</v>
      </c>
      <c r="F482" s="55" t="s">
        <v>2045</v>
      </c>
      <c r="G482" s="56">
        <v>43000</v>
      </c>
      <c r="H482" s="54" t="s">
        <v>2046</v>
      </c>
      <c r="I482" s="57">
        <v>43020</v>
      </c>
      <c r="J482" s="54" t="s">
        <v>2047</v>
      </c>
      <c r="K482" s="54" t="s">
        <v>81</v>
      </c>
      <c r="L482" s="56"/>
      <c r="M482" s="56"/>
      <c r="N482" s="54"/>
      <c r="O482" s="54"/>
      <c r="P482" s="54"/>
      <c r="Q482" s="54"/>
      <c r="R482" s="54"/>
      <c r="S482" s="54"/>
      <c r="T482" s="54" t="s">
        <v>56</v>
      </c>
      <c r="U482" s="54" t="s">
        <v>56</v>
      </c>
    </row>
    <row r="483" spans="1:21" ht="37.5" x14ac:dyDescent="0.25">
      <c r="A483" s="53">
        <v>482</v>
      </c>
      <c r="B483" s="54" t="s">
        <v>2048</v>
      </c>
      <c r="C483" s="54" t="s">
        <v>2049</v>
      </c>
      <c r="D483" s="54" t="s">
        <v>59</v>
      </c>
      <c r="E483" s="54" t="s">
        <v>257</v>
      </c>
      <c r="F483" s="65" t="s">
        <v>2050</v>
      </c>
      <c r="G483" s="66">
        <v>43553</v>
      </c>
      <c r="H483" s="64" t="s">
        <v>2051</v>
      </c>
      <c r="I483" s="67">
        <v>43697</v>
      </c>
      <c r="J483" s="54" t="s">
        <v>2047</v>
      </c>
      <c r="K483" s="54" t="s">
        <v>81</v>
      </c>
      <c r="L483" s="56"/>
      <c r="M483" s="56"/>
      <c r="N483" s="54"/>
      <c r="O483" s="54"/>
      <c r="P483" s="54"/>
      <c r="Q483" s="54"/>
      <c r="R483" s="54"/>
      <c r="S483" s="54"/>
      <c r="T483" s="54" t="s">
        <v>56</v>
      </c>
      <c r="U483" s="54" t="s">
        <v>56</v>
      </c>
    </row>
    <row r="484" spans="1:21" ht="137.5" x14ac:dyDescent="0.25">
      <c r="A484" s="53">
        <v>483</v>
      </c>
      <c r="B484" s="54" t="s">
        <v>2052</v>
      </c>
      <c r="C484" s="54" t="s">
        <v>2053</v>
      </c>
      <c r="D484" s="54" t="s">
        <v>59</v>
      </c>
      <c r="E484" s="54" t="s">
        <v>257</v>
      </c>
      <c r="F484" s="55" t="s">
        <v>2054</v>
      </c>
      <c r="G484" s="56">
        <v>42685</v>
      </c>
      <c r="H484" s="54" t="s">
        <v>2055</v>
      </c>
      <c r="I484" s="57">
        <v>42754</v>
      </c>
      <c r="J484" s="54" t="s">
        <v>920</v>
      </c>
      <c r="K484" s="54" t="s">
        <v>55</v>
      </c>
      <c r="L484" s="56"/>
      <c r="M484" s="56"/>
      <c r="N484" s="58"/>
      <c r="O484" s="58"/>
      <c r="P484" s="58"/>
      <c r="Q484" s="59"/>
      <c r="R484" s="58"/>
      <c r="S484" s="58"/>
      <c r="T484" s="54" t="s">
        <v>56</v>
      </c>
      <c r="U484" s="54" t="s">
        <v>56</v>
      </c>
    </row>
    <row r="485" spans="1:21" ht="137.5" x14ac:dyDescent="0.25">
      <c r="A485" s="53">
        <v>484</v>
      </c>
      <c r="B485" s="54" t="s">
        <v>2056</v>
      </c>
      <c r="C485" s="54" t="s">
        <v>2057</v>
      </c>
      <c r="D485" s="54" t="s">
        <v>59</v>
      </c>
      <c r="E485" s="54" t="s">
        <v>257</v>
      </c>
      <c r="F485" s="55" t="s">
        <v>2058</v>
      </c>
      <c r="G485" s="56">
        <v>42997</v>
      </c>
      <c r="H485" s="54" t="s">
        <v>2059</v>
      </c>
      <c r="I485" s="57">
        <v>43038</v>
      </c>
      <c r="J485" s="54" t="s">
        <v>965</v>
      </c>
      <c r="K485" s="54" t="s">
        <v>81</v>
      </c>
      <c r="L485" s="56"/>
      <c r="M485" s="56"/>
      <c r="N485" s="54"/>
      <c r="O485" s="54"/>
      <c r="P485" s="54"/>
      <c r="Q485" s="54"/>
      <c r="R485" s="54"/>
      <c r="S485" s="54"/>
      <c r="T485" s="54" t="s">
        <v>56</v>
      </c>
      <c r="U485" s="54" t="s">
        <v>56</v>
      </c>
    </row>
    <row r="486" spans="1:21" ht="125" x14ac:dyDescent="0.25">
      <c r="A486" s="53">
        <v>485</v>
      </c>
      <c r="B486" s="54" t="s">
        <v>2060</v>
      </c>
      <c r="C486" s="54" t="s">
        <v>2061</v>
      </c>
      <c r="D486" s="54" t="s">
        <v>59</v>
      </c>
      <c r="E486" s="54" t="s">
        <v>257</v>
      </c>
      <c r="F486" s="55" t="s">
        <v>2062</v>
      </c>
      <c r="G486" s="56">
        <v>42929</v>
      </c>
      <c r="H486" s="54" t="s">
        <v>2063</v>
      </c>
      <c r="I486" s="57">
        <v>43021</v>
      </c>
      <c r="J486" s="54" t="s">
        <v>80</v>
      </c>
      <c r="K486" s="54" t="s">
        <v>55</v>
      </c>
      <c r="L486" s="56"/>
      <c r="M486" s="56"/>
      <c r="N486" s="54"/>
      <c r="O486" s="54"/>
      <c r="P486" s="54"/>
      <c r="Q486" s="54"/>
      <c r="R486" s="54"/>
      <c r="S486" s="54"/>
      <c r="T486" s="54" t="s">
        <v>1146</v>
      </c>
      <c r="U486" s="54" t="s">
        <v>501</v>
      </c>
    </row>
    <row r="487" spans="1:21" ht="100" x14ac:dyDescent="0.25">
      <c r="A487" s="53">
        <v>486</v>
      </c>
      <c r="B487" s="54" t="s">
        <v>2064</v>
      </c>
      <c r="C487" s="54" t="s">
        <v>2065</v>
      </c>
      <c r="D487" s="54" t="s">
        <v>50</v>
      </c>
      <c r="E487" s="54" t="s">
        <v>257</v>
      </c>
      <c r="F487" s="55" t="s">
        <v>2066</v>
      </c>
      <c r="G487" s="56">
        <v>43047</v>
      </c>
      <c r="H487" s="54" t="s">
        <v>2067</v>
      </c>
      <c r="I487" s="57">
        <v>43066</v>
      </c>
      <c r="J487" s="54" t="s">
        <v>54</v>
      </c>
      <c r="K487" s="54" t="s">
        <v>55</v>
      </c>
      <c r="L487" s="56"/>
      <c r="M487" s="56"/>
      <c r="N487" s="54"/>
      <c r="O487" s="54"/>
      <c r="P487" s="54"/>
      <c r="Q487" s="54"/>
      <c r="R487" s="54"/>
      <c r="S487" s="54"/>
      <c r="T487" s="54" t="s">
        <v>56</v>
      </c>
      <c r="U487" s="54" t="s">
        <v>56</v>
      </c>
    </row>
    <row r="488" spans="1:21" ht="100" x14ac:dyDescent="0.25">
      <c r="A488" s="53">
        <v>487</v>
      </c>
      <c r="B488" s="54" t="s">
        <v>2068</v>
      </c>
      <c r="C488" s="54" t="s">
        <v>2069</v>
      </c>
      <c r="D488" s="54" t="s">
        <v>50</v>
      </c>
      <c r="E488" s="54" t="s">
        <v>257</v>
      </c>
      <c r="F488" s="55" t="s">
        <v>2070</v>
      </c>
      <c r="G488" s="56">
        <v>42685</v>
      </c>
      <c r="H488" s="54" t="s">
        <v>2071</v>
      </c>
      <c r="I488" s="57">
        <v>42732</v>
      </c>
      <c r="J488" s="54" t="s">
        <v>54</v>
      </c>
      <c r="K488" s="54" t="s">
        <v>55</v>
      </c>
      <c r="L488" s="56"/>
      <c r="M488" s="56"/>
      <c r="N488" s="58"/>
      <c r="O488" s="58"/>
      <c r="P488" s="58"/>
      <c r="Q488" s="59"/>
      <c r="R488" s="58"/>
      <c r="S488" s="58"/>
      <c r="T488" s="54" t="s">
        <v>56</v>
      </c>
      <c r="U488" s="54" t="s">
        <v>56</v>
      </c>
    </row>
    <row r="489" spans="1:21" ht="137.5" x14ac:dyDescent="0.25">
      <c r="A489" s="53">
        <v>488</v>
      </c>
      <c r="B489" s="54" t="s">
        <v>2072</v>
      </c>
      <c r="C489" s="54" t="s">
        <v>2073</v>
      </c>
      <c r="D489" s="54" t="s">
        <v>59</v>
      </c>
      <c r="E489" s="54" t="s">
        <v>257</v>
      </c>
      <c r="F489" s="55" t="s">
        <v>2074</v>
      </c>
      <c r="G489" s="56">
        <v>42685</v>
      </c>
      <c r="H489" s="54" t="s">
        <v>2075</v>
      </c>
      <c r="I489" s="57">
        <v>42754</v>
      </c>
      <c r="J489" s="54" t="s">
        <v>920</v>
      </c>
      <c r="K489" s="54" t="s">
        <v>55</v>
      </c>
      <c r="L489" s="56"/>
      <c r="M489" s="56"/>
      <c r="N489" s="58"/>
      <c r="O489" s="58"/>
      <c r="P489" s="58"/>
      <c r="Q489" s="59"/>
      <c r="R489" s="58"/>
      <c r="S489" s="58"/>
      <c r="T489" s="58" t="s">
        <v>87</v>
      </c>
      <c r="U489" s="54" t="s">
        <v>105</v>
      </c>
    </row>
    <row r="490" spans="1:21" ht="125" x14ac:dyDescent="0.25">
      <c r="A490" s="53">
        <v>489</v>
      </c>
      <c r="B490" s="54" t="s">
        <v>2076</v>
      </c>
      <c r="C490" s="54" t="s">
        <v>2077</v>
      </c>
      <c r="D490" s="54" t="s">
        <v>59</v>
      </c>
      <c r="E490" s="54" t="s">
        <v>257</v>
      </c>
      <c r="F490" s="55" t="s">
        <v>2078</v>
      </c>
      <c r="G490" s="56">
        <v>42600.755486111098</v>
      </c>
      <c r="H490" s="54" t="s">
        <v>2079</v>
      </c>
      <c r="I490" s="57">
        <v>42640</v>
      </c>
      <c r="J490" s="54" t="s">
        <v>80</v>
      </c>
      <c r="K490" s="54" t="s">
        <v>55</v>
      </c>
      <c r="L490" s="56"/>
      <c r="M490" s="56"/>
      <c r="N490" s="58"/>
      <c r="O490" s="58"/>
      <c r="P490" s="58"/>
      <c r="Q490" s="59"/>
      <c r="R490" s="58"/>
      <c r="S490" s="58"/>
      <c r="T490" s="54" t="s">
        <v>56</v>
      </c>
      <c r="U490" s="54" t="s">
        <v>56</v>
      </c>
    </row>
    <row r="491" spans="1:21" ht="125" x14ac:dyDescent="0.25">
      <c r="A491" s="53">
        <v>490</v>
      </c>
      <c r="B491" s="54" t="s">
        <v>2080</v>
      </c>
      <c r="C491" s="54" t="s">
        <v>2081</v>
      </c>
      <c r="D491" s="54" t="s">
        <v>59</v>
      </c>
      <c r="E491" s="54" t="s">
        <v>257</v>
      </c>
      <c r="F491" s="55" t="s">
        <v>2082</v>
      </c>
      <c r="G491" s="56">
        <v>42689</v>
      </c>
      <c r="H491" s="54" t="s">
        <v>2083</v>
      </c>
      <c r="I491" s="57">
        <v>42733</v>
      </c>
      <c r="J491" s="54" t="s">
        <v>80</v>
      </c>
      <c r="K491" s="54" t="s">
        <v>81</v>
      </c>
      <c r="L491" s="56"/>
      <c r="M491" s="56"/>
      <c r="N491" s="58"/>
      <c r="O491" s="58"/>
      <c r="P491" s="58"/>
      <c r="Q491" s="59"/>
      <c r="R491" s="58"/>
      <c r="S491" s="58"/>
      <c r="T491" s="54" t="s">
        <v>56</v>
      </c>
      <c r="U491" s="54" t="s">
        <v>56</v>
      </c>
    </row>
    <row r="492" spans="1:21" ht="125" x14ac:dyDescent="0.25">
      <c r="A492" s="53">
        <v>491</v>
      </c>
      <c r="B492" s="54" t="s">
        <v>2084</v>
      </c>
      <c r="C492" s="54" t="s">
        <v>2085</v>
      </c>
      <c r="D492" s="54" t="s">
        <v>59</v>
      </c>
      <c r="E492" s="54" t="s">
        <v>257</v>
      </c>
      <c r="F492" s="55" t="s">
        <v>2086</v>
      </c>
      <c r="G492" s="56">
        <v>42600.755439814799</v>
      </c>
      <c r="H492" s="54" t="s">
        <v>2087</v>
      </c>
      <c r="I492" s="57">
        <v>42640</v>
      </c>
      <c r="J492" s="54" t="s">
        <v>80</v>
      </c>
      <c r="K492" s="54" t="s">
        <v>55</v>
      </c>
      <c r="L492" s="56"/>
      <c r="M492" s="56"/>
      <c r="N492" s="58"/>
      <c r="O492" s="58"/>
      <c r="P492" s="58"/>
      <c r="Q492" s="59"/>
      <c r="R492" s="58"/>
      <c r="S492" s="58"/>
      <c r="T492" s="54" t="s">
        <v>56</v>
      </c>
      <c r="U492" s="54" t="s">
        <v>56</v>
      </c>
    </row>
    <row r="493" spans="1:21" ht="125" x14ac:dyDescent="0.25">
      <c r="A493" s="53">
        <v>492</v>
      </c>
      <c r="B493" s="54" t="s">
        <v>2088</v>
      </c>
      <c r="C493" s="54" t="s">
        <v>2089</v>
      </c>
      <c r="D493" s="54" t="s">
        <v>59</v>
      </c>
      <c r="E493" s="54" t="s">
        <v>257</v>
      </c>
      <c r="F493" s="55" t="s">
        <v>2090</v>
      </c>
      <c r="G493" s="56">
        <v>42600.755416666703</v>
      </c>
      <c r="H493" s="54" t="s">
        <v>2091</v>
      </c>
      <c r="I493" s="57">
        <v>42640</v>
      </c>
      <c r="J493" s="54" t="s">
        <v>80</v>
      </c>
      <c r="K493" s="54" t="s">
        <v>55</v>
      </c>
      <c r="L493" s="56"/>
      <c r="M493" s="56"/>
      <c r="N493" s="58"/>
      <c r="O493" s="58"/>
      <c r="P493" s="58"/>
      <c r="Q493" s="59"/>
      <c r="R493" s="58"/>
      <c r="S493" s="58"/>
      <c r="T493" s="54" t="s">
        <v>56</v>
      </c>
      <c r="U493" s="54" t="s">
        <v>56</v>
      </c>
    </row>
    <row r="494" spans="1:21" ht="100" x14ac:dyDescent="0.25">
      <c r="A494" s="53">
        <v>493</v>
      </c>
      <c r="B494" s="54" t="s">
        <v>2092</v>
      </c>
      <c r="C494" s="54" t="s">
        <v>2093</v>
      </c>
      <c r="D494" s="54" t="s">
        <v>50</v>
      </c>
      <c r="E494" s="54" t="s">
        <v>257</v>
      </c>
      <c r="F494" s="65" t="s">
        <v>2094</v>
      </c>
      <c r="G494" s="66">
        <v>43307</v>
      </c>
      <c r="H494" s="64" t="s">
        <v>2095</v>
      </c>
      <c r="I494" s="67">
        <v>43727</v>
      </c>
      <c r="J494" s="54" t="s">
        <v>54</v>
      </c>
      <c r="K494" s="54" t="s">
        <v>55</v>
      </c>
      <c r="L494" s="56"/>
      <c r="M494" s="56"/>
      <c r="N494" s="54"/>
      <c r="O494" s="54"/>
      <c r="P494" s="54"/>
      <c r="Q494" s="54"/>
      <c r="R494" s="54"/>
      <c r="S494" s="54"/>
      <c r="T494" s="54" t="s">
        <v>56</v>
      </c>
      <c r="U494" s="54" t="s">
        <v>56</v>
      </c>
    </row>
    <row r="495" spans="1:21" ht="100" x14ac:dyDescent="0.25">
      <c r="A495" s="53">
        <v>494</v>
      </c>
      <c r="B495" s="54" t="s">
        <v>2096</v>
      </c>
      <c r="C495" s="54" t="s">
        <v>2097</v>
      </c>
      <c r="D495" s="54" t="s">
        <v>50</v>
      </c>
      <c r="E495" s="54" t="s">
        <v>257</v>
      </c>
      <c r="F495" s="55" t="s">
        <v>2098</v>
      </c>
      <c r="G495" s="56">
        <v>42685</v>
      </c>
      <c r="H495" s="54" t="s">
        <v>2099</v>
      </c>
      <c r="I495" s="57">
        <v>42720</v>
      </c>
      <c r="J495" s="54" t="s">
        <v>54</v>
      </c>
      <c r="K495" s="54" t="s">
        <v>81</v>
      </c>
      <c r="L495" s="56"/>
      <c r="M495" s="56"/>
      <c r="N495" s="58"/>
      <c r="O495" s="58"/>
      <c r="P495" s="58"/>
      <c r="Q495" s="59"/>
      <c r="R495" s="58"/>
      <c r="S495" s="58"/>
      <c r="T495" s="54" t="s">
        <v>56</v>
      </c>
      <c r="U495" s="54" t="s">
        <v>56</v>
      </c>
    </row>
    <row r="496" spans="1:21" ht="125" x14ac:dyDescent="0.25">
      <c r="A496" s="53">
        <v>495</v>
      </c>
      <c r="B496" s="54" t="s">
        <v>2100</v>
      </c>
      <c r="C496" s="54" t="s">
        <v>2101</v>
      </c>
      <c r="D496" s="54" t="s">
        <v>59</v>
      </c>
      <c r="E496" s="54" t="s">
        <v>257</v>
      </c>
      <c r="F496" s="55" t="s">
        <v>2102</v>
      </c>
      <c r="G496" s="56">
        <v>42600.755486111098</v>
      </c>
      <c r="H496" s="54" t="s">
        <v>2103</v>
      </c>
      <c r="I496" s="57">
        <v>42640</v>
      </c>
      <c r="J496" s="54" t="s">
        <v>80</v>
      </c>
      <c r="K496" s="54" t="s">
        <v>55</v>
      </c>
      <c r="L496" s="56"/>
      <c r="M496" s="56"/>
      <c r="N496" s="58"/>
      <c r="O496" s="58"/>
      <c r="P496" s="58"/>
      <c r="Q496" s="59"/>
      <c r="R496" s="58"/>
      <c r="S496" s="58"/>
      <c r="T496" s="54" t="s">
        <v>56</v>
      </c>
      <c r="U496" s="54" t="s">
        <v>56</v>
      </c>
    </row>
    <row r="497" spans="1:21" ht="137.5" x14ac:dyDescent="0.25">
      <c r="A497" s="53">
        <v>496</v>
      </c>
      <c r="B497" s="54" t="s">
        <v>2104</v>
      </c>
      <c r="C497" s="54" t="s">
        <v>2105</v>
      </c>
      <c r="D497" s="54" t="s">
        <v>59</v>
      </c>
      <c r="E497" s="54" t="s">
        <v>257</v>
      </c>
      <c r="F497" s="55" t="s">
        <v>2106</v>
      </c>
      <c r="G497" s="56">
        <v>43012</v>
      </c>
      <c r="H497" s="54" t="s">
        <v>2107</v>
      </c>
      <c r="I497" s="57">
        <v>43046</v>
      </c>
      <c r="J497" s="54" t="s">
        <v>965</v>
      </c>
      <c r="K497" s="54" t="s">
        <v>55</v>
      </c>
      <c r="L497" s="56"/>
      <c r="M497" s="56"/>
      <c r="N497" s="54"/>
      <c r="O497" s="54"/>
      <c r="P497" s="54"/>
      <c r="Q497" s="54"/>
      <c r="R497" s="54"/>
      <c r="S497" s="54"/>
      <c r="T497" s="54" t="s">
        <v>56</v>
      </c>
      <c r="U497" s="54" t="s">
        <v>56</v>
      </c>
    </row>
    <row r="498" spans="1:21" ht="137.5" x14ac:dyDescent="0.25">
      <c r="A498" s="53">
        <v>497</v>
      </c>
      <c r="B498" s="54" t="s">
        <v>2108</v>
      </c>
      <c r="C498" s="54" t="s">
        <v>2109</v>
      </c>
      <c r="D498" s="54" t="s">
        <v>59</v>
      </c>
      <c r="E498" s="54" t="s">
        <v>257</v>
      </c>
      <c r="F498" s="55" t="s">
        <v>2110</v>
      </c>
      <c r="G498" s="56">
        <v>42997</v>
      </c>
      <c r="H498" s="54" t="s">
        <v>2111</v>
      </c>
      <c r="I498" s="57">
        <v>43038</v>
      </c>
      <c r="J498" s="54" t="s">
        <v>965</v>
      </c>
      <c r="K498" s="54" t="s">
        <v>81</v>
      </c>
      <c r="L498" s="56"/>
      <c r="M498" s="56"/>
      <c r="N498" s="54"/>
      <c r="O498" s="54"/>
      <c r="P498" s="54"/>
      <c r="Q498" s="54"/>
      <c r="R498" s="54"/>
      <c r="S498" s="54"/>
      <c r="T498" s="54" t="s">
        <v>56</v>
      </c>
      <c r="U498" s="54" t="s">
        <v>56</v>
      </c>
    </row>
    <row r="499" spans="1:21" ht="137.5" x14ac:dyDescent="0.25">
      <c r="A499" s="53">
        <v>498</v>
      </c>
      <c r="B499" s="54" t="s">
        <v>2112</v>
      </c>
      <c r="C499" s="54" t="s">
        <v>2113</v>
      </c>
      <c r="D499" s="54" t="s">
        <v>59</v>
      </c>
      <c r="E499" s="54" t="s">
        <v>257</v>
      </c>
      <c r="F499" s="55" t="s">
        <v>2114</v>
      </c>
      <c r="G499" s="56">
        <v>42997</v>
      </c>
      <c r="H499" s="54" t="s">
        <v>2115</v>
      </c>
      <c r="I499" s="57">
        <v>43038</v>
      </c>
      <c r="J499" s="54" t="s">
        <v>965</v>
      </c>
      <c r="K499" s="54" t="s">
        <v>81</v>
      </c>
      <c r="L499" s="56"/>
      <c r="M499" s="56"/>
      <c r="N499" s="54"/>
      <c r="O499" s="54"/>
      <c r="P499" s="54"/>
      <c r="Q499" s="54"/>
      <c r="R499" s="54"/>
      <c r="S499" s="54"/>
      <c r="T499" s="54" t="s">
        <v>56</v>
      </c>
      <c r="U499" s="54" t="s">
        <v>56</v>
      </c>
    </row>
    <row r="500" spans="1:21" ht="100" x14ac:dyDescent="0.25">
      <c r="A500" s="53">
        <v>499</v>
      </c>
      <c r="B500" s="54" t="s">
        <v>2116</v>
      </c>
      <c r="C500" s="54" t="s">
        <v>2117</v>
      </c>
      <c r="D500" s="54" t="s">
        <v>50</v>
      </c>
      <c r="E500" s="54" t="s">
        <v>257</v>
      </c>
      <c r="F500" s="55" t="s">
        <v>2118</v>
      </c>
      <c r="G500" s="56">
        <v>43000</v>
      </c>
      <c r="H500" s="54" t="s">
        <v>2119</v>
      </c>
      <c r="I500" s="57">
        <v>43020</v>
      </c>
      <c r="J500" s="54" t="s">
        <v>54</v>
      </c>
      <c r="K500" s="54" t="s">
        <v>55</v>
      </c>
      <c r="L500" s="56"/>
      <c r="M500" s="56"/>
      <c r="N500" s="54"/>
      <c r="O500" s="54"/>
      <c r="P500" s="54"/>
      <c r="Q500" s="54"/>
      <c r="R500" s="54"/>
      <c r="S500" s="54"/>
      <c r="T500" s="54" t="s">
        <v>56</v>
      </c>
      <c r="U500" s="54" t="s">
        <v>56</v>
      </c>
    </row>
    <row r="501" spans="1:21" ht="100" x14ac:dyDescent="0.25">
      <c r="A501" s="53">
        <v>500</v>
      </c>
      <c r="B501" s="54" t="s">
        <v>2120</v>
      </c>
      <c r="C501" s="54" t="s">
        <v>2121</v>
      </c>
      <c r="D501" s="54" t="s">
        <v>50</v>
      </c>
      <c r="E501" s="54" t="s">
        <v>257</v>
      </c>
      <c r="F501" s="55" t="s">
        <v>2122</v>
      </c>
      <c r="G501" s="56">
        <v>42685</v>
      </c>
      <c r="H501" s="54" t="s">
        <v>2123</v>
      </c>
      <c r="I501" s="57">
        <v>42733</v>
      </c>
      <c r="J501" s="54" t="s">
        <v>54</v>
      </c>
      <c r="K501" s="54" t="s">
        <v>55</v>
      </c>
      <c r="L501" s="56"/>
      <c r="M501" s="56"/>
      <c r="N501" s="58"/>
      <c r="O501" s="58"/>
      <c r="P501" s="58"/>
      <c r="Q501" s="59"/>
      <c r="R501" s="58"/>
      <c r="S501" s="58"/>
      <c r="T501" s="54" t="s">
        <v>56</v>
      </c>
      <c r="U501" s="54" t="s">
        <v>56</v>
      </c>
    </row>
    <row r="502" spans="1:21" ht="100" x14ac:dyDescent="0.25">
      <c r="A502" s="53">
        <v>501</v>
      </c>
      <c r="B502" s="54" t="s">
        <v>2124</v>
      </c>
      <c r="C502" s="54" t="s">
        <v>2125</v>
      </c>
      <c r="D502" s="54" t="s">
        <v>59</v>
      </c>
      <c r="E502" s="54" t="s">
        <v>257</v>
      </c>
      <c r="F502" s="55" t="s">
        <v>2126</v>
      </c>
      <c r="G502" s="56">
        <v>42601.338807870401</v>
      </c>
      <c r="H502" s="54" t="s">
        <v>2127</v>
      </c>
      <c r="I502" s="57">
        <v>42657</v>
      </c>
      <c r="J502" s="54" t="s">
        <v>999</v>
      </c>
      <c r="K502" s="54" t="s">
        <v>55</v>
      </c>
      <c r="L502" s="56"/>
      <c r="M502" s="56"/>
      <c r="N502" s="58"/>
      <c r="O502" s="58"/>
      <c r="P502" s="58"/>
      <c r="Q502" s="59"/>
      <c r="R502" s="58"/>
      <c r="S502" s="58"/>
      <c r="T502" s="54" t="s">
        <v>56</v>
      </c>
      <c r="U502" s="54" t="s">
        <v>56</v>
      </c>
    </row>
    <row r="503" spans="1:21" ht="37.5" x14ac:dyDescent="0.25">
      <c r="A503" s="53">
        <v>502</v>
      </c>
      <c r="B503" s="54" t="s">
        <v>2128</v>
      </c>
      <c r="C503" s="54" t="s">
        <v>2129</v>
      </c>
      <c r="D503" s="54" t="s">
        <v>59</v>
      </c>
      <c r="E503" s="54" t="s">
        <v>257</v>
      </c>
      <c r="F503" s="55" t="s">
        <v>2130</v>
      </c>
      <c r="G503" s="56">
        <v>43201</v>
      </c>
      <c r="H503" s="54" t="s">
        <v>2131</v>
      </c>
      <c r="I503" s="57">
        <v>43227</v>
      </c>
      <c r="J503" s="54" t="s">
        <v>986</v>
      </c>
      <c r="K503" s="54" t="s">
        <v>81</v>
      </c>
      <c r="L503" s="56"/>
      <c r="M503" s="56"/>
      <c r="N503" s="54"/>
      <c r="O503" s="54"/>
      <c r="P503" s="54"/>
      <c r="Q503" s="54"/>
      <c r="R503" s="54"/>
      <c r="S503" s="54"/>
      <c r="T503" s="54" t="s">
        <v>56</v>
      </c>
      <c r="U503" s="54" t="s">
        <v>56</v>
      </c>
    </row>
    <row r="504" spans="1:21" ht="125" x14ac:dyDescent="0.25">
      <c r="A504" s="53">
        <v>503</v>
      </c>
      <c r="B504" s="54" t="s">
        <v>2132</v>
      </c>
      <c r="C504" s="62" t="s">
        <v>2133</v>
      </c>
      <c r="D504" s="54" t="s">
        <v>59</v>
      </c>
      <c r="E504" s="54" t="s">
        <v>257</v>
      </c>
      <c r="F504" s="55" t="s">
        <v>2134</v>
      </c>
      <c r="G504" s="56">
        <v>42601.338900463001</v>
      </c>
      <c r="H504" s="54" t="s">
        <v>2135</v>
      </c>
      <c r="I504" s="57">
        <v>42640</v>
      </c>
      <c r="J504" s="54" t="s">
        <v>80</v>
      </c>
      <c r="K504" s="54" t="s">
        <v>55</v>
      </c>
      <c r="L504" s="56"/>
      <c r="M504" s="56"/>
      <c r="N504" s="58"/>
      <c r="O504" s="58"/>
      <c r="P504" s="58"/>
      <c r="Q504" s="59"/>
      <c r="R504" s="58"/>
      <c r="S504" s="58"/>
      <c r="T504" s="54" t="s">
        <v>104</v>
      </c>
      <c r="U504" s="54" t="s">
        <v>105</v>
      </c>
    </row>
    <row r="505" spans="1:21" ht="125" x14ac:dyDescent="0.25">
      <c r="A505" s="53">
        <v>504</v>
      </c>
      <c r="B505" s="54" t="s">
        <v>2136</v>
      </c>
      <c r="C505" s="54" t="s">
        <v>2137</v>
      </c>
      <c r="D505" s="54" t="s">
        <v>59</v>
      </c>
      <c r="E505" s="54" t="s">
        <v>257</v>
      </c>
      <c r="F505" s="55" t="s">
        <v>2138</v>
      </c>
      <c r="G505" s="56">
        <v>43000</v>
      </c>
      <c r="H505" s="54" t="s">
        <v>2139</v>
      </c>
      <c r="I505" s="57">
        <v>43046</v>
      </c>
      <c r="J505" s="54" t="s">
        <v>80</v>
      </c>
      <c r="K505" s="54" t="s">
        <v>81</v>
      </c>
      <c r="L505" s="56"/>
      <c r="M505" s="56"/>
      <c r="N505" s="54"/>
      <c r="O505" s="54"/>
      <c r="P505" s="54"/>
      <c r="Q505" s="54"/>
      <c r="R505" s="54"/>
      <c r="S505" s="54"/>
      <c r="T505" s="54" t="s">
        <v>56</v>
      </c>
      <c r="U505" s="54" t="s">
        <v>56</v>
      </c>
    </row>
    <row r="506" spans="1:21" ht="125" x14ac:dyDescent="0.25">
      <c r="A506" s="53">
        <v>505</v>
      </c>
      <c r="B506" s="54" t="s">
        <v>2140</v>
      </c>
      <c r="C506" s="54" t="s">
        <v>2141</v>
      </c>
      <c r="D506" s="54" t="s">
        <v>59</v>
      </c>
      <c r="E506" s="54" t="s">
        <v>257</v>
      </c>
      <c r="F506" s="55" t="s">
        <v>2142</v>
      </c>
      <c r="G506" s="56">
        <v>42600.7555208333</v>
      </c>
      <c r="H506" s="54" t="s">
        <v>2143</v>
      </c>
      <c r="I506" s="57">
        <v>42640</v>
      </c>
      <c r="J506" s="54" t="s">
        <v>80</v>
      </c>
      <c r="K506" s="54" t="s">
        <v>55</v>
      </c>
      <c r="L506" s="56"/>
      <c r="M506" s="56"/>
      <c r="N506" s="58"/>
      <c r="O506" s="58"/>
      <c r="P506" s="58"/>
      <c r="Q506" s="59"/>
      <c r="R506" s="58"/>
      <c r="S506" s="58"/>
      <c r="T506" s="54" t="s">
        <v>56</v>
      </c>
      <c r="U506" s="54" t="s">
        <v>56</v>
      </c>
    </row>
    <row r="507" spans="1:21" ht="125" x14ac:dyDescent="0.25">
      <c r="A507" s="53">
        <v>506</v>
      </c>
      <c r="B507" s="54" t="s">
        <v>2144</v>
      </c>
      <c r="C507" s="54" t="s">
        <v>2145</v>
      </c>
      <c r="D507" s="54" t="s">
        <v>59</v>
      </c>
      <c r="E507" s="54" t="s">
        <v>257</v>
      </c>
      <c r="F507" s="55" t="s">
        <v>2146</v>
      </c>
      <c r="G507" s="56">
        <v>42605.041724536997</v>
      </c>
      <c r="H507" s="54" t="s">
        <v>2147</v>
      </c>
      <c r="I507" s="57">
        <v>42640</v>
      </c>
      <c r="J507" s="54" t="s">
        <v>80</v>
      </c>
      <c r="K507" s="54" t="s">
        <v>55</v>
      </c>
      <c r="L507" s="56"/>
      <c r="M507" s="56"/>
      <c r="N507" s="58"/>
      <c r="O507" s="58"/>
      <c r="P507" s="58"/>
      <c r="Q507" s="59"/>
      <c r="R507" s="58"/>
      <c r="S507" s="58"/>
      <c r="T507" s="54" t="s">
        <v>56</v>
      </c>
      <c r="U507" s="54" t="s">
        <v>56</v>
      </c>
    </row>
    <row r="508" spans="1:21" ht="37.5" x14ac:dyDescent="0.25">
      <c r="A508" s="53">
        <v>507</v>
      </c>
      <c r="B508" s="54" t="s">
        <v>2148</v>
      </c>
      <c r="C508" s="64" t="s">
        <v>2149</v>
      </c>
      <c r="D508" s="54" t="s">
        <v>59</v>
      </c>
      <c r="E508" s="54" t="s">
        <v>257</v>
      </c>
      <c r="F508" s="65" t="s">
        <v>2150</v>
      </c>
      <c r="G508" s="66">
        <v>43511</v>
      </c>
      <c r="H508" s="64" t="s">
        <v>2151</v>
      </c>
      <c r="I508" s="67">
        <v>43690</v>
      </c>
      <c r="J508" s="64" t="s">
        <v>986</v>
      </c>
      <c r="K508" s="54" t="s">
        <v>81</v>
      </c>
      <c r="L508" s="56"/>
      <c r="M508" s="56"/>
      <c r="N508" s="54"/>
      <c r="O508" s="54"/>
      <c r="P508" s="54"/>
      <c r="Q508" s="54"/>
      <c r="R508" s="54"/>
      <c r="S508" s="54"/>
      <c r="T508" s="54" t="s">
        <v>56</v>
      </c>
      <c r="U508" s="54" t="s">
        <v>56</v>
      </c>
    </row>
    <row r="509" spans="1:21" ht="37.5" x14ac:dyDescent="0.25">
      <c r="A509" s="53">
        <v>508</v>
      </c>
      <c r="B509" s="54" t="s">
        <v>2152</v>
      </c>
      <c r="C509" s="54" t="s">
        <v>2153</v>
      </c>
      <c r="D509" s="54" t="s">
        <v>59</v>
      </c>
      <c r="E509" s="54" t="s">
        <v>257</v>
      </c>
      <c r="F509" s="55" t="s">
        <v>2154</v>
      </c>
      <c r="G509" s="56">
        <v>43319</v>
      </c>
      <c r="H509" s="54" t="s">
        <v>2155</v>
      </c>
      <c r="I509" s="57">
        <v>43445</v>
      </c>
      <c r="J509" s="64" t="s">
        <v>986</v>
      </c>
      <c r="K509" s="54" t="s">
        <v>55</v>
      </c>
      <c r="L509" s="56"/>
      <c r="M509" s="56"/>
      <c r="N509" s="54"/>
      <c r="O509" s="54"/>
      <c r="P509" s="54"/>
      <c r="Q509" s="54"/>
      <c r="R509" s="54"/>
      <c r="S509" s="54"/>
      <c r="T509" s="54" t="s">
        <v>56</v>
      </c>
      <c r="U509" s="54" t="s">
        <v>56</v>
      </c>
    </row>
    <row r="510" spans="1:21" ht="100" x14ac:dyDescent="0.25">
      <c r="A510" s="53">
        <v>509</v>
      </c>
      <c r="B510" s="54" t="s">
        <v>2156</v>
      </c>
      <c r="C510" s="54" t="s">
        <v>2157</v>
      </c>
      <c r="D510" s="54" t="s">
        <v>173</v>
      </c>
      <c r="E510" s="54" t="s">
        <v>257</v>
      </c>
      <c r="F510" s="55" t="s">
        <v>2158</v>
      </c>
      <c r="G510" s="56">
        <v>42685</v>
      </c>
      <c r="H510" s="54" t="s">
        <v>2159</v>
      </c>
      <c r="I510" s="57">
        <v>42718</v>
      </c>
      <c r="J510" s="54" t="s">
        <v>54</v>
      </c>
      <c r="K510" s="54" t="s">
        <v>176</v>
      </c>
      <c r="L510" s="56"/>
      <c r="M510" s="56">
        <v>42735</v>
      </c>
      <c r="N510" s="54" t="s">
        <v>2160</v>
      </c>
      <c r="O510" s="59">
        <v>44208</v>
      </c>
      <c r="P510" s="58" t="s">
        <v>2161</v>
      </c>
      <c r="Q510" s="59">
        <v>42948</v>
      </c>
      <c r="R510" s="54" t="s">
        <v>179</v>
      </c>
      <c r="S510" s="68">
        <v>42948</v>
      </c>
      <c r="T510" s="54" t="s">
        <v>87</v>
      </c>
      <c r="U510" s="58" t="s">
        <v>88</v>
      </c>
    </row>
    <row r="511" spans="1:21" ht="100" x14ac:dyDescent="0.25">
      <c r="A511" s="53">
        <v>510</v>
      </c>
      <c r="B511" s="54" t="s">
        <v>2162</v>
      </c>
      <c r="C511" s="64" t="s">
        <v>2163</v>
      </c>
      <c r="D511" s="54" t="s">
        <v>50</v>
      </c>
      <c r="E511" s="54" t="s">
        <v>257</v>
      </c>
      <c r="F511" s="65" t="s">
        <v>2164</v>
      </c>
      <c r="G511" s="66">
        <v>43689</v>
      </c>
      <c r="H511" s="64" t="s">
        <v>2165</v>
      </c>
      <c r="I511" s="67">
        <v>43698</v>
      </c>
      <c r="J511" s="54" t="s">
        <v>54</v>
      </c>
      <c r="K511" s="54" t="s">
        <v>55</v>
      </c>
      <c r="L511" s="56"/>
      <c r="M511" s="56"/>
      <c r="N511" s="54"/>
      <c r="O511" s="54"/>
      <c r="P511" s="54"/>
      <c r="Q511" s="54"/>
      <c r="R511" s="54"/>
      <c r="S511" s="54"/>
      <c r="T511" s="54" t="s">
        <v>56</v>
      </c>
      <c r="U511" s="54" t="s">
        <v>56</v>
      </c>
    </row>
    <row r="512" spans="1:21" ht="125" x14ac:dyDescent="0.25">
      <c r="A512" s="53">
        <v>511</v>
      </c>
      <c r="B512" s="54" t="s">
        <v>2166</v>
      </c>
      <c r="C512" s="54" t="s">
        <v>2167</v>
      </c>
      <c r="D512" s="54" t="s">
        <v>59</v>
      </c>
      <c r="E512" s="54" t="s">
        <v>257</v>
      </c>
      <c r="F512" s="55" t="s">
        <v>2168</v>
      </c>
      <c r="G512" s="56">
        <v>42601.338912036997</v>
      </c>
      <c r="H512" s="54" t="s">
        <v>2169</v>
      </c>
      <c r="I512" s="57">
        <v>42640</v>
      </c>
      <c r="J512" s="54" t="s">
        <v>80</v>
      </c>
      <c r="K512" s="54" t="s">
        <v>55</v>
      </c>
      <c r="L512" s="56"/>
      <c r="M512" s="56"/>
      <c r="N512" s="58"/>
      <c r="O512" s="58"/>
      <c r="P512" s="58"/>
      <c r="Q512" s="59"/>
      <c r="R512" s="58"/>
      <c r="S512" s="58"/>
      <c r="T512" s="54" t="s">
        <v>56</v>
      </c>
      <c r="U512" s="54" t="s">
        <v>56</v>
      </c>
    </row>
    <row r="513" spans="1:21" ht="100" x14ac:dyDescent="0.25">
      <c r="A513" s="53">
        <v>512</v>
      </c>
      <c r="B513" s="54" t="s">
        <v>2170</v>
      </c>
      <c r="C513" s="54" t="s">
        <v>2171</v>
      </c>
      <c r="D513" s="54" t="s">
        <v>50</v>
      </c>
      <c r="E513" s="54" t="s">
        <v>257</v>
      </c>
      <c r="F513" s="55" t="s">
        <v>2172</v>
      </c>
      <c r="G513" s="56">
        <v>43532</v>
      </c>
      <c r="H513" s="54" t="s">
        <v>2173</v>
      </c>
      <c r="I513" s="57">
        <v>43557</v>
      </c>
      <c r="J513" s="54" t="s">
        <v>54</v>
      </c>
      <c r="K513" s="54" t="s">
        <v>55</v>
      </c>
      <c r="L513" s="56"/>
      <c r="M513" s="56"/>
      <c r="N513" s="54"/>
      <c r="O513" s="54"/>
      <c r="P513" s="54"/>
      <c r="Q513" s="54"/>
      <c r="R513" s="54"/>
      <c r="S513" s="54"/>
      <c r="T513" s="54" t="s">
        <v>56</v>
      </c>
      <c r="U513" s="54" t="s">
        <v>56</v>
      </c>
    </row>
    <row r="514" spans="1:21" ht="100" x14ac:dyDescent="0.25">
      <c r="A514" s="53">
        <v>513</v>
      </c>
      <c r="B514" s="54" t="s">
        <v>2174</v>
      </c>
      <c r="C514" s="54" t="s">
        <v>2175</v>
      </c>
      <c r="D514" s="54" t="s">
        <v>50</v>
      </c>
      <c r="E514" s="54" t="s">
        <v>257</v>
      </c>
      <c r="F514" s="55" t="s">
        <v>2176</v>
      </c>
      <c r="G514" s="56">
        <v>43000</v>
      </c>
      <c r="H514" s="54" t="s">
        <v>2177</v>
      </c>
      <c r="I514" s="57">
        <v>43020</v>
      </c>
      <c r="J514" s="54" t="s">
        <v>54</v>
      </c>
      <c r="K514" s="54" t="s">
        <v>55</v>
      </c>
      <c r="L514" s="56"/>
      <c r="M514" s="56"/>
      <c r="N514" s="54"/>
      <c r="O514" s="54"/>
      <c r="P514" s="54"/>
      <c r="Q514" s="54"/>
      <c r="R514" s="54"/>
      <c r="S514" s="54"/>
      <c r="T514" s="54" t="s">
        <v>87</v>
      </c>
      <c r="U514" s="58" t="s">
        <v>105</v>
      </c>
    </row>
    <row r="515" spans="1:21" ht="100" x14ac:dyDescent="0.25">
      <c r="A515" s="53">
        <v>514</v>
      </c>
      <c r="B515" s="54" t="s">
        <v>2178</v>
      </c>
      <c r="C515" s="54" t="s">
        <v>2179</v>
      </c>
      <c r="D515" s="54" t="s">
        <v>50</v>
      </c>
      <c r="E515" s="54" t="s">
        <v>257</v>
      </c>
      <c r="F515" s="55" t="s">
        <v>2180</v>
      </c>
      <c r="G515" s="56">
        <v>42685</v>
      </c>
      <c r="H515" s="54" t="s">
        <v>2181</v>
      </c>
      <c r="I515" s="57">
        <v>42733</v>
      </c>
      <c r="J515" s="54" t="s">
        <v>54</v>
      </c>
      <c r="K515" s="54" t="s">
        <v>81</v>
      </c>
      <c r="L515" s="56"/>
      <c r="M515" s="56"/>
      <c r="N515" s="58"/>
      <c r="O515" s="58"/>
      <c r="P515" s="58"/>
      <c r="Q515" s="59"/>
      <c r="R515" s="58"/>
      <c r="S515" s="58"/>
      <c r="T515" s="54" t="s">
        <v>56</v>
      </c>
      <c r="U515" s="54" t="s">
        <v>56</v>
      </c>
    </row>
    <row r="516" spans="1:21" ht="100" x14ac:dyDescent="0.25">
      <c r="A516" s="53">
        <v>515</v>
      </c>
      <c r="B516" s="54" t="s">
        <v>2182</v>
      </c>
      <c r="C516" s="54" t="s">
        <v>2183</v>
      </c>
      <c r="D516" s="54" t="s">
        <v>50</v>
      </c>
      <c r="E516" s="54" t="s">
        <v>257</v>
      </c>
      <c r="F516" s="55" t="s">
        <v>2184</v>
      </c>
      <c r="G516" s="56">
        <v>42685</v>
      </c>
      <c r="H516" s="54" t="s">
        <v>2185</v>
      </c>
      <c r="I516" s="57">
        <v>42733</v>
      </c>
      <c r="J516" s="54" t="s">
        <v>54</v>
      </c>
      <c r="K516" s="54" t="s">
        <v>55</v>
      </c>
      <c r="L516" s="56"/>
      <c r="M516" s="56"/>
      <c r="N516" s="58"/>
      <c r="O516" s="58"/>
      <c r="P516" s="58"/>
      <c r="Q516" s="59"/>
      <c r="R516" s="58"/>
      <c r="S516" s="58"/>
      <c r="T516" s="54" t="s">
        <v>56</v>
      </c>
      <c r="U516" s="54" t="s">
        <v>56</v>
      </c>
    </row>
    <row r="517" spans="1:21" ht="100" x14ac:dyDescent="0.25">
      <c r="A517" s="53">
        <v>516</v>
      </c>
      <c r="B517" s="54" t="s">
        <v>2186</v>
      </c>
      <c r="C517" s="54" t="s">
        <v>2187</v>
      </c>
      <c r="D517" s="54" t="s">
        <v>50</v>
      </c>
      <c r="E517" s="54" t="s">
        <v>257</v>
      </c>
      <c r="F517" s="55" t="s">
        <v>2188</v>
      </c>
      <c r="G517" s="56">
        <v>43053</v>
      </c>
      <c r="H517" s="54" t="s">
        <v>2189</v>
      </c>
      <c r="I517" s="57">
        <v>43066</v>
      </c>
      <c r="J517" s="54" t="s">
        <v>54</v>
      </c>
      <c r="K517" s="54" t="s">
        <v>55</v>
      </c>
      <c r="L517" s="56"/>
      <c r="M517" s="56"/>
      <c r="N517" s="54"/>
      <c r="O517" s="54"/>
      <c r="P517" s="54"/>
      <c r="Q517" s="54"/>
      <c r="R517" s="54"/>
      <c r="S517" s="54"/>
      <c r="T517" s="54" t="s">
        <v>56</v>
      </c>
      <c r="U517" s="54" t="s">
        <v>56</v>
      </c>
    </row>
    <row r="518" spans="1:21" ht="100" x14ac:dyDescent="0.25">
      <c r="A518" s="53">
        <v>517</v>
      </c>
      <c r="B518" s="54" t="s">
        <v>2190</v>
      </c>
      <c r="C518" s="54" t="s">
        <v>2191</v>
      </c>
      <c r="D518" s="54" t="s">
        <v>50</v>
      </c>
      <c r="E518" s="54" t="s">
        <v>257</v>
      </c>
      <c r="F518" s="55" t="s">
        <v>2192</v>
      </c>
      <c r="G518" s="56">
        <v>42685</v>
      </c>
      <c r="H518" s="54" t="s">
        <v>2193</v>
      </c>
      <c r="I518" s="57">
        <v>42733</v>
      </c>
      <c r="J518" s="54" t="s">
        <v>54</v>
      </c>
      <c r="K518" s="54" t="s">
        <v>55</v>
      </c>
      <c r="L518" s="56"/>
      <c r="M518" s="56"/>
      <c r="N518" s="58"/>
      <c r="O518" s="58"/>
      <c r="P518" s="58"/>
      <c r="Q518" s="59"/>
      <c r="R518" s="58"/>
      <c r="S518" s="58"/>
      <c r="T518" s="54" t="s">
        <v>56</v>
      </c>
      <c r="U518" s="54" t="s">
        <v>56</v>
      </c>
    </row>
    <row r="519" spans="1:21" ht="125" x14ac:dyDescent="0.25">
      <c r="A519" s="53">
        <v>518</v>
      </c>
      <c r="B519" s="54" t="s">
        <v>2194</v>
      </c>
      <c r="C519" s="54" t="s">
        <v>2195</v>
      </c>
      <c r="D519" s="54" t="s">
        <v>59</v>
      </c>
      <c r="E519" s="54" t="s">
        <v>257</v>
      </c>
      <c r="F519" s="55" t="s">
        <v>2196</v>
      </c>
      <c r="G519" s="56">
        <v>43053</v>
      </c>
      <c r="H519" s="54" t="s">
        <v>2197</v>
      </c>
      <c r="I519" s="57">
        <v>43066</v>
      </c>
      <c r="J519" s="54" t="s">
        <v>80</v>
      </c>
      <c r="K519" s="54" t="s">
        <v>81</v>
      </c>
      <c r="L519" s="56"/>
      <c r="M519" s="56"/>
      <c r="N519" s="54"/>
      <c r="O519" s="54"/>
      <c r="P519" s="54"/>
      <c r="Q519" s="54"/>
      <c r="R519" s="54"/>
      <c r="S519" s="54"/>
      <c r="T519" s="54" t="s">
        <v>56</v>
      </c>
      <c r="U519" s="54" t="s">
        <v>56</v>
      </c>
    </row>
    <row r="520" spans="1:21" ht="62.5" x14ac:dyDescent="0.25">
      <c r="A520" s="53">
        <v>519</v>
      </c>
      <c r="B520" s="54" t="s">
        <v>2198</v>
      </c>
      <c r="C520" s="54" t="s">
        <v>2199</v>
      </c>
      <c r="D520" s="54" t="s">
        <v>59</v>
      </c>
      <c r="E520" s="54" t="s">
        <v>257</v>
      </c>
      <c r="F520" s="65" t="s">
        <v>2200</v>
      </c>
      <c r="G520" s="66">
        <v>43307</v>
      </c>
      <c r="H520" s="64" t="s">
        <v>2201</v>
      </c>
      <c r="I520" s="67">
        <v>43697</v>
      </c>
      <c r="J520" s="64" t="s">
        <v>986</v>
      </c>
      <c r="K520" s="54" t="s">
        <v>81</v>
      </c>
      <c r="L520" s="56"/>
      <c r="M520" s="56"/>
      <c r="N520" s="54"/>
      <c r="O520" s="54"/>
      <c r="P520" s="54"/>
      <c r="Q520" s="54"/>
      <c r="R520" s="54"/>
      <c r="S520" s="54"/>
      <c r="T520" s="54" t="s">
        <v>56</v>
      </c>
      <c r="U520" s="54" t="s">
        <v>56</v>
      </c>
    </row>
    <row r="521" spans="1:21" ht="125" x14ac:dyDescent="0.25">
      <c r="A521" s="53">
        <v>520</v>
      </c>
      <c r="B521" s="54" t="s">
        <v>2202</v>
      </c>
      <c r="C521" s="54" t="s">
        <v>2203</v>
      </c>
      <c r="D521" s="54" t="s">
        <v>59</v>
      </c>
      <c r="E521" s="54" t="s">
        <v>257</v>
      </c>
      <c r="F521" s="55" t="s">
        <v>2204</v>
      </c>
      <c r="G521" s="56">
        <v>42600.7555208333</v>
      </c>
      <c r="H521" s="54" t="s">
        <v>2205</v>
      </c>
      <c r="I521" s="57">
        <v>42640</v>
      </c>
      <c r="J521" s="54" t="s">
        <v>80</v>
      </c>
      <c r="K521" s="54" t="s">
        <v>55</v>
      </c>
      <c r="L521" s="56"/>
      <c r="M521" s="56"/>
      <c r="N521" s="58"/>
      <c r="O521" s="58"/>
      <c r="P521" s="58"/>
      <c r="Q521" s="59"/>
      <c r="R521" s="58"/>
      <c r="S521" s="58"/>
      <c r="T521" s="54" t="s">
        <v>56</v>
      </c>
      <c r="U521" s="54" t="s">
        <v>56</v>
      </c>
    </row>
    <row r="522" spans="1:21" ht="137.5" x14ac:dyDescent="0.25">
      <c r="A522" s="53">
        <v>521</v>
      </c>
      <c r="B522" s="54" t="s">
        <v>2206</v>
      </c>
      <c r="C522" s="54" t="s">
        <v>2207</v>
      </c>
      <c r="D522" s="54" t="s">
        <v>59</v>
      </c>
      <c r="E522" s="54" t="s">
        <v>257</v>
      </c>
      <c r="F522" s="55" t="s">
        <v>2208</v>
      </c>
      <c r="G522" s="56">
        <v>42685</v>
      </c>
      <c r="H522" s="54" t="s">
        <v>2209</v>
      </c>
      <c r="I522" s="57">
        <v>42733</v>
      </c>
      <c r="J522" s="54" t="s">
        <v>920</v>
      </c>
      <c r="K522" s="54" t="s">
        <v>55</v>
      </c>
      <c r="L522" s="56"/>
      <c r="M522" s="56"/>
      <c r="N522" s="58"/>
      <c r="O522" s="58"/>
      <c r="P522" s="58"/>
      <c r="Q522" s="59"/>
      <c r="R522" s="58"/>
      <c r="S522" s="58"/>
      <c r="T522" s="54" t="s">
        <v>87</v>
      </c>
      <c r="U522" s="58" t="s">
        <v>105</v>
      </c>
    </row>
    <row r="523" spans="1:21" ht="125" x14ac:dyDescent="0.25">
      <c r="A523" s="53">
        <v>522</v>
      </c>
      <c r="B523" s="54" t="s">
        <v>2210</v>
      </c>
      <c r="C523" s="54" t="s">
        <v>2211</v>
      </c>
      <c r="D523" s="54" t="s">
        <v>59</v>
      </c>
      <c r="E523" s="54" t="s">
        <v>257</v>
      </c>
      <c r="F523" s="55" t="s">
        <v>2212</v>
      </c>
      <c r="G523" s="56">
        <v>42600.7555208333</v>
      </c>
      <c r="H523" s="54" t="s">
        <v>2213</v>
      </c>
      <c r="I523" s="57">
        <v>42646</v>
      </c>
      <c r="J523" s="54" t="s">
        <v>80</v>
      </c>
      <c r="K523" s="54" t="s">
        <v>55</v>
      </c>
      <c r="L523" s="56"/>
      <c r="M523" s="56"/>
      <c r="N523" s="58"/>
      <c r="O523" s="58"/>
      <c r="P523" s="58"/>
      <c r="Q523" s="59"/>
      <c r="R523" s="58"/>
      <c r="S523" s="58"/>
      <c r="T523" s="54" t="s">
        <v>56</v>
      </c>
      <c r="U523" s="54" t="s">
        <v>56</v>
      </c>
    </row>
    <row r="524" spans="1:21" ht="137.5" x14ac:dyDescent="0.25">
      <c r="A524" s="53">
        <v>523</v>
      </c>
      <c r="B524" s="54" t="s">
        <v>2214</v>
      </c>
      <c r="C524" s="54" t="s">
        <v>2215</v>
      </c>
      <c r="D524" s="54" t="s">
        <v>59</v>
      </c>
      <c r="E524" s="54" t="s">
        <v>257</v>
      </c>
      <c r="F524" s="55" t="s">
        <v>2216</v>
      </c>
      <c r="G524" s="56">
        <v>43019</v>
      </c>
      <c r="H524" s="54" t="s">
        <v>2217</v>
      </c>
      <c r="I524" s="57">
        <v>43046</v>
      </c>
      <c r="J524" s="54" t="s">
        <v>1905</v>
      </c>
      <c r="K524" s="54" t="s">
        <v>81</v>
      </c>
      <c r="L524" s="56"/>
      <c r="M524" s="56"/>
      <c r="N524" s="54"/>
      <c r="O524" s="54"/>
      <c r="P524" s="54"/>
      <c r="Q524" s="54"/>
      <c r="R524" s="54"/>
      <c r="S524" s="54"/>
      <c r="T524" s="54" t="s">
        <v>56</v>
      </c>
      <c r="U524" s="54" t="s">
        <v>56</v>
      </c>
    </row>
    <row r="525" spans="1:21" ht="125" x14ac:dyDescent="0.25">
      <c r="A525" s="53">
        <v>524</v>
      </c>
      <c r="B525" s="54" t="s">
        <v>2218</v>
      </c>
      <c r="C525" s="54" t="s">
        <v>2219</v>
      </c>
      <c r="D525" s="54" t="s">
        <v>59</v>
      </c>
      <c r="E525" s="54" t="s">
        <v>257</v>
      </c>
      <c r="F525" s="55" t="s">
        <v>2220</v>
      </c>
      <c r="G525" s="56">
        <v>42601.338912036997</v>
      </c>
      <c r="H525" s="54" t="s">
        <v>2221</v>
      </c>
      <c r="I525" s="57">
        <v>42647</v>
      </c>
      <c r="J525" s="54" t="s">
        <v>80</v>
      </c>
      <c r="K525" s="54" t="s">
        <v>55</v>
      </c>
      <c r="L525" s="56"/>
      <c r="M525" s="56"/>
      <c r="N525" s="58"/>
      <c r="O525" s="58"/>
      <c r="P525" s="58"/>
      <c r="Q525" s="59"/>
      <c r="R525" s="58"/>
      <c r="S525" s="58"/>
      <c r="T525" s="54" t="s">
        <v>56</v>
      </c>
      <c r="U525" s="54" t="s">
        <v>56</v>
      </c>
    </row>
    <row r="526" spans="1:21" ht="37.5" x14ac:dyDescent="0.25">
      <c r="A526" s="53">
        <v>525</v>
      </c>
      <c r="B526" s="54" t="s">
        <v>2222</v>
      </c>
      <c r="C526" s="54" t="s">
        <v>2223</v>
      </c>
      <c r="D526" s="54" t="s">
        <v>59</v>
      </c>
      <c r="E526" s="54" t="s">
        <v>257</v>
      </c>
      <c r="F526" s="55" t="s">
        <v>2224</v>
      </c>
      <c r="G526" s="56">
        <v>43000</v>
      </c>
      <c r="H526" s="54" t="s">
        <v>2225</v>
      </c>
      <c r="I526" s="57">
        <v>43020</v>
      </c>
      <c r="J526" s="54" t="s">
        <v>986</v>
      </c>
      <c r="K526" s="54" t="s">
        <v>81</v>
      </c>
      <c r="L526" s="56"/>
      <c r="M526" s="56"/>
      <c r="N526" s="54"/>
      <c r="O526" s="54"/>
      <c r="P526" s="54"/>
      <c r="Q526" s="54"/>
      <c r="R526" s="54"/>
      <c r="S526" s="54"/>
      <c r="T526" s="54" t="s">
        <v>56</v>
      </c>
      <c r="U526" s="54" t="s">
        <v>56</v>
      </c>
    </row>
    <row r="527" spans="1:21" ht="125" x14ac:dyDescent="0.25">
      <c r="A527" s="53">
        <v>526</v>
      </c>
      <c r="B527" s="54" t="s">
        <v>2226</v>
      </c>
      <c r="C527" s="54" t="s">
        <v>2227</v>
      </c>
      <c r="D527" s="54" t="s">
        <v>59</v>
      </c>
      <c r="E527" s="54" t="s">
        <v>257</v>
      </c>
      <c r="F527" s="55" t="s">
        <v>2228</v>
      </c>
      <c r="G527" s="56">
        <v>42600.755416666703</v>
      </c>
      <c r="H527" s="54" t="s">
        <v>2229</v>
      </c>
      <c r="I527" s="57">
        <v>42640</v>
      </c>
      <c r="J527" s="54" t="s">
        <v>80</v>
      </c>
      <c r="K527" s="54" t="s">
        <v>55</v>
      </c>
      <c r="L527" s="56"/>
      <c r="M527" s="56"/>
      <c r="N527" s="58"/>
      <c r="O527" s="58"/>
      <c r="P527" s="58"/>
      <c r="Q527" s="59"/>
      <c r="R527" s="58"/>
      <c r="S527" s="58"/>
      <c r="T527" s="54" t="s">
        <v>56</v>
      </c>
      <c r="U527" s="54" t="s">
        <v>56</v>
      </c>
    </row>
    <row r="528" spans="1:21" ht="75" x14ac:dyDescent="0.25">
      <c r="A528" s="53">
        <v>527</v>
      </c>
      <c r="B528" s="54" t="s">
        <v>2230</v>
      </c>
      <c r="C528" s="54" t="s">
        <v>2231</v>
      </c>
      <c r="D528" s="54" t="s">
        <v>59</v>
      </c>
      <c r="E528" s="54" t="s">
        <v>257</v>
      </c>
      <c r="F528" s="55" t="s">
        <v>2232</v>
      </c>
      <c r="G528" s="56">
        <v>43000</v>
      </c>
      <c r="H528" s="54" t="s">
        <v>2233</v>
      </c>
      <c r="I528" s="57">
        <v>43020</v>
      </c>
      <c r="J528" s="54" t="s">
        <v>986</v>
      </c>
      <c r="K528" s="54" t="s">
        <v>81</v>
      </c>
      <c r="L528" s="56"/>
      <c r="M528" s="56"/>
      <c r="N528" s="54"/>
      <c r="O528" s="54"/>
      <c r="P528" s="54"/>
      <c r="Q528" s="54"/>
      <c r="R528" s="54"/>
      <c r="S528" s="54"/>
      <c r="T528" s="54" t="s">
        <v>56</v>
      </c>
      <c r="U528" s="54" t="s">
        <v>56</v>
      </c>
    </row>
    <row r="529" spans="1:21" ht="62.5" x14ac:dyDescent="0.25">
      <c r="A529" s="53">
        <v>528</v>
      </c>
      <c r="B529" s="54" t="s">
        <v>2234</v>
      </c>
      <c r="C529" s="54" t="s">
        <v>2235</v>
      </c>
      <c r="D529" s="54" t="s">
        <v>59</v>
      </c>
      <c r="E529" s="54" t="s">
        <v>257</v>
      </c>
      <c r="F529" s="55" t="s">
        <v>2236</v>
      </c>
      <c r="G529" s="56">
        <v>43000</v>
      </c>
      <c r="H529" s="54" t="s">
        <v>2237</v>
      </c>
      <c r="I529" s="57">
        <v>43020</v>
      </c>
      <c r="J529" s="54" t="s">
        <v>986</v>
      </c>
      <c r="K529" s="54" t="s">
        <v>81</v>
      </c>
      <c r="L529" s="56"/>
      <c r="M529" s="56"/>
      <c r="N529" s="54"/>
      <c r="O529" s="54"/>
      <c r="P529" s="54"/>
      <c r="Q529" s="54"/>
      <c r="R529" s="54"/>
      <c r="S529" s="54"/>
      <c r="T529" s="54" t="s">
        <v>56</v>
      </c>
      <c r="U529" s="54" t="s">
        <v>56</v>
      </c>
    </row>
    <row r="530" spans="1:21" ht="62.5" x14ac:dyDescent="0.25">
      <c r="A530" s="53">
        <v>529</v>
      </c>
      <c r="B530" s="54" t="s">
        <v>2238</v>
      </c>
      <c r="C530" s="54" t="s">
        <v>2239</v>
      </c>
      <c r="D530" s="54" t="s">
        <v>59</v>
      </c>
      <c r="E530" s="54" t="s">
        <v>257</v>
      </c>
      <c r="F530" s="65" t="s">
        <v>2240</v>
      </c>
      <c r="G530" s="66">
        <v>43539</v>
      </c>
      <c r="H530" s="64" t="s">
        <v>2241</v>
      </c>
      <c r="I530" s="67">
        <v>43560</v>
      </c>
      <c r="J530" s="54" t="s">
        <v>986</v>
      </c>
      <c r="K530" s="54" t="s">
        <v>81</v>
      </c>
      <c r="L530" s="56"/>
      <c r="M530" s="56"/>
      <c r="N530" s="54"/>
      <c r="O530" s="54"/>
      <c r="P530" s="54"/>
      <c r="Q530" s="54"/>
      <c r="R530" s="54"/>
      <c r="S530" s="54"/>
      <c r="T530" s="54" t="s">
        <v>56</v>
      </c>
      <c r="U530" s="54" t="s">
        <v>56</v>
      </c>
    </row>
    <row r="531" spans="1:21" ht="137.5" x14ac:dyDescent="0.25">
      <c r="A531" s="53">
        <v>530</v>
      </c>
      <c r="B531" s="54" t="s">
        <v>2242</v>
      </c>
      <c r="C531" s="54" t="s">
        <v>2243</v>
      </c>
      <c r="D531" s="54" t="s">
        <v>59</v>
      </c>
      <c r="E531" s="54" t="s">
        <v>257</v>
      </c>
      <c r="F531" s="55" t="s">
        <v>2244</v>
      </c>
      <c r="G531" s="56">
        <v>43053</v>
      </c>
      <c r="H531" s="54" t="s">
        <v>2245</v>
      </c>
      <c r="I531" s="57">
        <v>43066</v>
      </c>
      <c r="J531" s="54" t="s">
        <v>965</v>
      </c>
      <c r="K531" s="54" t="s">
        <v>81</v>
      </c>
      <c r="L531" s="56"/>
      <c r="M531" s="56"/>
      <c r="N531" s="54"/>
      <c r="O531" s="54"/>
      <c r="P531" s="54"/>
      <c r="Q531" s="54"/>
      <c r="R531" s="54"/>
      <c r="S531" s="54"/>
      <c r="T531" s="54" t="s">
        <v>56</v>
      </c>
      <c r="U531" s="54" t="s">
        <v>56</v>
      </c>
    </row>
    <row r="532" spans="1:21" ht="125" x14ac:dyDescent="0.25">
      <c r="A532" s="53">
        <v>531</v>
      </c>
      <c r="B532" s="54" t="s">
        <v>2246</v>
      </c>
      <c r="C532" s="54" t="s">
        <v>2247</v>
      </c>
      <c r="D532" s="54" t="s">
        <v>59</v>
      </c>
      <c r="E532" s="54" t="s">
        <v>257</v>
      </c>
      <c r="F532" s="55" t="s">
        <v>2248</v>
      </c>
      <c r="G532" s="56">
        <v>42600.755439814799</v>
      </c>
      <c r="H532" s="54" t="s">
        <v>2249</v>
      </c>
      <c r="I532" s="57">
        <v>42640</v>
      </c>
      <c r="J532" s="54" t="s">
        <v>80</v>
      </c>
      <c r="K532" s="54" t="s">
        <v>55</v>
      </c>
      <c r="L532" s="56"/>
      <c r="M532" s="56"/>
      <c r="N532" s="58"/>
      <c r="O532" s="58"/>
      <c r="P532" s="58"/>
      <c r="Q532" s="59"/>
      <c r="R532" s="58"/>
      <c r="S532" s="58"/>
      <c r="T532" s="54" t="s">
        <v>56</v>
      </c>
      <c r="U532" s="54" t="s">
        <v>56</v>
      </c>
    </row>
    <row r="533" spans="1:21" ht="100" x14ac:dyDescent="0.25">
      <c r="A533" s="53">
        <v>532</v>
      </c>
      <c r="B533" s="54" t="s">
        <v>2250</v>
      </c>
      <c r="C533" s="54" t="s">
        <v>2251</v>
      </c>
      <c r="D533" s="54" t="s">
        <v>59</v>
      </c>
      <c r="E533" s="54" t="s">
        <v>257</v>
      </c>
      <c r="F533" s="65" t="s">
        <v>2252</v>
      </c>
      <c r="G533" s="66">
        <v>43626</v>
      </c>
      <c r="H533" s="64" t="s">
        <v>2253</v>
      </c>
      <c r="I533" s="67">
        <v>43697</v>
      </c>
      <c r="J533" s="54" t="s">
        <v>986</v>
      </c>
      <c r="K533" s="54" t="s">
        <v>55</v>
      </c>
      <c r="L533" s="56"/>
      <c r="M533" s="56"/>
      <c r="N533" s="54"/>
      <c r="O533" s="54"/>
      <c r="P533" s="54"/>
      <c r="Q533" s="54"/>
      <c r="R533" s="54"/>
      <c r="S533" s="54"/>
      <c r="T533" s="54" t="s">
        <v>56</v>
      </c>
      <c r="U533" s="54" t="s">
        <v>56</v>
      </c>
    </row>
    <row r="534" spans="1:21" ht="125" x14ac:dyDescent="0.25">
      <c r="A534" s="53">
        <v>533</v>
      </c>
      <c r="B534" s="54" t="s">
        <v>2254</v>
      </c>
      <c r="C534" s="54" t="s">
        <v>2255</v>
      </c>
      <c r="D534" s="54" t="s">
        <v>59</v>
      </c>
      <c r="E534" s="54" t="s">
        <v>257</v>
      </c>
      <c r="F534" s="55" t="s">
        <v>2256</v>
      </c>
      <c r="G534" s="56">
        <v>42601.338854166701</v>
      </c>
      <c r="H534" s="54" t="s">
        <v>2257</v>
      </c>
      <c r="I534" s="57">
        <v>42640</v>
      </c>
      <c r="J534" s="54" t="s">
        <v>80</v>
      </c>
      <c r="K534" s="54" t="s">
        <v>55</v>
      </c>
      <c r="L534" s="56"/>
      <c r="M534" s="56"/>
      <c r="N534" s="58"/>
      <c r="O534" s="58"/>
      <c r="P534" s="58"/>
      <c r="Q534" s="59"/>
      <c r="R534" s="58"/>
      <c r="S534" s="58"/>
      <c r="T534" s="54" t="s">
        <v>56</v>
      </c>
      <c r="U534" s="54" t="s">
        <v>56</v>
      </c>
    </row>
    <row r="535" spans="1:21" ht="125" x14ac:dyDescent="0.25">
      <c r="A535" s="53">
        <v>534</v>
      </c>
      <c r="B535" s="54" t="s">
        <v>2258</v>
      </c>
      <c r="C535" s="54" t="s">
        <v>2259</v>
      </c>
      <c r="D535" s="54" t="s">
        <v>59</v>
      </c>
      <c r="E535" s="54" t="s">
        <v>257</v>
      </c>
      <c r="F535" s="55" t="s">
        <v>2260</v>
      </c>
      <c r="G535" s="56">
        <v>42685</v>
      </c>
      <c r="H535" s="54" t="s">
        <v>2261</v>
      </c>
      <c r="I535" s="57">
        <v>42733</v>
      </c>
      <c r="J535" s="54" t="s">
        <v>80</v>
      </c>
      <c r="K535" s="54" t="s">
        <v>55</v>
      </c>
      <c r="L535" s="56"/>
      <c r="M535" s="56"/>
      <c r="N535" s="58"/>
      <c r="O535" s="58"/>
      <c r="P535" s="58"/>
      <c r="Q535" s="59"/>
      <c r="R535" s="58"/>
      <c r="S535" s="58"/>
      <c r="T535" s="54" t="s">
        <v>56</v>
      </c>
      <c r="U535" s="54" t="s">
        <v>56</v>
      </c>
    </row>
    <row r="536" spans="1:21" ht="37.5" x14ac:dyDescent="0.25">
      <c r="A536" s="53">
        <v>535</v>
      </c>
      <c r="B536" s="54" t="s">
        <v>2262</v>
      </c>
      <c r="C536" s="54" t="s">
        <v>2263</v>
      </c>
      <c r="D536" s="54" t="s">
        <v>59</v>
      </c>
      <c r="E536" s="54" t="s">
        <v>257</v>
      </c>
      <c r="F536" s="55" t="s">
        <v>2264</v>
      </c>
      <c r="G536" s="56">
        <v>43000</v>
      </c>
      <c r="H536" s="54" t="s">
        <v>2265</v>
      </c>
      <c r="I536" s="57">
        <v>43020</v>
      </c>
      <c r="J536" s="54" t="s">
        <v>986</v>
      </c>
      <c r="K536" s="54" t="s">
        <v>55</v>
      </c>
      <c r="L536" s="56"/>
      <c r="M536" s="56"/>
      <c r="N536" s="54"/>
      <c r="O536" s="54"/>
      <c r="P536" s="54"/>
      <c r="Q536" s="54"/>
      <c r="R536" s="54"/>
      <c r="S536" s="54"/>
      <c r="T536" s="54" t="s">
        <v>56</v>
      </c>
      <c r="U536" s="54" t="s">
        <v>56</v>
      </c>
    </row>
    <row r="537" spans="1:21" ht="100" x14ac:dyDescent="0.25">
      <c r="A537" s="53">
        <v>536</v>
      </c>
      <c r="B537" s="54" t="s">
        <v>2266</v>
      </c>
      <c r="C537" s="54" t="s">
        <v>2267</v>
      </c>
      <c r="D537" s="54" t="s">
        <v>59</v>
      </c>
      <c r="E537" s="54" t="s">
        <v>257</v>
      </c>
      <c r="F537" s="55" t="s">
        <v>2268</v>
      </c>
      <c r="G537" s="56">
        <v>43000</v>
      </c>
      <c r="H537" s="54" t="s">
        <v>2269</v>
      </c>
      <c r="I537" s="57">
        <v>43046</v>
      </c>
      <c r="J537" s="54" t="s">
        <v>2270</v>
      </c>
      <c r="K537" s="54" t="s">
        <v>81</v>
      </c>
      <c r="L537" s="56"/>
      <c r="M537" s="56"/>
      <c r="N537" s="54"/>
      <c r="O537" s="54"/>
      <c r="P537" s="54"/>
      <c r="Q537" s="54"/>
      <c r="R537" s="54"/>
      <c r="S537" s="54"/>
      <c r="T537" s="54" t="s">
        <v>56</v>
      </c>
      <c r="U537" s="54" t="s">
        <v>56</v>
      </c>
    </row>
    <row r="538" spans="1:21" ht="137.5" x14ac:dyDescent="0.25">
      <c r="A538" s="53">
        <v>537</v>
      </c>
      <c r="B538" s="54" t="s">
        <v>2271</v>
      </c>
      <c r="C538" s="54" t="s">
        <v>2272</v>
      </c>
      <c r="D538" s="54" t="s">
        <v>59</v>
      </c>
      <c r="E538" s="54" t="s">
        <v>257</v>
      </c>
      <c r="F538" s="55" t="s">
        <v>2273</v>
      </c>
      <c r="G538" s="56">
        <v>42685</v>
      </c>
      <c r="H538" s="54" t="s">
        <v>2274</v>
      </c>
      <c r="I538" s="57">
        <v>42733</v>
      </c>
      <c r="J538" s="54" t="s">
        <v>920</v>
      </c>
      <c r="K538" s="54" t="s">
        <v>55</v>
      </c>
      <c r="L538" s="56"/>
      <c r="M538" s="56"/>
      <c r="N538" s="58"/>
      <c r="O538" s="58"/>
      <c r="P538" s="58"/>
      <c r="Q538" s="59"/>
      <c r="R538" s="58"/>
      <c r="S538" s="58"/>
      <c r="T538" s="54" t="s">
        <v>56</v>
      </c>
      <c r="U538" s="54" t="s">
        <v>56</v>
      </c>
    </row>
    <row r="539" spans="1:21" ht="125" x14ac:dyDescent="0.25">
      <c r="A539" s="53">
        <v>538</v>
      </c>
      <c r="B539" s="54" t="s">
        <v>2275</v>
      </c>
      <c r="C539" s="54" t="s">
        <v>2276</v>
      </c>
      <c r="D539" s="54" t="s">
        <v>59</v>
      </c>
      <c r="E539" s="54" t="s">
        <v>257</v>
      </c>
      <c r="F539" s="55" t="s">
        <v>2277</v>
      </c>
      <c r="G539" s="56">
        <v>42601.338877314804</v>
      </c>
      <c r="H539" s="54" t="s">
        <v>2278</v>
      </c>
      <c r="I539" s="57">
        <v>42627</v>
      </c>
      <c r="J539" s="54" t="s">
        <v>80</v>
      </c>
      <c r="K539" s="54" t="s">
        <v>55</v>
      </c>
      <c r="L539" s="56"/>
      <c r="M539" s="56"/>
      <c r="N539" s="58"/>
      <c r="O539" s="58"/>
      <c r="P539" s="58"/>
      <c r="Q539" s="59"/>
      <c r="R539" s="58"/>
      <c r="S539" s="58"/>
      <c r="T539" s="54" t="s">
        <v>56</v>
      </c>
      <c r="U539" s="54" t="s">
        <v>56</v>
      </c>
    </row>
    <row r="540" spans="1:21" ht="37.5" x14ac:dyDescent="0.25">
      <c r="A540" s="53">
        <v>539</v>
      </c>
      <c r="B540" s="54" t="s">
        <v>2279</v>
      </c>
      <c r="C540" s="64" t="s">
        <v>2280</v>
      </c>
      <c r="D540" s="54" t="s">
        <v>59</v>
      </c>
      <c r="E540" s="54" t="s">
        <v>257</v>
      </c>
      <c r="F540" s="65" t="s">
        <v>2281</v>
      </c>
      <c r="G540" s="66">
        <v>43560</v>
      </c>
      <c r="H540" s="64" t="s">
        <v>2282</v>
      </c>
      <c r="I540" s="67">
        <v>43696</v>
      </c>
      <c r="J540" s="64" t="s">
        <v>986</v>
      </c>
      <c r="K540" s="54" t="s">
        <v>81</v>
      </c>
      <c r="L540" s="56"/>
      <c r="M540" s="56"/>
      <c r="N540" s="54"/>
      <c r="O540" s="54"/>
      <c r="P540" s="54"/>
      <c r="Q540" s="54"/>
      <c r="R540" s="54"/>
      <c r="S540" s="54"/>
      <c r="T540" s="54" t="s">
        <v>56</v>
      </c>
      <c r="U540" s="54" t="s">
        <v>56</v>
      </c>
    </row>
    <row r="541" spans="1:21" ht="100" x14ac:dyDescent="0.25">
      <c r="A541" s="53">
        <v>540</v>
      </c>
      <c r="B541" s="54" t="s">
        <v>2283</v>
      </c>
      <c r="C541" s="54" t="s">
        <v>2284</v>
      </c>
      <c r="D541" s="54" t="s">
        <v>59</v>
      </c>
      <c r="E541" s="54" t="s">
        <v>257</v>
      </c>
      <c r="F541" s="55" t="s">
        <v>2285</v>
      </c>
      <c r="G541" s="56">
        <v>42600.755543981497</v>
      </c>
      <c r="H541" s="54" t="s">
        <v>2286</v>
      </c>
      <c r="I541" s="57">
        <v>42657</v>
      </c>
      <c r="J541" s="54" t="s">
        <v>999</v>
      </c>
      <c r="K541" s="54" t="s">
        <v>55</v>
      </c>
      <c r="L541" s="56"/>
      <c r="M541" s="56"/>
      <c r="N541" s="58"/>
      <c r="O541" s="58"/>
      <c r="P541" s="58"/>
      <c r="Q541" s="59"/>
      <c r="R541" s="58"/>
      <c r="S541" s="58"/>
      <c r="T541" s="54" t="s">
        <v>56</v>
      </c>
      <c r="U541" s="54" t="s">
        <v>56</v>
      </c>
    </row>
    <row r="542" spans="1:21" ht="125" x14ac:dyDescent="0.25">
      <c r="A542" s="53">
        <v>541</v>
      </c>
      <c r="B542" s="54" t="s">
        <v>2287</v>
      </c>
      <c r="C542" s="54" t="s">
        <v>2288</v>
      </c>
      <c r="D542" s="54" t="s">
        <v>59</v>
      </c>
      <c r="E542" s="54" t="s">
        <v>257</v>
      </c>
      <c r="F542" s="55" t="s">
        <v>2289</v>
      </c>
      <c r="G542" s="56">
        <v>42601.338923611103</v>
      </c>
      <c r="H542" s="54" t="s">
        <v>2290</v>
      </c>
      <c r="I542" s="57">
        <v>42640</v>
      </c>
      <c r="J542" s="54" t="s">
        <v>80</v>
      </c>
      <c r="K542" s="54" t="s">
        <v>55</v>
      </c>
      <c r="L542" s="56"/>
      <c r="M542" s="56"/>
      <c r="N542" s="58"/>
      <c r="O542" s="58"/>
      <c r="P542" s="58"/>
      <c r="Q542" s="59"/>
      <c r="R542" s="58"/>
      <c r="S542" s="58"/>
      <c r="T542" s="54" t="s">
        <v>56</v>
      </c>
      <c r="U542" s="54" t="s">
        <v>56</v>
      </c>
    </row>
    <row r="543" spans="1:21" ht="37.5" x14ac:dyDescent="0.25">
      <c r="A543" s="53">
        <v>542</v>
      </c>
      <c r="B543" s="54" t="s">
        <v>2291</v>
      </c>
      <c r="C543" s="54" t="s">
        <v>2292</v>
      </c>
      <c r="D543" s="54" t="s">
        <v>59</v>
      </c>
      <c r="E543" s="54" t="s">
        <v>257</v>
      </c>
      <c r="F543" s="55" t="s">
        <v>2293</v>
      </c>
      <c r="G543" s="56">
        <v>43311</v>
      </c>
      <c r="H543" s="54" t="s">
        <v>2294</v>
      </c>
      <c r="I543" s="57">
        <v>43440</v>
      </c>
      <c r="J543" s="54" t="s">
        <v>986</v>
      </c>
      <c r="K543" s="54" t="s">
        <v>55</v>
      </c>
      <c r="L543" s="56"/>
      <c r="M543" s="56"/>
      <c r="N543" s="54"/>
      <c r="O543" s="54"/>
      <c r="P543" s="54"/>
      <c r="Q543" s="54"/>
      <c r="R543" s="54"/>
      <c r="S543" s="54"/>
      <c r="T543" s="54" t="s">
        <v>56</v>
      </c>
      <c r="U543" s="54" t="s">
        <v>56</v>
      </c>
    </row>
    <row r="544" spans="1:21" ht="100" x14ac:dyDescent="0.25">
      <c r="A544" s="53">
        <v>543</v>
      </c>
      <c r="B544" s="54" t="s">
        <v>2295</v>
      </c>
      <c r="C544" s="54" t="s">
        <v>2296</v>
      </c>
      <c r="D544" s="54" t="s">
        <v>59</v>
      </c>
      <c r="E544" s="54" t="s">
        <v>257</v>
      </c>
      <c r="F544" s="55" t="s">
        <v>2297</v>
      </c>
      <c r="G544" s="56">
        <v>42601.338935185202</v>
      </c>
      <c r="H544" s="54" t="s">
        <v>2298</v>
      </c>
      <c r="I544" s="57">
        <v>42657</v>
      </c>
      <c r="J544" s="54" t="s">
        <v>999</v>
      </c>
      <c r="K544" s="54" t="s">
        <v>55</v>
      </c>
      <c r="L544" s="56"/>
      <c r="M544" s="56"/>
      <c r="N544" s="58"/>
      <c r="O544" s="58"/>
      <c r="P544" s="58"/>
      <c r="Q544" s="59"/>
      <c r="R544" s="58"/>
      <c r="S544" s="58"/>
      <c r="T544" s="54" t="s">
        <v>56</v>
      </c>
      <c r="U544" s="54" t="s">
        <v>56</v>
      </c>
    </row>
    <row r="545" spans="1:21" ht="125" x14ac:dyDescent="0.25">
      <c r="A545" s="53">
        <v>544</v>
      </c>
      <c r="B545" s="54" t="s">
        <v>2299</v>
      </c>
      <c r="C545" s="54" t="s">
        <v>2300</v>
      </c>
      <c r="D545" s="54" t="s">
        <v>59</v>
      </c>
      <c r="E545" s="54" t="s">
        <v>257</v>
      </c>
      <c r="F545" s="55" t="s">
        <v>2301</v>
      </c>
      <c r="G545" s="56">
        <v>43025.463773148098</v>
      </c>
      <c r="H545" s="59" t="s">
        <v>2302</v>
      </c>
      <c r="I545" s="57">
        <v>43038</v>
      </c>
      <c r="J545" s="54" t="s">
        <v>80</v>
      </c>
      <c r="K545" s="54" t="s">
        <v>55</v>
      </c>
      <c r="L545" s="56"/>
      <c r="M545" s="56"/>
      <c r="N545" s="54"/>
      <c r="O545" s="54"/>
      <c r="P545" s="54"/>
      <c r="Q545" s="54"/>
      <c r="R545" s="54"/>
      <c r="S545" s="54"/>
      <c r="T545" s="54" t="s">
        <v>56</v>
      </c>
      <c r="U545" s="54" t="s">
        <v>56</v>
      </c>
    </row>
    <row r="546" spans="1:21" ht="125" x14ac:dyDescent="0.25">
      <c r="A546" s="53">
        <v>545</v>
      </c>
      <c r="B546" s="54" t="s">
        <v>2303</v>
      </c>
      <c r="C546" s="54" t="s">
        <v>2304</v>
      </c>
      <c r="D546" s="54" t="s">
        <v>59</v>
      </c>
      <c r="E546" s="54" t="s">
        <v>257</v>
      </c>
      <c r="F546" s="55" t="s">
        <v>2305</v>
      </c>
      <c r="G546" s="56">
        <v>42601.338807870401</v>
      </c>
      <c r="H546" s="54" t="s">
        <v>2306</v>
      </c>
      <c r="I546" s="57">
        <v>42627</v>
      </c>
      <c r="J546" s="54" t="s">
        <v>80</v>
      </c>
      <c r="K546" s="54" t="s">
        <v>55</v>
      </c>
      <c r="L546" s="56"/>
      <c r="M546" s="56"/>
      <c r="N546" s="58"/>
      <c r="O546" s="58"/>
      <c r="P546" s="58"/>
      <c r="Q546" s="59"/>
      <c r="R546" s="58"/>
      <c r="S546" s="58"/>
      <c r="T546" s="54" t="s">
        <v>56</v>
      </c>
      <c r="U546" s="54" t="s">
        <v>56</v>
      </c>
    </row>
    <row r="547" spans="1:21" ht="125" x14ac:dyDescent="0.25">
      <c r="A547" s="53">
        <v>546</v>
      </c>
      <c r="B547" s="54" t="s">
        <v>2307</v>
      </c>
      <c r="C547" s="54" t="s">
        <v>2308</v>
      </c>
      <c r="D547" s="54" t="s">
        <v>59</v>
      </c>
      <c r="E547" s="54" t="s">
        <v>257</v>
      </c>
      <c r="F547" s="55" t="s">
        <v>2309</v>
      </c>
      <c r="G547" s="56">
        <v>42600.755474537</v>
      </c>
      <c r="H547" s="54" t="s">
        <v>2310</v>
      </c>
      <c r="I547" s="57">
        <v>42640</v>
      </c>
      <c r="J547" s="54" t="s">
        <v>80</v>
      </c>
      <c r="K547" s="54" t="s">
        <v>55</v>
      </c>
      <c r="L547" s="56"/>
      <c r="M547" s="56"/>
      <c r="N547" s="58"/>
      <c r="O547" s="58"/>
      <c r="P547" s="58"/>
      <c r="Q547" s="59"/>
      <c r="R547" s="58"/>
      <c r="S547" s="58"/>
      <c r="T547" s="54" t="s">
        <v>56</v>
      </c>
      <c r="U547" s="54" t="s">
        <v>56</v>
      </c>
    </row>
    <row r="548" spans="1:21" ht="125" x14ac:dyDescent="0.25">
      <c r="A548" s="53">
        <v>547</v>
      </c>
      <c r="B548" s="54" t="s">
        <v>2311</v>
      </c>
      <c r="C548" s="54" t="s">
        <v>2312</v>
      </c>
      <c r="D548" s="54" t="s">
        <v>59</v>
      </c>
      <c r="E548" s="54" t="s">
        <v>257</v>
      </c>
      <c r="F548" s="55" t="s">
        <v>2313</v>
      </c>
      <c r="G548" s="56">
        <v>42600.755451388897</v>
      </c>
      <c r="H548" s="54" t="s">
        <v>2314</v>
      </c>
      <c r="I548" s="57">
        <v>42642</v>
      </c>
      <c r="J548" s="54" t="s">
        <v>80</v>
      </c>
      <c r="K548" s="54" t="s">
        <v>55</v>
      </c>
      <c r="L548" s="56"/>
      <c r="M548" s="56"/>
      <c r="N548" s="58"/>
      <c r="O548" s="58"/>
      <c r="P548" s="58"/>
      <c r="Q548" s="59"/>
      <c r="R548" s="58"/>
      <c r="S548" s="58"/>
      <c r="T548" s="54" t="s">
        <v>56</v>
      </c>
      <c r="U548" s="54" t="s">
        <v>56</v>
      </c>
    </row>
    <row r="549" spans="1:21" ht="125" x14ac:dyDescent="0.25">
      <c r="A549" s="53">
        <v>548</v>
      </c>
      <c r="B549" s="54" t="s">
        <v>2315</v>
      </c>
      <c r="C549" s="54" t="s">
        <v>2316</v>
      </c>
      <c r="D549" s="54" t="s">
        <v>59</v>
      </c>
      <c r="E549" s="54" t="s">
        <v>257</v>
      </c>
      <c r="F549" s="55" t="s">
        <v>2317</v>
      </c>
      <c r="G549" s="56">
        <v>42600.755474537</v>
      </c>
      <c r="H549" s="54" t="s">
        <v>2318</v>
      </c>
      <c r="I549" s="57">
        <v>42642</v>
      </c>
      <c r="J549" s="54" t="s">
        <v>80</v>
      </c>
      <c r="K549" s="54" t="s">
        <v>55</v>
      </c>
      <c r="L549" s="56"/>
      <c r="M549" s="56"/>
      <c r="N549" s="58"/>
      <c r="O549" s="58"/>
      <c r="P549" s="58"/>
      <c r="Q549" s="59"/>
      <c r="R549" s="58"/>
      <c r="S549" s="58"/>
      <c r="T549" s="54" t="s">
        <v>56</v>
      </c>
      <c r="U549" s="54" t="s">
        <v>56</v>
      </c>
    </row>
    <row r="550" spans="1:21" ht="100" x14ac:dyDescent="0.25">
      <c r="A550" s="53">
        <v>549</v>
      </c>
      <c r="B550" s="54" t="s">
        <v>2319</v>
      </c>
      <c r="C550" s="54" t="s">
        <v>2320</v>
      </c>
      <c r="D550" s="54" t="s">
        <v>50</v>
      </c>
      <c r="E550" s="54" t="s">
        <v>257</v>
      </c>
      <c r="F550" s="55" t="s">
        <v>2321</v>
      </c>
      <c r="G550" s="56">
        <v>42685</v>
      </c>
      <c r="H550" s="54" t="s">
        <v>2322</v>
      </c>
      <c r="I550" s="57">
        <v>42716</v>
      </c>
      <c r="J550" s="54" t="s">
        <v>54</v>
      </c>
      <c r="K550" s="54" t="s">
        <v>55</v>
      </c>
      <c r="L550" s="56"/>
      <c r="M550" s="56"/>
      <c r="N550" s="58"/>
      <c r="O550" s="58"/>
      <c r="P550" s="58"/>
      <c r="Q550" s="59"/>
      <c r="R550" s="58"/>
      <c r="S550" s="58"/>
      <c r="T550" s="54" t="s">
        <v>104</v>
      </c>
      <c r="U550" s="54" t="s">
        <v>105</v>
      </c>
    </row>
    <row r="551" spans="1:21" ht="100" x14ac:dyDescent="0.25">
      <c r="A551" s="53">
        <v>550</v>
      </c>
      <c r="B551" s="54" t="s">
        <v>2323</v>
      </c>
      <c r="C551" s="54" t="s">
        <v>2324</v>
      </c>
      <c r="D551" s="54" t="s">
        <v>50</v>
      </c>
      <c r="E551" s="54" t="s">
        <v>257</v>
      </c>
      <c r="F551" s="55" t="s">
        <v>2325</v>
      </c>
      <c r="G551" s="56">
        <v>42601.338888888902</v>
      </c>
      <c r="H551" s="54" t="s">
        <v>2326</v>
      </c>
      <c r="I551" s="57">
        <v>42629</v>
      </c>
      <c r="J551" s="54" t="s">
        <v>54</v>
      </c>
      <c r="K551" s="54" t="s">
        <v>55</v>
      </c>
      <c r="L551" s="56"/>
      <c r="M551" s="56"/>
      <c r="N551" s="58"/>
      <c r="O551" s="58"/>
      <c r="P551" s="58"/>
      <c r="Q551" s="59"/>
      <c r="R551" s="58"/>
      <c r="S551" s="58"/>
      <c r="T551" s="54" t="s">
        <v>56</v>
      </c>
      <c r="U551" s="54" t="s">
        <v>56</v>
      </c>
    </row>
    <row r="552" spans="1:21" ht="100" x14ac:dyDescent="0.25">
      <c r="A552" s="53">
        <v>551</v>
      </c>
      <c r="B552" s="54" t="s">
        <v>2327</v>
      </c>
      <c r="C552" s="54" t="s">
        <v>2328</v>
      </c>
      <c r="D552" s="54" t="s">
        <v>50</v>
      </c>
      <c r="E552" s="54" t="s">
        <v>257</v>
      </c>
      <c r="F552" s="55" t="s">
        <v>2329</v>
      </c>
      <c r="G552" s="56">
        <v>42685</v>
      </c>
      <c r="H552" s="54" t="s">
        <v>2330</v>
      </c>
      <c r="I552" s="57">
        <v>42733</v>
      </c>
      <c r="J552" s="54" t="s">
        <v>54</v>
      </c>
      <c r="K552" s="54" t="s">
        <v>55</v>
      </c>
      <c r="L552" s="56"/>
      <c r="M552" s="56"/>
      <c r="N552" s="58"/>
      <c r="O552" s="58"/>
      <c r="P552" s="58"/>
      <c r="Q552" s="59"/>
      <c r="R552" s="58"/>
      <c r="S552" s="58"/>
      <c r="T552" s="54" t="s">
        <v>56</v>
      </c>
      <c r="U552" s="54" t="s">
        <v>56</v>
      </c>
    </row>
    <row r="553" spans="1:21" ht="137.5" x14ac:dyDescent="0.25">
      <c r="A553" s="53">
        <v>552</v>
      </c>
      <c r="B553" s="54" t="s">
        <v>2331</v>
      </c>
      <c r="C553" s="54" t="s">
        <v>2332</v>
      </c>
      <c r="D553" s="54" t="s">
        <v>59</v>
      </c>
      <c r="E553" s="54" t="s">
        <v>257</v>
      </c>
      <c r="F553" s="55" t="s">
        <v>2333</v>
      </c>
      <c r="G553" s="56">
        <v>42685</v>
      </c>
      <c r="H553" s="54" t="s">
        <v>2334</v>
      </c>
      <c r="I553" s="57">
        <v>42733</v>
      </c>
      <c r="J553" s="54" t="s">
        <v>920</v>
      </c>
      <c r="K553" s="54" t="s">
        <v>55</v>
      </c>
      <c r="L553" s="56"/>
      <c r="M553" s="56"/>
      <c r="N553" s="58"/>
      <c r="O553" s="58"/>
      <c r="P553" s="58"/>
      <c r="Q553" s="59"/>
      <c r="R553" s="58"/>
      <c r="S553" s="58"/>
      <c r="T553" s="54" t="s">
        <v>56</v>
      </c>
      <c r="U553" s="54" t="s">
        <v>56</v>
      </c>
    </row>
    <row r="554" spans="1:21" ht="100" x14ac:dyDescent="0.25">
      <c r="A554" s="53">
        <v>553</v>
      </c>
      <c r="B554" s="54" t="s">
        <v>2335</v>
      </c>
      <c r="C554" s="54" t="s">
        <v>2336</v>
      </c>
      <c r="D554" s="54" t="s">
        <v>59</v>
      </c>
      <c r="E554" s="54" t="s">
        <v>257</v>
      </c>
      <c r="F554" s="55" t="s">
        <v>2337</v>
      </c>
      <c r="G554" s="56">
        <v>42601.338888888902</v>
      </c>
      <c r="H554" s="54" t="s">
        <v>2338</v>
      </c>
      <c r="I554" s="57">
        <v>42657</v>
      </c>
      <c r="J554" s="54" t="s">
        <v>999</v>
      </c>
      <c r="K554" s="54" t="s">
        <v>55</v>
      </c>
      <c r="L554" s="56"/>
      <c r="M554" s="56"/>
      <c r="N554" s="58"/>
      <c r="O554" s="58"/>
      <c r="P554" s="58"/>
      <c r="Q554" s="59"/>
      <c r="R554" s="58"/>
      <c r="S554" s="58"/>
      <c r="T554" s="54" t="s">
        <v>56</v>
      </c>
      <c r="U554" s="54" t="s">
        <v>56</v>
      </c>
    </row>
    <row r="555" spans="1:21" ht="137.5" x14ac:dyDescent="0.25">
      <c r="A555" s="53">
        <v>554</v>
      </c>
      <c r="B555" s="54" t="s">
        <v>2339</v>
      </c>
      <c r="C555" s="54" t="s">
        <v>2340</v>
      </c>
      <c r="D555" s="54" t="s">
        <v>59</v>
      </c>
      <c r="E555" s="54" t="s">
        <v>257</v>
      </c>
      <c r="F555" s="55" t="s">
        <v>2341</v>
      </c>
      <c r="G555" s="56">
        <v>43027</v>
      </c>
      <c r="H555" s="54" t="s">
        <v>2342</v>
      </c>
      <c r="I555" s="57">
        <v>43046</v>
      </c>
      <c r="J555" s="54" t="s">
        <v>965</v>
      </c>
      <c r="K555" s="54" t="s">
        <v>55</v>
      </c>
      <c r="L555" s="56"/>
      <c r="M555" s="56"/>
      <c r="N555" s="54"/>
      <c r="O555" s="54"/>
      <c r="P555" s="54"/>
      <c r="Q555" s="54"/>
      <c r="R555" s="54"/>
      <c r="S555" s="54"/>
      <c r="T555" s="54" t="s">
        <v>87</v>
      </c>
      <c r="U555" s="54" t="s">
        <v>105</v>
      </c>
    </row>
    <row r="556" spans="1:21" ht="125" x14ac:dyDescent="0.25">
      <c r="A556" s="53">
        <v>555</v>
      </c>
      <c r="B556" s="54" t="s">
        <v>2343</v>
      </c>
      <c r="C556" s="54" t="s">
        <v>2344</v>
      </c>
      <c r="D556" s="54" t="s">
        <v>59</v>
      </c>
      <c r="E556" s="54" t="s">
        <v>257</v>
      </c>
      <c r="F556" s="55" t="s">
        <v>2345</v>
      </c>
      <c r="G556" s="56">
        <v>42600.7554282407</v>
      </c>
      <c r="H556" s="54" t="s">
        <v>2346</v>
      </c>
      <c r="I556" s="57">
        <v>42628</v>
      </c>
      <c r="J556" s="54" t="s">
        <v>80</v>
      </c>
      <c r="K556" s="54" t="s">
        <v>55</v>
      </c>
      <c r="L556" s="56"/>
      <c r="M556" s="56"/>
      <c r="N556" s="58"/>
      <c r="O556" s="58"/>
      <c r="P556" s="58"/>
      <c r="Q556" s="59"/>
      <c r="R556" s="58"/>
      <c r="S556" s="58"/>
      <c r="T556" s="54" t="s">
        <v>104</v>
      </c>
      <c r="U556" s="54" t="s">
        <v>105</v>
      </c>
    </row>
    <row r="557" spans="1:21" ht="125" x14ac:dyDescent="0.25">
      <c r="A557" s="53">
        <v>556</v>
      </c>
      <c r="B557" s="54" t="s">
        <v>2347</v>
      </c>
      <c r="C557" s="54" t="s">
        <v>2348</v>
      </c>
      <c r="D557" s="54" t="s">
        <v>59</v>
      </c>
      <c r="E557" s="54" t="s">
        <v>257</v>
      </c>
      <c r="F557" s="55" t="s">
        <v>2349</v>
      </c>
      <c r="G557" s="56">
        <v>42600.755416666703</v>
      </c>
      <c r="H557" s="54" t="s">
        <v>2350</v>
      </c>
      <c r="I557" s="57">
        <v>42640</v>
      </c>
      <c r="J557" s="54" t="s">
        <v>80</v>
      </c>
      <c r="K557" s="54" t="s">
        <v>55</v>
      </c>
      <c r="L557" s="56"/>
      <c r="M557" s="56"/>
      <c r="N557" s="58"/>
      <c r="O557" s="58"/>
      <c r="P557" s="58"/>
      <c r="Q557" s="59"/>
      <c r="R557" s="58"/>
      <c r="S557" s="58"/>
      <c r="T557" s="54" t="s">
        <v>56</v>
      </c>
      <c r="U557" s="54" t="s">
        <v>56</v>
      </c>
    </row>
    <row r="558" spans="1:21" ht="125" x14ac:dyDescent="0.25">
      <c r="A558" s="53">
        <v>557</v>
      </c>
      <c r="B558" s="54" t="s">
        <v>2351</v>
      </c>
      <c r="C558" s="54" t="s">
        <v>2352</v>
      </c>
      <c r="D558" s="54" t="s">
        <v>59</v>
      </c>
      <c r="E558" s="54" t="s">
        <v>257</v>
      </c>
      <c r="F558" s="55" t="s">
        <v>2353</v>
      </c>
      <c r="G558" s="56">
        <v>42601.338819444398</v>
      </c>
      <c r="H558" s="54" t="s">
        <v>2354</v>
      </c>
      <c r="I558" s="57">
        <v>42640</v>
      </c>
      <c r="J558" s="54" t="s">
        <v>80</v>
      </c>
      <c r="K558" s="54" t="s">
        <v>55</v>
      </c>
      <c r="L558" s="56"/>
      <c r="M558" s="56"/>
      <c r="N558" s="58"/>
      <c r="O558" s="58"/>
      <c r="P558" s="58"/>
      <c r="Q558" s="59"/>
      <c r="R558" s="58"/>
      <c r="S558" s="58"/>
      <c r="T558" s="54" t="s">
        <v>56</v>
      </c>
      <c r="U558" s="54" t="s">
        <v>56</v>
      </c>
    </row>
    <row r="559" spans="1:21" ht="100" x14ac:dyDescent="0.25">
      <c r="A559" s="53">
        <v>558</v>
      </c>
      <c r="B559" s="54" t="s">
        <v>2355</v>
      </c>
      <c r="C559" s="54" t="s">
        <v>2356</v>
      </c>
      <c r="D559" s="54" t="s">
        <v>59</v>
      </c>
      <c r="E559" s="54" t="s">
        <v>257</v>
      </c>
      <c r="F559" s="55" t="s">
        <v>2357</v>
      </c>
      <c r="G559" s="56">
        <v>42601.338854166701</v>
      </c>
      <c r="H559" s="54" t="s">
        <v>2358</v>
      </c>
      <c r="I559" s="57">
        <v>42640</v>
      </c>
      <c r="J559" s="54" t="s">
        <v>999</v>
      </c>
      <c r="K559" s="54" t="s">
        <v>55</v>
      </c>
      <c r="L559" s="56"/>
      <c r="M559" s="56"/>
      <c r="N559" s="58"/>
      <c r="O559" s="58"/>
      <c r="P559" s="58"/>
      <c r="Q559" s="59"/>
      <c r="R559" s="58"/>
      <c r="S559" s="58"/>
      <c r="T559" s="54" t="s">
        <v>56</v>
      </c>
      <c r="U559" s="54" t="s">
        <v>56</v>
      </c>
    </row>
    <row r="560" spans="1:21" ht="125" x14ac:dyDescent="0.25">
      <c r="A560" s="53">
        <v>559</v>
      </c>
      <c r="B560" s="54" t="s">
        <v>2359</v>
      </c>
      <c r="C560" s="54" t="s">
        <v>2360</v>
      </c>
      <c r="D560" s="54" t="s">
        <v>59</v>
      </c>
      <c r="E560" s="54" t="s">
        <v>257</v>
      </c>
      <c r="F560" s="55" t="s">
        <v>2361</v>
      </c>
      <c r="G560" s="56">
        <v>42601.338865740698</v>
      </c>
      <c r="H560" s="54" t="s">
        <v>2362</v>
      </c>
      <c r="I560" s="57">
        <v>42628</v>
      </c>
      <c r="J560" s="54" t="s">
        <v>80</v>
      </c>
      <c r="K560" s="54" t="s">
        <v>55</v>
      </c>
      <c r="L560" s="56"/>
      <c r="M560" s="56"/>
      <c r="N560" s="58"/>
      <c r="O560" s="58"/>
      <c r="P560" s="58"/>
      <c r="Q560" s="59"/>
      <c r="R560" s="58"/>
      <c r="S560" s="58"/>
      <c r="T560" s="54" t="s">
        <v>56</v>
      </c>
      <c r="U560" s="54" t="s">
        <v>56</v>
      </c>
    </row>
    <row r="561" spans="1:21" ht="100" x14ac:dyDescent="0.25">
      <c r="A561" s="53">
        <v>560</v>
      </c>
      <c r="B561" s="54" t="s">
        <v>2363</v>
      </c>
      <c r="C561" s="54" t="s">
        <v>2364</v>
      </c>
      <c r="D561" s="54" t="s">
        <v>59</v>
      </c>
      <c r="E561" s="54" t="s">
        <v>257</v>
      </c>
      <c r="F561" s="55" t="s">
        <v>2365</v>
      </c>
      <c r="G561" s="56">
        <v>42600.755497685197</v>
      </c>
      <c r="H561" s="54" t="s">
        <v>2366</v>
      </c>
      <c r="I561" s="57">
        <v>42642</v>
      </c>
      <c r="J561" s="54" t="s">
        <v>999</v>
      </c>
      <c r="K561" s="54" t="s">
        <v>55</v>
      </c>
      <c r="L561" s="56"/>
      <c r="M561" s="56"/>
      <c r="N561" s="58"/>
      <c r="O561" s="58"/>
      <c r="P561" s="58"/>
      <c r="Q561" s="59"/>
      <c r="R561" s="58"/>
      <c r="S561" s="58"/>
      <c r="T561" s="54" t="s">
        <v>104</v>
      </c>
      <c r="U561" s="54" t="s">
        <v>105</v>
      </c>
    </row>
    <row r="562" spans="1:21" ht="137.5" x14ac:dyDescent="0.25">
      <c r="A562" s="53">
        <v>561</v>
      </c>
      <c r="B562" s="54" t="s">
        <v>2367</v>
      </c>
      <c r="C562" s="54" t="s">
        <v>2368</v>
      </c>
      <c r="D562" s="54" t="s">
        <v>59</v>
      </c>
      <c r="E562" s="54" t="s">
        <v>257</v>
      </c>
      <c r="F562" s="55" t="s">
        <v>2369</v>
      </c>
      <c r="G562" s="56">
        <v>43012</v>
      </c>
      <c r="H562" s="54" t="s">
        <v>2370</v>
      </c>
      <c r="I562" s="57">
        <v>43046</v>
      </c>
      <c r="J562" s="54" t="s">
        <v>965</v>
      </c>
      <c r="K562" s="54" t="s">
        <v>81</v>
      </c>
      <c r="L562" s="56"/>
      <c r="M562" s="56"/>
      <c r="N562" s="54"/>
      <c r="O562" s="54"/>
      <c r="P562" s="54"/>
      <c r="Q562" s="54"/>
      <c r="R562" s="54"/>
      <c r="S562" s="54"/>
      <c r="T562" s="54" t="s">
        <v>56</v>
      </c>
      <c r="U562" s="54" t="s">
        <v>56</v>
      </c>
    </row>
    <row r="563" spans="1:21" ht="37.5" x14ac:dyDescent="0.25">
      <c r="A563" s="53">
        <v>562</v>
      </c>
      <c r="B563" s="54" t="s">
        <v>2371</v>
      </c>
      <c r="C563" s="54" t="s">
        <v>2372</v>
      </c>
      <c r="D563" s="54" t="s">
        <v>59</v>
      </c>
      <c r="E563" s="54" t="s">
        <v>257</v>
      </c>
      <c r="F563" s="55" t="s">
        <v>2373</v>
      </c>
      <c r="G563" s="56">
        <v>43276</v>
      </c>
      <c r="H563" s="54" t="s">
        <v>2374</v>
      </c>
      <c r="I563" s="57">
        <v>43335</v>
      </c>
      <c r="J563" s="54" t="s">
        <v>986</v>
      </c>
      <c r="K563" s="54" t="s">
        <v>81</v>
      </c>
      <c r="L563" s="56"/>
      <c r="M563" s="56"/>
      <c r="N563" s="54"/>
      <c r="O563" s="54"/>
      <c r="P563" s="54"/>
      <c r="Q563" s="54"/>
      <c r="R563" s="54"/>
      <c r="S563" s="54"/>
      <c r="T563" s="54" t="s">
        <v>56</v>
      </c>
      <c r="U563" s="54" t="s">
        <v>56</v>
      </c>
    </row>
    <row r="564" spans="1:21" ht="125" x14ac:dyDescent="0.25">
      <c r="A564" s="53">
        <v>563</v>
      </c>
      <c r="B564" s="54" t="s">
        <v>2375</v>
      </c>
      <c r="C564" s="54" t="s">
        <v>2376</v>
      </c>
      <c r="D564" s="54" t="s">
        <v>59</v>
      </c>
      <c r="E564" s="54" t="s">
        <v>257</v>
      </c>
      <c r="F564" s="55" t="s">
        <v>2377</v>
      </c>
      <c r="G564" s="56">
        <v>42601.338854166701</v>
      </c>
      <c r="H564" s="54" t="s">
        <v>2378</v>
      </c>
      <c r="I564" s="57">
        <v>42640</v>
      </c>
      <c r="J564" s="54" t="s">
        <v>80</v>
      </c>
      <c r="K564" s="54" t="s">
        <v>55</v>
      </c>
      <c r="L564" s="56"/>
      <c r="M564" s="56"/>
      <c r="N564" s="58"/>
      <c r="O564" s="58"/>
      <c r="P564" s="58"/>
      <c r="Q564" s="59"/>
      <c r="R564" s="58"/>
      <c r="S564" s="58"/>
      <c r="T564" s="54" t="s">
        <v>56</v>
      </c>
      <c r="U564" s="54" t="s">
        <v>56</v>
      </c>
    </row>
    <row r="565" spans="1:21" ht="37.5" x14ac:dyDescent="0.25">
      <c r="A565" s="53">
        <v>564</v>
      </c>
      <c r="B565" s="54" t="s">
        <v>2379</v>
      </c>
      <c r="C565" s="54" t="s">
        <v>2380</v>
      </c>
      <c r="D565" s="54" t="s">
        <v>59</v>
      </c>
      <c r="E565" s="54" t="s">
        <v>257</v>
      </c>
      <c r="F565" s="55" t="s">
        <v>2381</v>
      </c>
      <c r="G565" s="56">
        <v>43195</v>
      </c>
      <c r="H565" s="54" t="s">
        <v>2382</v>
      </c>
      <c r="I565" s="57">
        <v>43213</v>
      </c>
      <c r="J565" s="54" t="s">
        <v>986</v>
      </c>
      <c r="K565" s="54" t="s">
        <v>81</v>
      </c>
      <c r="L565" s="56"/>
      <c r="M565" s="56"/>
      <c r="N565" s="54"/>
      <c r="O565" s="54"/>
      <c r="P565" s="54"/>
      <c r="Q565" s="54"/>
      <c r="R565" s="54"/>
      <c r="S565" s="54"/>
      <c r="T565" s="54" t="s">
        <v>56</v>
      </c>
      <c r="U565" s="54" t="s">
        <v>56</v>
      </c>
    </row>
    <row r="566" spans="1:21" ht="137.5" x14ac:dyDescent="0.25">
      <c r="A566" s="53">
        <v>565</v>
      </c>
      <c r="B566" s="54" t="s">
        <v>2383</v>
      </c>
      <c r="C566" s="54" t="s">
        <v>2384</v>
      </c>
      <c r="D566" s="54" t="s">
        <v>59</v>
      </c>
      <c r="E566" s="54" t="s">
        <v>257</v>
      </c>
      <c r="F566" s="55" t="s">
        <v>2385</v>
      </c>
      <c r="G566" s="56">
        <v>42997</v>
      </c>
      <c r="H566" s="54" t="s">
        <v>2386</v>
      </c>
      <c r="I566" s="57">
        <v>43038</v>
      </c>
      <c r="J566" s="54" t="s">
        <v>965</v>
      </c>
      <c r="K566" s="54" t="s">
        <v>55</v>
      </c>
      <c r="L566" s="56"/>
      <c r="M566" s="56"/>
      <c r="N566" s="54"/>
      <c r="O566" s="54"/>
      <c r="P566" s="54"/>
      <c r="Q566" s="54"/>
      <c r="R566" s="54"/>
      <c r="S566" s="54"/>
      <c r="T566" s="54" t="s">
        <v>87</v>
      </c>
      <c r="U566" s="58" t="s">
        <v>105</v>
      </c>
    </row>
    <row r="567" spans="1:21" ht="37.5" x14ac:dyDescent="0.25">
      <c r="A567" s="53">
        <v>566</v>
      </c>
      <c r="B567" s="54" t="s">
        <v>2387</v>
      </c>
      <c r="C567" s="54" t="s">
        <v>2388</v>
      </c>
      <c r="D567" s="54" t="s">
        <v>59</v>
      </c>
      <c r="E567" s="54" t="s">
        <v>257</v>
      </c>
      <c r="F567" s="55" t="s">
        <v>2389</v>
      </c>
      <c r="G567" s="56">
        <v>43536</v>
      </c>
      <c r="H567" s="54" t="s">
        <v>2390</v>
      </c>
      <c r="I567" s="57">
        <v>43585</v>
      </c>
      <c r="J567" s="54" t="s">
        <v>986</v>
      </c>
      <c r="K567" s="54" t="s">
        <v>81</v>
      </c>
      <c r="L567" s="56"/>
      <c r="M567" s="56"/>
      <c r="N567" s="54"/>
      <c r="O567" s="54"/>
      <c r="P567" s="54"/>
      <c r="Q567" s="54"/>
      <c r="R567" s="54"/>
      <c r="S567" s="54"/>
      <c r="T567" s="54" t="s">
        <v>56</v>
      </c>
      <c r="U567" s="54" t="s">
        <v>56</v>
      </c>
    </row>
    <row r="568" spans="1:21" ht="137.5" x14ac:dyDescent="0.25">
      <c r="A568" s="53">
        <v>567</v>
      </c>
      <c r="B568" s="54" t="s">
        <v>2391</v>
      </c>
      <c r="C568" s="54" t="s">
        <v>2392</v>
      </c>
      <c r="D568" s="54" t="s">
        <v>59</v>
      </c>
      <c r="E568" s="54" t="s">
        <v>257</v>
      </c>
      <c r="F568" s="55" t="s">
        <v>2393</v>
      </c>
      <c r="G568" s="56">
        <v>42600.755474537</v>
      </c>
      <c r="H568" s="54" t="s">
        <v>2394</v>
      </c>
      <c r="I568" s="57">
        <v>42640</v>
      </c>
      <c r="J568" s="54" t="s">
        <v>965</v>
      </c>
      <c r="K568" s="54" t="s">
        <v>55</v>
      </c>
      <c r="L568" s="56"/>
      <c r="M568" s="56"/>
      <c r="N568" s="58"/>
      <c r="O568" s="58"/>
      <c r="P568" s="58"/>
      <c r="Q568" s="59"/>
      <c r="R568" s="58"/>
      <c r="S568" s="58"/>
      <c r="T568" s="54" t="s">
        <v>56</v>
      </c>
      <c r="U568" s="54" t="s">
        <v>56</v>
      </c>
    </row>
    <row r="569" spans="1:21" ht="150" x14ac:dyDescent="0.25">
      <c r="A569" s="53">
        <v>568</v>
      </c>
      <c r="B569" s="54" t="s">
        <v>2395</v>
      </c>
      <c r="C569" s="54" t="s">
        <v>2396</v>
      </c>
      <c r="D569" s="54" t="s">
        <v>59</v>
      </c>
      <c r="E569" s="54" t="s">
        <v>257</v>
      </c>
      <c r="F569" s="55" t="s">
        <v>2397</v>
      </c>
      <c r="G569" s="56">
        <v>42600.755451388897</v>
      </c>
      <c r="H569" s="54" t="s">
        <v>2398</v>
      </c>
      <c r="I569" s="57">
        <v>42640</v>
      </c>
      <c r="J569" s="54" t="s">
        <v>2399</v>
      </c>
      <c r="K569" s="54" t="s">
        <v>55</v>
      </c>
      <c r="L569" s="56"/>
      <c r="M569" s="56"/>
      <c r="N569" s="58"/>
      <c r="O569" s="58"/>
      <c r="P569" s="58"/>
      <c r="Q569" s="59"/>
      <c r="R569" s="58"/>
      <c r="S569" s="58"/>
      <c r="T569" s="54" t="s">
        <v>56</v>
      </c>
      <c r="U569" s="54" t="s">
        <v>56</v>
      </c>
    </row>
    <row r="570" spans="1:21" ht="100" x14ac:dyDescent="0.25">
      <c r="A570" s="53">
        <v>569</v>
      </c>
      <c r="B570" s="54" t="s">
        <v>2400</v>
      </c>
      <c r="C570" s="54" t="s">
        <v>2401</v>
      </c>
      <c r="D570" s="54" t="s">
        <v>50</v>
      </c>
      <c r="E570" s="54" t="s">
        <v>257</v>
      </c>
      <c r="F570" s="55" t="s">
        <v>2402</v>
      </c>
      <c r="G570" s="56">
        <v>42685</v>
      </c>
      <c r="H570" s="54" t="s">
        <v>2403</v>
      </c>
      <c r="I570" s="57">
        <v>42733</v>
      </c>
      <c r="J570" s="54" t="s">
        <v>54</v>
      </c>
      <c r="K570" s="54" t="s">
        <v>55</v>
      </c>
      <c r="L570" s="56"/>
      <c r="M570" s="56"/>
      <c r="N570" s="58"/>
      <c r="O570" s="58"/>
      <c r="P570" s="58"/>
      <c r="Q570" s="59"/>
      <c r="R570" s="58"/>
      <c r="S570" s="58"/>
      <c r="T570" s="54" t="s">
        <v>56</v>
      </c>
      <c r="U570" s="54" t="s">
        <v>56</v>
      </c>
    </row>
    <row r="571" spans="1:21" ht="137.5" x14ac:dyDescent="0.25">
      <c r="A571" s="53">
        <v>570</v>
      </c>
      <c r="B571" s="54" t="s">
        <v>2404</v>
      </c>
      <c r="C571" s="54" t="s">
        <v>2405</v>
      </c>
      <c r="D571" s="54" t="s">
        <v>59</v>
      </c>
      <c r="E571" s="54" t="s">
        <v>257</v>
      </c>
      <c r="F571" s="55" t="s">
        <v>2406</v>
      </c>
      <c r="G571" s="56">
        <v>42601.338854166701</v>
      </c>
      <c r="H571" s="54" t="s">
        <v>2407</v>
      </c>
      <c r="I571" s="57">
        <v>42640</v>
      </c>
      <c r="J571" s="54" t="s">
        <v>965</v>
      </c>
      <c r="K571" s="54" t="s">
        <v>55</v>
      </c>
      <c r="L571" s="56"/>
      <c r="M571" s="56"/>
      <c r="N571" s="58"/>
      <c r="O571" s="58"/>
      <c r="P571" s="58"/>
      <c r="Q571" s="59"/>
      <c r="R571" s="58"/>
      <c r="S571" s="58"/>
      <c r="T571" s="54" t="s">
        <v>56</v>
      </c>
      <c r="U571" s="54" t="s">
        <v>56</v>
      </c>
    </row>
    <row r="572" spans="1:21" ht="150" x14ac:dyDescent="0.25">
      <c r="A572" s="53">
        <v>571</v>
      </c>
      <c r="B572" s="54" t="s">
        <v>2408</v>
      </c>
      <c r="C572" s="54" t="s">
        <v>2409</v>
      </c>
      <c r="D572" s="54" t="s">
        <v>59</v>
      </c>
      <c r="E572" s="54" t="s">
        <v>257</v>
      </c>
      <c r="F572" s="55" t="s">
        <v>2410</v>
      </c>
      <c r="G572" s="56">
        <v>43025.463981481502</v>
      </c>
      <c r="H572" s="59" t="s">
        <v>2411</v>
      </c>
      <c r="I572" s="57">
        <v>43038</v>
      </c>
      <c r="J572" s="54" t="s">
        <v>2399</v>
      </c>
      <c r="K572" s="54" t="s">
        <v>55</v>
      </c>
      <c r="L572" s="56"/>
      <c r="M572" s="56"/>
      <c r="N572" s="54"/>
      <c r="O572" s="54"/>
      <c r="P572" s="54"/>
      <c r="Q572" s="54"/>
      <c r="R572" s="54"/>
      <c r="S572" s="54"/>
      <c r="T572" s="54" t="s">
        <v>56</v>
      </c>
      <c r="U572" s="54" t="s">
        <v>56</v>
      </c>
    </row>
    <row r="573" spans="1:21" ht="37.5" x14ac:dyDescent="0.25">
      <c r="A573" s="53">
        <v>572</v>
      </c>
      <c r="B573" s="54" t="s">
        <v>2412</v>
      </c>
      <c r="C573" s="54" t="s">
        <v>2413</v>
      </c>
      <c r="D573" s="54" t="s">
        <v>59</v>
      </c>
      <c r="E573" s="54" t="s">
        <v>257</v>
      </c>
      <c r="F573" s="65" t="s">
        <v>2414</v>
      </c>
      <c r="G573" s="66">
        <v>43307</v>
      </c>
      <c r="H573" s="64" t="s">
        <v>2415</v>
      </c>
      <c r="I573" s="67">
        <v>43438</v>
      </c>
      <c r="J573" s="54" t="s">
        <v>986</v>
      </c>
      <c r="K573" s="54" t="s">
        <v>55</v>
      </c>
      <c r="L573" s="56"/>
      <c r="M573" s="56"/>
      <c r="N573" s="54"/>
      <c r="O573" s="54"/>
      <c r="P573" s="54"/>
      <c r="Q573" s="54"/>
      <c r="R573" s="54"/>
      <c r="S573" s="54"/>
      <c r="T573" s="54" t="s">
        <v>56</v>
      </c>
      <c r="U573" s="54" t="s">
        <v>56</v>
      </c>
    </row>
    <row r="574" spans="1:21" ht="150" x14ac:dyDescent="0.25">
      <c r="A574" s="53">
        <v>573</v>
      </c>
      <c r="B574" s="54" t="s">
        <v>2416</v>
      </c>
      <c r="C574" s="54" t="s">
        <v>2417</v>
      </c>
      <c r="D574" s="54" t="s">
        <v>59</v>
      </c>
      <c r="E574" s="54" t="s">
        <v>257</v>
      </c>
      <c r="F574" s="55" t="s">
        <v>2418</v>
      </c>
      <c r="G574" s="56">
        <v>42601.338888888902</v>
      </c>
      <c r="H574" s="54" t="s">
        <v>2419</v>
      </c>
      <c r="I574" s="57">
        <v>42640</v>
      </c>
      <c r="J574" s="54" t="s">
        <v>2399</v>
      </c>
      <c r="K574" s="54" t="s">
        <v>55</v>
      </c>
      <c r="L574" s="56"/>
      <c r="M574" s="56"/>
      <c r="N574" s="58"/>
      <c r="O574" s="58"/>
      <c r="P574" s="58"/>
      <c r="Q574" s="59"/>
      <c r="R574" s="58"/>
      <c r="S574" s="58"/>
      <c r="T574" s="54" t="s">
        <v>56</v>
      </c>
      <c r="U574" s="54" t="s">
        <v>56</v>
      </c>
    </row>
    <row r="575" spans="1:21" ht="100" x14ac:dyDescent="0.25">
      <c r="A575" s="53">
        <v>574</v>
      </c>
      <c r="B575" s="54" t="s">
        <v>2420</v>
      </c>
      <c r="C575" s="54" t="s">
        <v>2421</v>
      </c>
      <c r="D575" s="54" t="s">
        <v>59</v>
      </c>
      <c r="E575" s="54" t="s">
        <v>257</v>
      </c>
      <c r="F575" s="55" t="s">
        <v>2422</v>
      </c>
      <c r="G575" s="56">
        <v>42601.338865740698</v>
      </c>
      <c r="H575" s="54" t="s">
        <v>2423</v>
      </c>
      <c r="I575" s="57">
        <v>42647</v>
      </c>
      <c r="J575" s="54" t="s">
        <v>999</v>
      </c>
      <c r="K575" s="54" t="s">
        <v>55</v>
      </c>
      <c r="L575" s="56"/>
      <c r="M575" s="56"/>
      <c r="N575" s="58"/>
      <c r="O575" s="58"/>
      <c r="P575" s="58"/>
      <c r="Q575" s="59"/>
      <c r="R575" s="58"/>
      <c r="S575" s="58"/>
      <c r="T575" s="54" t="s">
        <v>56</v>
      </c>
      <c r="U575" s="54" t="s">
        <v>56</v>
      </c>
    </row>
    <row r="576" spans="1:21" ht="137.5" x14ac:dyDescent="0.25">
      <c r="A576" s="53">
        <v>575</v>
      </c>
      <c r="B576" s="54" t="s">
        <v>2424</v>
      </c>
      <c r="C576" s="54" t="s">
        <v>2425</v>
      </c>
      <c r="D576" s="54" t="s">
        <v>59</v>
      </c>
      <c r="E576" s="54" t="s">
        <v>257</v>
      </c>
      <c r="F576" s="55" t="s">
        <v>2426</v>
      </c>
      <c r="G576" s="56">
        <v>43019</v>
      </c>
      <c r="H576" s="54" t="s">
        <v>2427</v>
      </c>
      <c r="I576" s="57">
        <v>43046</v>
      </c>
      <c r="J576" s="54" t="s">
        <v>1905</v>
      </c>
      <c r="K576" s="54" t="s">
        <v>81</v>
      </c>
      <c r="L576" s="56"/>
      <c r="M576" s="56"/>
      <c r="N576" s="54"/>
      <c r="O576" s="54"/>
      <c r="P576" s="54"/>
      <c r="Q576" s="54"/>
      <c r="R576" s="54"/>
      <c r="S576" s="54"/>
      <c r="T576" s="54" t="s">
        <v>56</v>
      </c>
      <c r="U576" s="54" t="s">
        <v>56</v>
      </c>
    </row>
    <row r="577" spans="1:21" ht="137.5" x14ac:dyDescent="0.25">
      <c r="A577" s="53">
        <v>576</v>
      </c>
      <c r="B577" s="54" t="s">
        <v>2428</v>
      </c>
      <c r="C577" s="54" t="s">
        <v>2429</v>
      </c>
      <c r="D577" s="54" t="s">
        <v>59</v>
      </c>
      <c r="E577" s="54" t="s">
        <v>257</v>
      </c>
      <c r="F577" s="55" t="s">
        <v>2430</v>
      </c>
      <c r="G577" s="56">
        <v>42685</v>
      </c>
      <c r="H577" s="54" t="s">
        <v>2431</v>
      </c>
      <c r="I577" s="57">
        <v>42733</v>
      </c>
      <c r="J577" s="54" t="s">
        <v>1905</v>
      </c>
      <c r="K577" s="54" t="s">
        <v>55</v>
      </c>
      <c r="L577" s="56"/>
      <c r="M577" s="56"/>
      <c r="N577" s="58"/>
      <c r="O577" s="58"/>
      <c r="P577" s="58"/>
      <c r="Q577" s="59"/>
      <c r="R577" s="58"/>
      <c r="S577" s="58"/>
      <c r="T577" s="54" t="s">
        <v>56</v>
      </c>
      <c r="U577" s="54" t="s">
        <v>56</v>
      </c>
    </row>
    <row r="578" spans="1:21" ht="137.5" x14ac:dyDescent="0.25">
      <c r="A578" s="53">
        <v>577</v>
      </c>
      <c r="B578" s="54" t="s">
        <v>2432</v>
      </c>
      <c r="C578" s="54" t="s">
        <v>2433</v>
      </c>
      <c r="D578" s="54" t="s">
        <v>59</v>
      </c>
      <c r="E578" s="54" t="s">
        <v>257</v>
      </c>
      <c r="F578" s="55" t="s">
        <v>2434</v>
      </c>
      <c r="G578" s="56">
        <v>43019</v>
      </c>
      <c r="H578" s="54" t="s">
        <v>2435</v>
      </c>
      <c r="I578" s="57">
        <v>43046</v>
      </c>
      <c r="J578" s="54" t="s">
        <v>1905</v>
      </c>
      <c r="K578" s="54" t="s">
        <v>55</v>
      </c>
      <c r="L578" s="56"/>
      <c r="M578" s="56"/>
      <c r="N578" s="54"/>
      <c r="O578" s="54"/>
      <c r="P578" s="54"/>
      <c r="Q578" s="54"/>
      <c r="R578" s="54"/>
      <c r="S578" s="54"/>
      <c r="T578" s="54" t="s">
        <v>56</v>
      </c>
      <c r="U578" s="54" t="s">
        <v>56</v>
      </c>
    </row>
    <row r="579" spans="1:21" ht="100" x14ac:dyDescent="0.25">
      <c r="A579" s="53">
        <v>578</v>
      </c>
      <c r="B579" s="54" t="s">
        <v>2436</v>
      </c>
      <c r="C579" s="54" t="s">
        <v>2437</v>
      </c>
      <c r="D579" s="54" t="s">
        <v>50</v>
      </c>
      <c r="E579" s="54" t="s">
        <v>257</v>
      </c>
      <c r="F579" s="65" t="s">
        <v>2438</v>
      </c>
      <c r="G579" s="66">
        <v>43313</v>
      </c>
      <c r="H579" s="64" t="s">
        <v>2439</v>
      </c>
      <c r="I579" s="67">
        <v>43776</v>
      </c>
      <c r="J579" s="54" t="s">
        <v>54</v>
      </c>
      <c r="K579" s="54" t="s">
        <v>55</v>
      </c>
      <c r="L579" s="56"/>
      <c r="M579" s="56"/>
      <c r="N579" s="54"/>
      <c r="O579" s="54"/>
      <c r="P579" s="54"/>
      <c r="Q579" s="54"/>
      <c r="R579" s="54"/>
      <c r="S579" s="54"/>
      <c r="T579" s="54" t="s">
        <v>56</v>
      </c>
      <c r="U579" s="54" t="s">
        <v>56</v>
      </c>
    </row>
    <row r="580" spans="1:21" ht="100" x14ac:dyDescent="0.25">
      <c r="A580" s="53">
        <v>579</v>
      </c>
      <c r="B580" s="54" t="s">
        <v>2440</v>
      </c>
      <c r="C580" s="54" t="s">
        <v>2441</v>
      </c>
      <c r="D580" s="54" t="s">
        <v>50</v>
      </c>
      <c r="E580" s="54" t="s">
        <v>257</v>
      </c>
      <c r="F580" s="55" t="s">
        <v>2442</v>
      </c>
      <c r="G580" s="56">
        <v>43000</v>
      </c>
      <c r="H580" s="54" t="s">
        <v>2443</v>
      </c>
      <c r="I580" s="57">
        <v>43020</v>
      </c>
      <c r="J580" s="54" t="s">
        <v>54</v>
      </c>
      <c r="K580" s="54" t="s">
        <v>55</v>
      </c>
      <c r="L580" s="56"/>
      <c r="M580" s="56"/>
      <c r="N580" s="54"/>
      <c r="O580" s="54"/>
      <c r="P580" s="54"/>
      <c r="Q580" s="54"/>
      <c r="R580" s="54"/>
      <c r="S580" s="54"/>
      <c r="T580" s="54" t="s">
        <v>56</v>
      </c>
      <c r="U580" s="54" t="s">
        <v>56</v>
      </c>
    </row>
    <row r="581" spans="1:21" ht="100" x14ac:dyDescent="0.25">
      <c r="A581" s="53">
        <v>580</v>
      </c>
      <c r="B581" s="54" t="s">
        <v>2444</v>
      </c>
      <c r="C581" s="54" t="s">
        <v>2445</v>
      </c>
      <c r="D581" s="54" t="s">
        <v>50</v>
      </c>
      <c r="E581" s="54" t="s">
        <v>257</v>
      </c>
      <c r="F581" s="55" t="s">
        <v>2446</v>
      </c>
      <c r="G581" s="56">
        <v>43000</v>
      </c>
      <c r="H581" s="54" t="s">
        <v>2447</v>
      </c>
      <c r="I581" s="57">
        <v>43020</v>
      </c>
      <c r="J581" s="54" t="s">
        <v>54</v>
      </c>
      <c r="K581" s="54" t="s">
        <v>55</v>
      </c>
      <c r="L581" s="56"/>
      <c r="M581" s="56"/>
      <c r="N581" s="54"/>
      <c r="O581" s="54"/>
      <c r="P581" s="54"/>
      <c r="Q581" s="54"/>
      <c r="R581" s="54"/>
      <c r="S581" s="54"/>
      <c r="T581" s="54" t="s">
        <v>56</v>
      </c>
      <c r="U581" s="54" t="s">
        <v>56</v>
      </c>
    </row>
    <row r="582" spans="1:21" ht="137.5" x14ac:dyDescent="0.25">
      <c r="A582" s="53">
        <v>581</v>
      </c>
      <c r="B582" s="54" t="s">
        <v>2448</v>
      </c>
      <c r="C582" s="54" t="s">
        <v>2449</v>
      </c>
      <c r="D582" s="54" t="s">
        <v>59</v>
      </c>
      <c r="E582" s="54" t="s">
        <v>257</v>
      </c>
      <c r="F582" s="55" t="s">
        <v>2450</v>
      </c>
      <c r="G582" s="56">
        <v>42685</v>
      </c>
      <c r="H582" s="54" t="s">
        <v>2451</v>
      </c>
      <c r="I582" s="57">
        <v>42733</v>
      </c>
      <c r="J582" s="54" t="s">
        <v>1905</v>
      </c>
      <c r="K582" s="54" t="s">
        <v>55</v>
      </c>
      <c r="L582" s="56"/>
      <c r="M582" s="56"/>
      <c r="N582" s="58"/>
      <c r="O582" s="58"/>
      <c r="P582" s="58"/>
      <c r="Q582" s="59"/>
      <c r="R582" s="58"/>
      <c r="S582" s="58"/>
      <c r="T582" s="54" t="s">
        <v>56</v>
      </c>
      <c r="U582" s="54" t="s">
        <v>56</v>
      </c>
    </row>
    <row r="583" spans="1:21" ht="100" x14ac:dyDescent="0.25">
      <c r="A583" s="53">
        <v>582</v>
      </c>
      <c r="B583" s="54" t="s">
        <v>2452</v>
      </c>
      <c r="C583" s="54" t="s">
        <v>2453</v>
      </c>
      <c r="D583" s="54" t="s">
        <v>50</v>
      </c>
      <c r="E583" s="54" t="s">
        <v>257</v>
      </c>
      <c r="F583" s="55" t="s">
        <v>2454</v>
      </c>
      <c r="G583" s="56">
        <v>42685</v>
      </c>
      <c r="H583" s="54" t="s">
        <v>2455</v>
      </c>
      <c r="I583" s="57">
        <v>42754</v>
      </c>
      <c r="J583" s="54" t="s">
        <v>54</v>
      </c>
      <c r="K583" s="54" t="s">
        <v>55</v>
      </c>
      <c r="L583" s="56"/>
      <c r="M583" s="56"/>
      <c r="N583" s="58"/>
      <c r="O583" s="58"/>
      <c r="P583" s="58"/>
      <c r="Q583" s="59"/>
      <c r="R583" s="58"/>
      <c r="S583" s="58"/>
      <c r="T583" s="54" t="s">
        <v>56</v>
      </c>
      <c r="U583" s="54" t="s">
        <v>56</v>
      </c>
    </row>
    <row r="584" spans="1:21" ht="100" x14ac:dyDescent="0.25">
      <c r="A584" s="53">
        <v>583</v>
      </c>
      <c r="B584" s="54" t="s">
        <v>2456</v>
      </c>
      <c r="C584" s="54" t="s">
        <v>2457</v>
      </c>
      <c r="D584" s="54" t="s">
        <v>50</v>
      </c>
      <c r="E584" s="54" t="s">
        <v>257</v>
      </c>
      <c r="F584" s="55" t="s">
        <v>2458</v>
      </c>
      <c r="G584" s="56">
        <v>42685</v>
      </c>
      <c r="H584" s="54" t="s">
        <v>2459</v>
      </c>
      <c r="I584" s="57">
        <v>42733</v>
      </c>
      <c r="J584" s="54" t="s">
        <v>54</v>
      </c>
      <c r="K584" s="54" t="s">
        <v>55</v>
      </c>
      <c r="L584" s="56"/>
      <c r="M584" s="56"/>
      <c r="N584" s="58"/>
      <c r="O584" s="58"/>
      <c r="P584" s="58"/>
      <c r="Q584" s="59"/>
      <c r="R584" s="58"/>
      <c r="S584" s="58"/>
      <c r="T584" s="54" t="s">
        <v>56</v>
      </c>
      <c r="U584" s="54" t="s">
        <v>56</v>
      </c>
    </row>
    <row r="585" spans="1:21" ht="37.5" x14ac:dyDescent="0.25">
      <c r="A585" s="53">
        <v>584</v>
      </c>
      <c r="B585" s="54" t="s">
        <v>2460</v>
      </c>
      <c r="C585" s="54" t="s">
        <v>2461</v>
      </c>
      <c r="D585" s="54" t="s">
        <v>59</v>
      </c>
      <c r="E585" s="54" t="s">
        <v>257</v>
      </c>
      <c r="F585" s="55" t="s">
        <v>2462</v>
      </c>
      <c r="G585" s="56">
        <v>43060</v>
      </c>
      <c r="H585" s="54" t="s">
        <v>2463</v>
      </c>
      <c r="I585" s="57">
        <v>43089</v>
      </c>
      <c r="J585" s="54" t="s">
        <v>986</v>
      </c>
      <c r="K585" s="54" t="s">
        <v>81</v>
      </c>
      <c r="L585" s="56"/>
      <c r="M585" s="56"/>
      <c r="N585" s="54"/>
      <c r="O585" s="54"/>
      <c r="P585" s="54"/>
      <c r="Q585" s="54"/>
      <c r="R585" s="54"/>
      <c r="S585" s="54"/>
      <c r="T585" s="54" t="s">
        <v>56</v>
      </c>
      <c r="U585" s="54" t="s">
        <v>56</v>
      </c>
    </row>
    <row r="586" spans="1:21" ht="150" x14ac:dyDescent="0.25">
      <c r="A586" s="53">
        <v>585</v>
      </c>
      <c r="B586" s="54" t="s">
        <v>2464</v>
      </c>
      <c r="C586" s="54" t="s">
        <v>2465</v>
      </c>
      <c r="D586" s="54" t="s">
        <v>59</v>
      </c>
      <c r="E586" s="54" t="s">
        <v>257</v>
      </c>
      <c r="F586" s="55" t="s">
        <v>2466</v>
      </c>
      <c r="G586" s="56">
        <v>42601.338923611103</v>
      </c>
      <c r="H586" s="54" t="s">
        <v>2467</v>
      </c>
      <c r="I586" s="57">
        <v>42640</v>
      </c>
      <c r="J586" s="54" t="s">
        <v>2399</v>
      </c>
      <c r="K586" s="54" t="s">
        <v>55</v>
      </c>
      <c r="L586" s="56"/>
      <c r="M586" s="56"/>
      <c r="N586" s="58"/>
      <c r="O586" s="58"/>
      <c r="P586" s="58"/>
      <c r="Q586" s="59"/>
      <c r="R586" s="58"/>
      <c r="S586" s="58"/>
      <c r="T586" s="54" t="s">
        <v>56</v>
      </c>
      <c r="U586" s="54" t="s">
        <v>56</v>
      </c>
    </row>
    <row r="587" spans="1:21" ht="137.5" x14ac:dyDescent="0.25">
      <c r="A587" s="53">
        <v>586</v>
      </c>
      <c r="B587" s="54" t="s">
        <v>2468</v>
      </c>
      <c r="C587" s="54" t="s">
        <v>2469</v>
      </c>
      <c r="D587" s="54" t="s">
        <v>59</v>
      </c>
      <c r="E587" s="54" t="s">
        <v>257</v>
      </c>
      <c r="F587" s="55" t="s">
        <v>2470</v>
      </c>
      <c r="G587" s="56">
        <v>42685</v>
      </c>
      <c r="H587" s="54" t="s">
        <v>2471</v>
      </c>
      <c r="I587" s="57">
        <v>42733</v>
      </c>
      <c r="J587" s="54" t="s">
        <v>1905</v>
      </c>
      <c r="K587" s="54" t="s">
        <v>55</v>
      </c>
      <c r="L587" s="56"/>
      <c r="M587" s="56"/>
      <c r="N587" s="58"/>
      <c r="O587" s="58"/>
      <c r="P587" s="58"/>
      <c r="Q587" s="59"/>
      <c r="R587" s="58"/>
      <c r="S587" s="58"/>
      <c r="T587" s="54" t="s">
        <v>56</v>
      </c>
      <c r="U587" s="54" t="s">
        <v>56</v>
      </c>
    </row>
    <row r="588" spans="1:21" ht="100" x14ac:dyDescent="0.25">
      <c r="A588" s="53">
        <v>587</v>
      </c>
      <c r="B588" s="54" t="s">
        <v>2472</v>
      </c>
      <c r="C588" s="54" t="s">
        <v>2473</v>
      </c>
      <c r="D588" s="54" t="s">
        <v>50</v>
      </c>
      <c r="E588" s="54" t="s">
        <v>257</v>
      </c>
      <c r="F588" s="55" t="s">
        <v>2474</v>
      </c>
      <c r="G588" s="56">
        <v>43000</v>
      </c>
      <c r="H588" s="54" t="s">
        <v>2475</v>
      </c>
      <c r="I588" s="57">
        <v>43020</v>
      </c>
      <c r="J588" s="54" t="s">
        <v>54</v>
      </c>
      <c r="K588" s="54" t="s">
        <v>55</v>
      </c>
      <c r="L588" s="56"/>
      <c r="M588" s="56"/>
      <c r="N588" s="54"/>
      <c r="O588" s="54"/>
      <c r="P588" s="54"/>
      <c r="Q588" s="54"/>
      <c r="R588" s="54"/>
      <c r="S588" s="54"/>
      <c r="T588" s="54" t="s">
        <v>56</v>
      </c>
      <c r="U588" s="54" t="s">
        <v>56</v>
      </c>
    </row>
    <row r="589" spans="1:21" ht="100" x14ac:dyDescent="0.25">
      <c r="A589" s="53">
        <v>588</v>
      </c>
      <c r="B589" s="54" t="s">
        <v>2476</v>
      </c>
      <c r="C589" s="54" t="s">
        <v>2477</v>
      </c>
      <c r="D589" s="54" t="s">
        <v>50</v>
      </c>
      <c r="E589" s="54" t="s">
        <v>257</v>
      </c>
      <c r="F589" s="55" t="s">
        <v>2478</v>
      </c>
      <c r="G589" s="56">
        <v>43000</v>
      </c>
      <c r="H589" s="54" t="s">
        <v>2479</v>
      </c>
      <c r="I589" s="57">
        <v>43020</v>
      </c>
      <c r="J589" s="54" t="s">
        <v>54</v>
      </c>
      <c r="K589" s="54" t="s">
        <v>55</v>
      </c>
      <c r="L589" s="56"/>
      <c r="M589" s="56"/>
      <c r="N589" s="54"/>
      <c r="O589" s="54"/>
      <c r="P589" s="54"/>
      <c r="Q589" s="54"/>
      <c r="R589" s="54"/>
      <c r="S589" s="54"/>
      <c r="T589" s="54" t="s">
        <v>56</v>
      </c>
      <c r="U589" s="54" t="s">
        <v>56</v>
      </c>
    </row>
    <row r="590" spans="1:21" ht="150" x14ac:dyDescent="0.25">
      <c r="A590" s="53">
        <v>589</v>
      </c>
      <c r="B590" s="54" t="s">
        <v>2480</v>
      </c>
      <c r="C590" s="54" t="s">
        <v>2481</v>
      </c>
      <c r="D590" s="54" t="s">
        <v>59</v>
      </c>
      <c r="E590" s="54" t="s">
        <v>257</v>
      </c>
      <c r="F590" s="55" t="s">
        <v>2482</v>
      </c>
      <c r="G590" s="56">
        <v>42605.041701388902</v>
      </c>
      <c r="H590" s="54" t="s">
        <v>2483</v>
      </c>
      <c r="I590" s="57">
        <v>42640</v>
      </c>
      <c r="J590" s="54" t="s">
        <v>2399</v>
      </c>
      <c r="K590" s="54" t="s">
        <v>55</v>
      </c>
      <c r="L590" s="56"/>
      <c r="M590" s="56"/>
      <c r="N590" s="58"/>
      <c r="O590" s="58"/>
      <c r="P590" s="58"/>
      <c r="Q590" s="59"/>
      <c r="R590" s="58"/>
      <c r="S590" s="58"/>
      <c r="T590" s="54" t="s">
        <v>56</v>
      </c>
      <c r="U590" s="54" t="s">
        <v>56</v>
      </c>
    </row>
    <row r="591" spans="1:21" ht="150" x14ac:dyDescent="0.25">
      <c r="A591" s="53">
        <v>590</v>
      </c>
      <c r="B591" s="54" t="s">
        <v>2484</v>
      </c>
      <c r="C591" s="54" t="s">
        <v>2485</v>
      </c>
      <c r="D591" s="54" t="s">
        <v>59</v>
      </c>
      <c r="E591" s="54" t="s">
        <v>257</v>
      </c>
      <c r="F591" s="55" t="s">
        <v>2486</v>
      </c>
      <c r="G591" s="56">
        <v>42600.755497685197</v>
      </c>
      <c r="H591" s="54" t="s">
        <v>2487</v>
      </c>
      <c r="I591" s="57">
        <v>42640</v>
      </c>
      <c r="J591" s="54" t="s">
        <v>2399</v>
      </c>
      <c r="K591" s="54" t="s">
        <v>55</v>
      </c>
      <c r="L591" s="56"/>
      <c r="M591" s="56"/>
      <c r="N591" s="58"/>
      <c r="O591" s="58"/>
      <c r="P591" s="58"/>
      <c r="Q591" s="59"/>
      <c r="R591" s="58"/>
      <c r="S591" s="58"/>
      <c r="T591" s="54" t="s">
        <v>56</v>
      </c>
      <c r="U591" s="54" t="s">
        <v>56</v>
      </c>
    </row>
    <row r="592" spans="1:21" ht="162.5" x14ac:dyDescent="0.25">
      <c r="A592" s="53">
        <v>591</v>
      </c>
      <c r="B592" s="54" t="s">
        <v>2488</v>
      </c>
      <c r="C592" s="54" t="s">
        <v>2489</v>
      </c>
      <c r="D592" s="54" t="s">
        <v>59</v>
      </c>
      <c r="E592" s="54" t="s">
        <v>257</v>
      </c>
      <c r="F592" s="55" t="s">
        <v>2490</v>
      </c>
      <c r="G592" s="56">
        <v>43053</v>
      </c>
      <c r="H592" s="54" t="s">
        <v>2491</v>
      </c>
      <c r="I592" s="57">
        <v>43066</v>
      </c>
      <c r="J592" s="54" t="s">
        <v>2492</v>
      </c>
      <c r="K592" s="54" t="s">
        <v>81</v>
      </c>
      <c r="L592" s="56"/>
      <c r="M592" s="56"/>
      <c r="N592" s="54"/>
      <c r="O592" s="54"/>
      <c r="P592" s="54"/>
      <c r="Q592" s="54"/>
      <c r="R592" s="54"/>
      <c r="S592" s="54"/>
      <c r="T592" s="54" t="s">
        <v>56</v>
      </c>
      <c r="U592" s="54" t="s">
        <v>56</v>
      </c>
    </row>
    <row r="593" spans="1:21" ht="137.5" x14ac:dyDescent="0.25">
      <c r="A593" s="53">
        <v>592</v>
      </c>
      <c r="B593" s="54" t="s">
        <v>2493</v>
      </c>
      <c r="C593" s="54" t="s">
        <v>2494</v>
      </c>
      <c r="D593" s="54" t="s">
        <v>59</v>
      </c>
      <c r="E593" s="54" t="s">
        <v>257</v>
      </c>
      <c r="F593" s="55" t="s">
        <v>2495</v>
      </c>
      <c r="G593" s="56">
        <v>43012</v>
      </c>
      <c r="H593" s="54" t="s">
        <v>2496</v>
      </c>
      <c r="I593" s="57">
        <v>43046</v>
      </c>
      <c r="J593" s="54" t="s">
        <v>965</v>
      </c>
      <c r="K593" s="54" t="s">
        <v>55</v>
      </c>
      <c r="L593" s="56"/>
      <c r="M593" s="56"/>
      <c r="N593" s="54"/>
      <c r="O593" s="54"/>
      <c r="P593" s="54"/>
      <c r="Q593" s="54"/>
      <c r="R593" s="54"/>
      <c r="S593" s="54"/>
      <c r="T593" s="54" t="s">
        <v>87</v>
      </c>
      <c r="U593" s="54" t="s">
        <v>105</v>
      </c>
    </row>
    <row r="594" spans="1:21" ht="150" x14ac:dyDescent="0.25">
      <c r="A594" s="53">
        <v>593</v>
      </c>
      <c r="B594" s="54" t="s">
        <v>2497</v>
      </c>
      <c r="C594" s="54" t="s">
        <v>2498</v>
      </c>
      <c r="D594" s="54" t="s">
        <v>59</v>
      </c>
      <c r="E594" s="54" t="s">
        <v>257</v>
      </c>
      <c r="F594" s="55" t="s">
        <v>2499</v>
      </c>
      <c r="G594" s="56">
        <v>43025.463773148098</v>
      </c>
      <c r="H594" s="59" t="s">
        <v>2500</v>
      </c>
      <c r="I594" s="57">
        <v>43038</v>
      </c>
      <c r="J594" s="54" t="s">
        <v>2399</v>
      </c>
      <c r="K594" s="54" t="s">
        <v>55</v>
      </c>
      <c r="L594" s="56"/>
      <c r="M594" s="56"/>
      <c r="N594" s="54"/>
      <c r="O594" s="54"/>
      <c r="P594" s="54"/>
      <c r="Q594" s="54"/>
      <c r="R594" s="54"/>
      <c r="S594" s="54"/>
      <c r="T594" s="54" t="s">
        <v>56</v>
      </c>
      <c r="U594" s="54" t="s">
        <v>56</v>
      </c>
    </row>
    <row r="595" spans="1:21" ht="137.5" x14ac:dyDescent="0.25">
      <c r="A595" s="53">
        <v>594</v>
      </c>
      <c r="B595" s="54" t="s">
        <v>2501</v>
      </c>
      <c r="C595" s="54" t="s">
        <v>2502</v>
      </c>
      <c r="D595" s="54" t="s">
        <v>59</v>
      </c>
      <c r="E595" s="54" t="s">
        <v>257</v>
      </c>
      <c r="F595" s="55" t="s">
        <v>2503</v>
      </c>
      <c r="G595" s="56">
        <v>42685</v>
      </c>
      <c r="H595" s="54" t="s">
        <v>2504</v>
      </c>
      <c r="I595" s="57">
        <v>42719</v>
      </c>
      <c r="J595" s="54" t="s">
        <v>1905</v>
      </c>
      <c r="K595" s="54" t="s">
        <v>55</v>
      </c>
      <c r="L595" s="56"/>
      <c r="M595" s="56"/>
      <c r="N595" s="58"/>
      <c r="O595" s="58"/>
      <c r="P595" s="58"/>
      <c r="Q595" s="59"/>
      <c r="R595" s="58"/>
      <c r="S595" s="58"/>
      <c r="T595" s="54" t="s">
        <v>56</v>
      </c>
      <c r="U595" s="54" t="s">
        <v>56</v>
      </c>
    </row>
    <row r="596" spans="1:21" ht="137.5" x14ac:dyDescent="0.25">
      <c r="A596" s="53">
        <v>595</v>
      </c>
      <c r="B596" s="54" t="s">
        <v>2505</v>
      </c>
      <c r="C596" s="54" t="s">
        <v>2506</v>
      </c>
      <c r="D596" s="54" t="s">
        <v>59</v>
      </c>
      <c r="E596" s="54" t="s">
        <v>257</v>
      </c>
      <c r="F596" s="55" t="s">
        <v>2507</v>
      </c>
      <c r="G596" s="56">
        <v>43012</v>
      </c>
      <c r="H596" s="54" t="s">
        <v>2508</v>
      </c>
      <c r="I596" s="57">
        <v>43046</v>
      </c>
      <c r="J596" s="54" t="s">
        <v>965</v>
      </c>
      <c r="K596" s="54" t="s">
        <v>55</v>
      </c>
      <c r="L596" s="56"/>
      <c r="M596" s="56"/>
      <c r="N596" s="54"/>
      <c r="O596" s="54"/>
      <c r="P596" s="54"/>
      <c r="Q596" s="54"/>
      <c r="R596" s="54"/>
      <c r="S596" s="54"/>
      <c r="T596" s="54" t="s">
        <v>87</v>
      </c>
      <c r="U596" s="54" t="s">
        <v>105</v>
      </c>
    </row>
    <row r="597" spans="1:21" ht="37.5" x14ac:dyDescent="0.25">
      <c r="A597" s="53">
        <v>596</v>
      </c>
      <c r="B597" s="54" t="s">
        <v>2509</v>
      </c>
      <c r="C597" s="54" t="s">
        <v>2510</v>
      </c>
      <c r="D597" s="54" t="s">
        <v>59</v>
      </c>
      <c r="E597" s="54" t="s">
        <v>257</v>
      </c>
      <c r="F597" s="55" t="s">
        <v>2511</v>
      </c>
      <c r="G597" s="56">
        <v>43000</v>
      </c>
      <c r="H597" s="54" t="s">
        <v>2512</v>
      </c>
      <c r="I597" s="57">
        <v>43020</v>
      </c>
      <c r="J597" s="54" t="s">
        <v>986</v>
      </c>
      <c r="K597" s="54" t="s">
        <v>81</v>
      </c>
      <c r="L597" s="56"/>
      <c r="M597" s="56"/>
      <c r="N597" s="54"/>
      <c r="O597" s="54"/>
      <c r="P597" s="54"/>
      <c r="Q597" s="54"/>
      <c r="R597" s="54"/>
      <c r="S597" s="54"/>
      <c r="T597" s="54" t="s">
        <v>56</v>
      </c>
      <c r="U597" s="54" t="s">
        <v>56</v>
      </c>
    </row>
    <row r="598" spans="1:21" ht="137.5" x14ac:dyDescent="0.25">
      <c r="A598" s="53">
        <v>597</v>
      </c>
      <c r="B598" s="54" t="s">
        <v>2513</v>
      </c>
      <c r="C598" s="54" t="s">
        <v>2514</v>
      </c>
      <c r="D598" s="54" t="s">
        <v>59</v>
      </c>
      <c r="E598" s="54" t="s">
        <v>257</v>
      </c>
      <c r="F598" s="55" t="s">
        <v>2515</v>
      </c>
      <c r="G598" s="56">
        <v>43027</v>
      </c>
      <c r="H598" s="54" t="s">
        <v>2516</v>
      </c>
      <c r="I598" s="57">
        <v>43046</v>
      </c>
      <c r="J598" s="54" t="s">
        <v>965</v>
      </c>
      <c r="K598" s="54" t="s">
        <v>81</v>
      </c>
      <c r="L598" s="56"/>
      <c r="M598" s="56"/>
      <c r="N598" s="54"/>
      <c r="O598" s="54"/>
      <c r="P598" s="54"/>
      <c r="Q598" s="54"/>
      <c r="R598" s="54"/>
      <c r="S598" s="54"/>
      <c r="T598" s="54" t="s">
        <v>56</v>
      </c>
      <c r="U598" s="54" t="s">
        <v>56</v>
      </c>
    </row>
    <row r="599" spans="1:21" ht="100" x14ac:dyDescent="0.25">
      <c r="A599" s="53">
        <v>598</v>
      </c>
      <c r="B599" s="54" t="s">
        <v>2517</v>
      </c>
      <c r="C599" s="54" t="s">
        <v>2518</v>
      </c>
      <c r="D599" s="54" t="s">
        <v>59</v>
      </c>
      <c r="E599" s="54" t="s">
        <v>257</v>
      </c>
      <c r="F599" s="55" t="s">
        <v>2519</v>
      </c>
      <c r="G599" s="56">
        <v>42601.338877314804</v>
      </c>
      <c r="H599" s="54" t="s">
        <v>2520</v>
      </c>
      <c r="I599" s="57">
        <v>42657</v>
      </c>
      <c r="J599" s="54" t="s">
        <v>999</v>
      </c>
      <c r="K599" s="54" t="s">
        <v>55</v>
      </c>
      <c r="L599" s="56"/>
      <c r="M599" s="56"/>
      <c r="N599" s="58"/>
      <c r="O599" s="58"/>
      <c r="P599" s="58"/>
      <c r="Q599" s="59"/>
      <c r="R599" s="58"/>
      <c r="S599" s="58"/>
      <c r="T599" s="54" t="s">
        <v>56</v>
      </c>
      <c r="U599" s="54" t="s">
        <v>56</v>
      </c>
    </row>
    <row r="600" spans="1:21" ht="100" x14ac:dyDescent="0.25">
      <c r="A600" s="53">
        <v>599</v>
      </c>
      <c r="B600" s="54" t="s">
        <v>2521</v>
      </c>
      <c r="C600" s="54" t="s">
        <v>2522</v>
      </c>
      <c r="D600" s="54" t="s">
        <v>59</v>
      </c>
      <c r="E600" s="54" t="s">
        <v>257</v>
      </c>
      <c r="F600" s="55" t="s">
        <v>2523</v>
      </c>
      <c r="G600" s="56">
        <v>42601.338900463001</v>
      </c>
      <c r="H600" s="54" t="s">
        <v>2524</v>
      </c>
      <c r="I600" s="57">
        <v>42657</v>
      </c>
      <c r="J600" s="54" t="s">
        <v>999</v>
      </c>
      <c r="K600" s="54" t="s">
        <v>55</v>
      </c>
      <c r="L600" s="56"/>
      <c r="M600" s="56"/>
      <c r="N600" s="58"/>
      <c r="O600" s="58"/>
      <c r="P600" s="58"/>
      <c r="Q600" s="59"/>
      <c r="R600" s="58"/>
      <c r="S600" s="58"/>
      <c r="T600" s="54" t="s">
        <v>56</v>
      </c>
      <c r="U600" s="54" t="s">
        <v>56</v>
      </c>
    </row>
    <row r="601" spans="1:21" ht="125" x14ac:dyDescent="0.25">
      <c r="A601" s="53">
        <v>600</v>
      </c>
      <c r="B601" s="54" t="s">
        <v>2525</v>
      </c>
      <c r="C601" s="54" t="s">
        <v>2526</v>
      </c>
      <c r="D601" s="54" t="s">
        <v>59</v>
      </c>
      <c r="E601" s="54" t="s">
        <v>257</v>
      </c>
      <c r="F601" s="55" t="s">
        <v>2527</v>
      </c>
      <c r="G601" s="56">
        <v>42601.338842592602</v>
      </c>
      <c r="H601" s="54" t="s">
        <v>2528</v>
      </c>
      <c r="I601" s="57">
        <v>42640</v>
      </c>
      <c r="J601" s="54" t="s">
        <v>80</v>
      </c>
      <c r="K601" s="54" t="s">
        <v>55</v>
      </c>
      <c r="L601" s="56"/>
      <c r="M601" s="56"/>
      <c r="N601" s="58"/>
      <c r="O601" s="58"/>
      <c r="P601" s="58"/>
      <c r="Q601" s="59"/>
      <c r="R601" s="58"/>
      <c r="S601" s="58"/>
      <c r="T601" s="54" t="s">
        <v>56</v>
      </c>
      <c r="U601" s="54" t="s">
        <v>56</v>
      </c>
    </row>
    <row r="602" spans="1:21" ht="100" x14ac:dyDescent="0.25">
      <c r="A602" s="53">
        <v>601</v>
      </c>
      <c r="B602" s="54" t="s">
        <v>2529</v>
      </c>
      <c r="C602" s="54" t="s">
        <v>2530</v>
      </c>
      <c r="D602" s="54" t="s">
        <v>50</v>
      </c>
      <c r="E602" s="54" t="s">
        <v>257</v>
      </c>
      <c r="F602" s="55" t="s">
        <v>2531</v>
      </c>
      <c r="G602" s="56">
        <v>42685</v>
      </c>
      <c r="H602" s="54" t="s">
        <v>2532</v>
      </c>
      <c r="I602" s="57">
        <v>42754</v>
      </c>
      <c r="J602" s="54" t="s">
        <v>54</v>
      </c>
      <c r="K602" s="54" t="s">
        <v>81</v>
      </c>
      <c r="L602" s="56"/>
      <c r="M602" s="56"/>
      <c r="N602" s="58"/>
      <c r="O602" s="58"/>
      <c r="P602" s="58"/>
      <c r="Q602" s="59"/>
      <c r="R602" s="58"/>
      <c r="S602" s="58"/>
      <c r="T602" s="54" t="s">
        <v>56</v>
      </c>
      <c r="U602" s="54" t="s">
        <v>56</v>
      </c>
    </row>
    <row r="603" spans="1:21" ht="150" x14ac:dyDescent="0.25">
      <c r="A603" s="53">
        <v>602</v>
      </c>
      <c r="B603" s="54" t="s">
        <v>2533</v>
      </c>
      <c r="C603" s="54" t="s">
        <v>2534</v>
      </c>
      <c r="D603" s="54" t="s">
        <v>59</v>
      </c>
      <c r="E603" s="54" t="s">
        <v>257</v>
      </c>
      <c r="F603" s="55" t="s">
        <v>2535</v>
      </c>
      <c r="G603" s="56">
        <v>42601.338831018496</v>
      </c>
      <c r="H603" s="54" t="s">
        <v>2536</v>
      </c>
      <c r="I603" s="57">
        <v>42633</v>
      </c>
      <c r="J603" s="54" t="s">
        <v>2399</v>
      </c>
      <c r="K603" s="54" t="s">
        <v>55</v>
      </c>
      <c r="L603" s="56"/>
      <c r="M603" s="56"/>
      <c r="N603" s="58"/>
      <c r="O603" s="58"/>
      <c r="P603" s="58"/>
      <c r="Q603" s="59"/>
      <c r="R603" s="58"/>
      <c r="S603" s="58"/>
      <c r="T603" s="54" t="s">
        <v>56</v>
      </c>
      <c r="U603" s="54" t="s">
        <v>56</v>
      </c>
    </row>
    <row r="604" spans="1:21" ht="125" x14ac:dyDescent="0.25">
      <c r="A604" s="53">
        <v>603</v>
      </c>
      <c r="B604" s="54" t="s">
        <v>2537</v>
      </c>
      <c r="C604" s="54" t="s">
        <v>2538</v>
      </c>
      <c r="D604" s="54" t="s">
        <v>59</v>
      </c>
      <c r="E604" s="54" t="s">
        <v>257</v>
      </c>
      <c r="F604" s="55" t="s">
        <v>2539</v>
      </c>
      <c r="G604" s="56">
        <v>42997</v>
      </c>
      <c r="H604" s="54" t="s">
        <v>2540</v>
      </c>
      <c r="I604" s="57">
        <v>43038</v>
      </c>
      <c r="J604" s="54" t="s">
        <v>2541</v>
      </c>
      <c r="K604" s="54" t="s">
        <v>81</v>
      </c>
      <c r="L604" s="56"/>
      <c r="M604" s="56"/>
      <c r="N604" s="54"/>
      <c r="O604" s="54"/>
      <c r="P604" s="54"/>
      <c r="Q604" s="54"/>
      <c r="R604" s="54"/>
      <c r="S604" s="54"/>
      <c r="T604" s="54" t="s">
        <v>56</v>
      </c>
      <c r="U604" s="54" t="s">
        <v>56</v>
      </c>
    </row>
    <row r="605" spans="1:21" ht="150" x14ac:dyDescent="0.25">
      <c r="A605" s="53">
        <v>604</v>
      </c>
      <c r="B605" s="54" t="s">
        <v>2542</v>
      </c>
      <c r="C605" s="54" t="s">
        <v>2543</v>
      </c>
      <c r="D605" s="54" t="s">
        <v>59</v>
      </c>
      <c r="E605" s="54" t="s">
        <v>257</v>
      </c>
      <c r="F605" s="55" t="s">
        <v>2544</v>
      </c>
      <c r="G605" s="56">
        <v>42600.755486111098</v>
      </c>
      <c r="H605" s="54" t="s">
        <v>2545</v>
      </c>
      <c r="I605" s="57">
        <v>42640</v>
      </c>
      <c r="J605" s="54" t="s">
        <v>2399</v>
      </c>
      <c r="K605" s="54" t="s">
        <v>55</v>
      </c>
      <c r="L605" s="56"/>
      <c r="M605" s="56"/>
      <c r="N605" s="58"/>
      <c r="O605" s="58"/>
      <c r="P605" s="58"/>
      <c r="Q605" s="59"/>
      <c r="R605" s="58"/>
      <c r="S605" s="58"/>
      <c r="T605" s="54" t="s">
        <v>56</v>
      </c>
      <c r="U605" s="54" t="s">
        <v>56</v>
      </c>
    </row>
    <row r="606" spans="1:21" ht="37.5" x14ac:dyDescent="0.25">
      <c r="A606" s="53">
        <v>605</v>
      </c>
      <c r="B606" s="54" t="s">
        <v>2546</v>
      </c>
      <c r="C606" s="54" t="s">
        <v>2547</v>
      </c>
      <c r="D606" s="54" t="s">
        <v>59</v>
      </c>
      <c r="E606" s="54" t="s">
        <v>257</v>
      </c>
      <c r="F606" s="65" t="s">
        <v>2548</v>
      </c>
      <c r="G606" s="66">
        <v>43539</v>
      </c>
      <c r="H606" s="64" t="s">
        <v>2549</v>
      </c>
      <c r="I606" s="67">
        <v>43678</v>
      </c>
      <c r="J606" s="64" t="s">
        <v>986</v>
      </c>
      <c r="K606" s="54" t="s">
        <v>81</v>
      </c>
      <c r="L606" s="56"/>
      <c r="M606" s="56"/>
      <c r="N606" s="54"/>
      <c r="O606" s="54"/>
      <c r="P606" s="54"/>
      <c r="Q606" s="54"/>
      <c r="R606" s="54"/>
      <c r="S606" s="54"/>
      <c r="T606" s="54" t="s">
        <v>56</v>
      </c>
      <c r="U606" s="54" t="s">
        <v>56</v>
      </c>
    </row>
    <row r="607" spans="1:21" ht="100" x14ac:dyDescent="0.25">
      <c r="A607" s="53">
        <v>606</v>
      </c>
      <c r="B607" s="54" t="s">
        <v>2550</v>
      </c>
      <c r="C607" s="54" t="s">
        <v>2551</v>
      </c>
      <c r="D607" s="54" t="s">
        <v>59</v>
      </c>
      <c r="E607" s="54" t="s">
        <v>257</v>
      </c>
      <c r="F607" s="55" t="s">
        <v>2552</v>
      </c>
      <c r="G607" s="56">
        <v>42600.7555208333</v>
      </c>
      <c r="H607" s="54" t="s">
        <v>2553</v>
      </c>
      <c r="I607" s="57">
        <v>42647</v>
      </c>
      <c r="J607" s="54" t="s">
        <v>999</v>
      </c>
      <c r="K607" s="54" t="s">
        <v>55</v>
      </c>
      <c r="L607" s="56"/>
      <c r="M607" s="56"/>
      <c r="N607" s="58"/>
      <c r="O607" s="58"/>
      <c r="P607" s="58"/>
      <c r="Q607" s="59"/>
      <c r="R607" s="58"/>
      <c r="S607" s="58"/>
      <c r="T607" s="54" t="s">
        <v>56</v>
      </c>
      <c r="U607" s="54" t="s">
        <v>56</v>
      </c>
    </row>
    <row r="608" spans="1:21" ht="150" x14ac:dyDescent="0.25">
      <c r="A608" s="53">
        <v>607</v>
      </c>
      <c r="B608" s="54" t="s">
        <v>2554</v>
      </c>
      <c r="C608" s="54" t="s">
        <v>2555</v>
      </c>
      <c r="D608" s="54" t="s">
        <v>59</v>
      </c>
      <c r="E608" s="54" t="s">
        <v>257</v>
      </c>
      <c r="F608" s="55" t="s">
        <v>2556</v>
      </c>
      <c r="G608" s="56">
        <v>43038</v>
      </c>
      <c r="H608" s="59" t="s">
        <v>2557</v>
      </c>
      <c r="I608" s="57">
        <v>43054</v>
      </c>
      <c r="J608" s="54" t="s">
        <v>2399</v>
      </c>
      <c r="K608" s="54" t="s">
        <v>55</v>
      </c>
      <c r="L608" s="56"/>
      <c r="M608" s="56"/>
      <c r="N608" s="54"/>
      <c r="O608" s="54"/>
      <c r="P608" s="54"/>
      <c r="Q608" s="54"/>
      <c r="R608" s="54"/>
      <c r="S608" s="54"/>
      <c r="T608" s="54" t="s">
        <v>56</v>
      </c>
      <c r="U608" s="54" t="s">
        <v>56</v>
      </c>
    </row>
    <row r="609" spans="1:21" ht="150" x14ac:dyDescent="0.25">
      <c r="A609" s="53">
        <v>608</v>
      </c>
      <c r="B609" s="54" t="s">
        <v>2558</v>
      </c>
      <c r="C609" s="54" t="s">
        <v>2559</v>
      </c>
      <c r="D609" s="54" t="s">
        <v>59</v>
      </c>
      <c r="E609" s="54" t="s">
        <v>257</v>
      </c>
      <c r="F609" s="55" t="s">
        <v>2560</v>
      </c>
      <c r="G609" s="56">
        <v>42600.755497685197</v>
      </c>
      <c r="H609" s="54" t="s">
        <v>2561</v>
      </c>
      <c r="I609" s="57">
        <v>42640</v>
      </c>
      <c r="J609" s="54" t="s">
        <v>2399</v>
      </c>
      <c r="K609" s="54" t="s">
        <v>55</v>
      </c>
      <c r="L609" s="56"/>
      <c r="M609" s="56"/>
      <c r="N609" s="58"/>
      <c r="O609" s="58"/>
      <c r="P609" s="58"/>
      <c r="Q609" s="59"/>
      <c r="R609" s="58"/>
      <c r="S609" s="58"/>
      <c r="T609" s="54" t="s">
        <v>56</v>
      </c>
      <c r="U609" s="54" t="s">
        <v>56</v>
      </c>
    </row>
    <row r="610" spans="1:21" ht="150" x14ac:dyDescent="0.25">
      <c r="A610" s="53">
        <v>609</v>
      </c>
      <c r="B610" s="54" t="s">
        <v>2562</v>
      </c>
      <c r="C610" s="54" t="s">
        <v>2563</v>
      </c>
      <c r="D610" s="54" t="s">
        <v>59</v>
      </c>
      <c r="E610" s="54" t="s">
        <v>257</v>
      </c>
      <c r="F610" s="55" t="s">
        <v>2564</v>
      </c>
      <c r="G610" s="56">
        <v>42600.755439814799</v>
      </c>
      <c r="H610" s="54" t="s">
        <v>2565</v>
      </c>
      <c r="I610" s="57">
        <v>42628</v>
      </c>
      <c r="J610" s="54" t="s">
        <v>2399</v>
      </c>
      <c r="K610" s="54" t="s">
        <v>55</v>
      </c>
      <c r="L610" s="56"/>
      <c r="M610" s="56"/>
      <c r="N610" s="58"/>
      <c r="O610" s="58"/>
      <c r="P610" s="58"/>
      <c r="Q610" s="59"/>
      <c r="R610" s="58"/>
      <c r="S610" s="58"/>
      <c r="T610" s="54" t="s">
        <v>56</v>
      </c>
      <c r="U610" s="54" t="s">
        <v>56</v>
      </c>
    </row>
    <row r="611" spans="1:21" ht="125" x14ac:dyDescent="0.25">
      <c r="A611" s="53">
        <v>610</v>
      </c>
      <c r="B611" s="54" t="s">
        <v>2566</v>
      </c>
      <c r="C611" s="54" t="s">
        <v>2567</v>
      </c>
      <c r="D611" s="54" t="s">
        <v>59</v>
      </c>
      <c r="E611" s="54" t="s">
        <v>257</v>
      </c>
      <c r="F611" s="55" t="s">
        <v>2568</v>
      </c>
      <c r="G611" s="56">
        <v>42997</v>
      </c>
      <c r="H611" s="54" t="s">
        <v>2569</v>
      </c>
      <c r="I611" s="57">
        <v>43038</v>
      </c>
      <c r="J611" s="54" t="s">
        <v>2541</v>
      </c>
      <c r="K611" s="54" t="s">
        <v>81</v>
      </c>
      <c r="L611" s="56"/>
      <c r="M611" s="56"/>
      <c r="N611" s="54"/>
      <c r="O611" s="54"/>
      <c r="P611" s="54"/>
      <c r="Q611" s="54"/>
      <c r="R611" s="54"/>
      <c r="S611" s="54"/>
      <c r="T611" s="54" t="s">
        <v>56</v>
      </c>
      <c r="U611" s="54" t="s">
        <v>56</v>
      </c>
    </row>
    <row r="612" spans="1:21" ht="150" x14ac:dyDescent="0.25">
      <c r="A612" s="53">
        <v>611</v>
      </c>
      <c r="B612" s="54" t="s">
        <v>2570</v>
      </c>
      <c r="C612" s="54" t="s">
        <v>2571</v>
      </c>
      <c r="D612" s="54" t="s">
        <v>59</v>
      </c>
      <c r="E612" s="54" t="s">
        <v>257</v>
      </c>
      <c r="F612" s="55" t="s">
        <v>2572</v>
      </c>
      <c r="G612" s="56">
        <v>42600.755532407398</v>
      </c>
      <c r="H612" s="54" t="s">
        <v>2573</v>
      </c>
      <c r="I612" s="57">
        <v>42647</v>
      </c>
      <c r="J612" s="54" t="s">
        <v>2399</v>
      </c>
      <c r="K612" s="54" t="s">
        <v>55</v>
      </c>
      <c r="L612" s="56"/>
      <c r="M612" s="56"/>
      <c r="N612" s="58"/>
      <c r="O612" s="58"/>
      <c r="P612" s="58"/>
      <c r="Q612" s="59"/>
      <c r="R612" s="58"/>
      <c r="S612" s="58"/>
      <c r="T612" s="54" t="s">
        <v>56</v>
      </c>
      <c r="U612" s="54" t="s">
        <v>56</v>
      </c>
    </row>
    <row r="613" spans="1:21" ht="37.5" x14ac:dyDescent="0.25">
      <c r="A613" s="53">
        <v>612</v>
      </c>
      <c r="B613" s="54" t="s">
        <v>2574</v>
      </c>
      <c r="C613" s="54" t="s">
        <v>2575</v>
      </c>
      <c r="D613" s="54" t="s">
        <v>59</v>
      </c>
      <c r="E613" s="54" t="s">
        <v>257</v>
      </c>
      <c r="F613" s="55" t="s">
        <v>2576</v>
      </c>
      <c r="G613" s="56">
        <v>43201</v>
      </c>
      <c r="H613" s="54" t="s">
        <v>2577</v>
      </c>
      <c r="I613" s="57">
        <v>43227</v>
      </c>
      <c r="J613" s="64" t="s">
        <v>986</v>
      </c>
      <c r="K613" s="54" t="s">
        <v>81</v>
      </c>
      <c r="L613" s="56"/>
      <c r="M613" s="56"/>
      <c r="N613" s="54"/>
      <c r="O613" s="54"/>
      <c r="P613" s="54"/>
      <c r="Q613" s="54"/>
      <c r="R613" s="54"/>
      <c r="S613" s="54"/>
      <c r="T613" s="54" t="s">
        <v>56</v>
      </c>
      <c r="U613" s="54" t="s">
        <v>56</v>
      </c>
    </row>
    <row r="614" spans="1:21" ht="37.5" x14ac:dyDescent="0.25">
      <c r="A614" s="53">
        <v>613</v>
      </c>
      <c r="B614" s="54" t="s">
        <v>2578</v>
      </c>
      <c r="C614" s="54" t="s">
        <v>2579</v>
      </c>
      <c r="D614" s="54" t="s">
        <v>59</v>
      </c>
      <c r="E614" s="54" t="s">
        <v>257</v>
      </c>
      <c r="F614" s="55" t="s">
        <v>2580</v>
      </c>
      <c r="G614" s="56">
        <v>43201</v>
      </c>
      <c r="H614" s="54" t="s">
        <v>2581</v>
      </c>
      <c r="I614" s="57">
        <v>43227</v>
      </c>
      <c r="J614" s="64" t="s">
        <v>986</v>
      </c>
      <c r="K614" s="54" t="s">
        <v>81</v>
      </c>
      <c r="L614" s="56"/>
      <c r="M614" s="56"/>
      <c r="N614" s="54"/>
      <c r="O614" s="54"/>
      <c r="P614" s="54"/>
      <c r="Q614" s="54"/>
      <c r="R614" s="54"/>
      <c r="S614" s="54"/>
      <c r="T614" s="54" t="s">
        <v>56</v>
      </c>
      <c r="U614" s="54" t="s">
        <v>56</v>
      </c>
    </row>
    <row r="615" spans="1:21" ht="150" x14ac:dyDescent="0.25">
      <c r="A615" s="53">
        <v>614</v>
      </c>
      <c r="B615" s="54" t="s">
        <v>2582</v>
      </c>
      <c r="C615" s="54" t="s">
        <v>2583</v>
      </c>
      <c r="D615" s="54" t="s">
        <v>59</v>
      </c>
      <c r="E615" s="54" t="s">
        <v>257</v>
      </c>
      <c r="F615" s="55" t="s">
        <v>2584</v>
      </c>
      <c r="G615" s="56">
        <v>43010.710347222201</v>
      </c>
      <c r="H615" s="59" t="s">
        <v>2585</v>
      </c>
      <c r="I615" s="57">
        <v>43038</v>
      </c>
      <c r="J615" s="54" t="s">
        <v>2399</v>
      </c>
      <c r="K615" s="54" t="s">
        <v>81</v>
      </c>
      <c r="L615" s="56"/>
      <c r="M615" s="56"/>
      <c r="N615" s="54"/>
      <c r="O615" s="54"/>
      <c r="P615" s="54"/>
      <c r="Q615" s="54"/>
      <c r="R615" s="54"/>
      <c r="S615" s="54"/>
      <c r="T615" s="54" t="s">
        <v>104</v>
      </c>
      <c r="U615" s="54" t="s">
        <v>105</v>
      </c>
    </row>
    <row r="616" spans="1:21" ht="150" x14ac:dyDescent="0.25">
      <c r="A616" s="53">
        <v>615</v>
      </c>
      <c r="B616" s="54" t="s">
        <v>2586</v>
      </c>
      <c r="C616" s="54" t="s">
        <v>2587</v>
      </c>
      <c r="D616" s="54" t="s">
        <v>59</v>
      </c>
      <c r="E616" s="54" t="s">
        <v>257</v>
      </c>
      <c r="F616" s="55" t="s">
        <v>2588</v>
      </c>
      <c r="G616" s="56">
        <v>42600.755532407398</v>
      </c>
      <c r="H616" s="54" t="s">
        <v>2589</v>
      </c>
      <c r="I616" s="57">
        <v>42640</v>
      </c>
      <c r="J616" s="54" t="s">
        <v>2399</v>
      </c>
      <c r="K616" s="54" t="s">
        <v>55</v>
      </c>
      <c r="L616" s="56"/>
      <c r="M616" s="56"/>
      <c r="N616" s="58"/>
      <c r="O616" s="58"/>
      <c r="P616" s="58"/>
      <c r="Q616" s="59"/>
      <c r="R616" s="58"/>
      <c r="S616" s="58"/>
      <c r="T616" s="54" t="s">
        <v>56</v>
      </c>
      <c r="U616" s="54" t="s">
        <v>56</v>
      </c>
    </row>
    <row r="617" spans="1:21" ht="100" x14ac:dyDescent="0.25">
      <c r="A617" s="53">
        <v>616</v>
      </c>
      <c r="B617" s="54" t="s">
        <v>2590</v>
      </c>
      <c r="C617" s="54" t="s">
        <v>2591</v>
      </c>
      <c r="D617" s="54" t="s">
        <v>59</v>
      </c>
      <c r="E617" s="54" t="s">
        <v>257</v>
      </c>
      <c r="F617" s="55" t="s">
        <v>2592</v>
      </c>
      <c r="G617" s="56">
        <v>42600.755532407398</v>
      </c>
      <c r="H617" s="54" t="s">
        <v>2593</v>
      </c>
      <c r="I617" s="57">
        <v>42641</v>
      </c>
      <c r="J617" s="54" t="s">
        <v>999</v>
      </c>
      <c r="K617" s="54" t="s">
        <v>55</v>
      </c>
      <c r="L617" s="56"/>
      <c r="M617" s="56"/>
      <c r="N617" s="58"/>
      <c r="O617" s="58"/>
      <c r="P617" s="58"/>
      <c r="Q617" s="59"/>
      <c r="R617" s="58"/>
      <c r="S617" s="58"/>
      <c r="T617" s="54" t="s">
        <v>56</v>
      </c>
      <c r="U617" s="54" t="s">
        <v>56</v>
      </c>
    </row>
    <row r="618" spans="1:21" ht="150" x14ac:dyDescent="0.25">
      <c r="A618" s="53">
        <v>617</v>
      </c>
      <c r="B618" s="54" t="s">
        <v>2594</v>
      </c>
      <c r="C618" s="54" t="s">
        <v>2595</v>
      </c>
      <c r="D618" s="54" t="s">
        <v>59</v>
      </c>
      <c r="E618" s="54" t="s">
        <v>257</v>
      </c>
      <c r="F618" s="55" t="s">
        <v>2596</v>
      </c>
      <c r="G618" s="56">
        <v>42600.755439814799</v>
      </c>
      <c r="H618" s="54" t="s">
        <v>2597</v>
      </c>
      <c r="I618" s="57">
        <v>42628</v>
      </c>
      <c r="J618" s="54" t="s">
        <v>2399</v>
      </c>
      <c r="K618" s="54" t="s">
        <v>55</v>
      </c>
      <c r="L618" s="56"/>
      <c r="M618" s="56"/>
      <c r="N618" s="58"/>
      <c r="O618" s="58"/>
      <c r="P618" s="58"/>
      <c r="Q618" s="59"/>
      <c r="R618" s="58"/>
      <c r="S618" s="58"/>
      <c r="T618" s="54" t="s">
        <v>56</v>
      </c>
      <c r="U618" s="54" t="s">
        <v>56</v>
      </c>
    </row>
    <row r="619" spans="1:21" ht="150" x14ac:dyDescent="0.25">
      <c r="A619" s="53">
        <v>618</v>
      </c>
      <c r="B619" s="54" t="s">
        <v>2598</v>
      </c>
      <c r="C619" s="54" t="s">
        <v>2599</v>
      </c>
      <c r="D619" s="54" t="s">
        <v>59</v>
      </c>
      <c r="E619" s="54" t="s">
        <v>257</v>
      </c>
      <c r="F619" s="55" t="s">
        <v>2600</v>
      </c>
      <c r="G619" s="56">
        <v>42601.338877314804</v>
      </c>
      <c r="H619" s="54" t="s">
        <v>2601</v>
      </c>
      <c r="I619" s="57">
        <v>42628</v>
      </c>
      <c r="J619" s="54" t="s">
        <v>2399</v>
      </c>
      <c r="K619" s="54" t="s">
        <v>55</v>
      </c>
      <c r="L619" s="56"/>
      <c r="M619" s="56"/>
      <c r="N619" s="58"/>
      <c r="O619" s="58"/>
      <c r="P619" s="58"/>
      <c r="Q619" s="59"/>
      <c r="R619" s="58"/>
      <c r="S619" s="58"/>
      <c r="T619" s="54" t="s">
        <v>56</v>
      </c>
      <c r="U619" s="54" t="s">
        <v>56</v>
      </c>
    </row>
    <row r="620" spans="1:21" ht="137.5" x14ac:dyDescent="0.25">
      <c r="A620" s="53">
        <v>619</v>
      </c>
      <c r="B620" s="54" t="s">
        <v>2602</v>
      </c>
      <c r="C620" s="54" t="s">
        <v>2603</v>
      </c>
      <c r="D620" s="54" t="s">
        <v>59</v>
      </c>
      <c r="E620" s="54" t="s">
        <v>257</v>
      </c>
      <c r="F620" s="55" t="s">
        <v>2604</v>
      </c>
      <c r="G620" s="56">
        <v>42685</v>
      </c>
      <c r="H620" s="54" t="s">
        <v>2605</v>
      </c>
      <c r="I620" s="57">
        <v>42727</v>
      </c>
      <c r="J620" s="54" t="s">
        <v>1905</v>
      </c>
      <c r="K620" s="54" t="s">
        <v>55</v>
      </c>
      <c r="L620" s="56"/>
      <c r="M620" s="56"/>
      <c r="N620" s="58"/>
      <c r="O620" s="58"/>
      <c r="P620" s="58"/>
      <c r="Q620" s="59"/>
      <c r="R620" s="58"/>
      <c r="S620" s="58"/>
      <c r="T620" s="54" t="s">
        <v>56</v>
      </c>
      <c r="U620" s="54" t="s">
        <v>56</v>
      </c>
    </row>
    <row r="621" spans="1:21" ht="150" x14ac:dyDescent="0.25">
      <c r="A621" s="53">
        <v>620</v>
      </c>
      <c r="B621" s="54" t="s">
        <v>2606</v>
      </c>
      <c r="C621" s="54" t="s">
        <v>2607</v>
      </c>
      <c r="D621" s="54" t="s">
        <v>59</v>
      </c>
      <c r="E621" s="54" t="s">
        <v>257</v>
      </c>
      <c r="F621" s="55" t="s">
        <v>2608</v>
      </c>
      <c r="G621" s="56">
        <v>42600.755486111098</v>
      </c>
      <c r="H621" s="54" t="s">
        <v>2609</v>
      </c>
      <c r="I621" s="57">
        <v>42640</v>
      </c>
      <c r="J621" s="54" t="s">
        <v>2399</v>
      </c>
      <c r="K621" s="54" t="s">
        <v>55</v>
      </c>
      <c r="L621" s="56"/>
      <c r="M621" s="56"/>
      <c r="N621" s="58"/>
      <c r="O621" s="58"/>
      <c r="P621" s="58"/>
      <c r="Q621" s="59"/>
      <c r="R621" s="58"/>
      <c r="S621" s="58"/>
      <c r="T621" s="54" t="s">
        <v>56</v>
      </c>
      <c r="U621" s="54" t="s">
        <v>56</v>
      </c>
    </row>
    <row r="622" spans="1:21" ht="100" x14ac:dyDescent="0.25">
      <c r="A622" s="53">
        <v>621</v>
      </c>
      <c r="B622" s="54" t="s">
        <v>2610</v>
      </c>
      <c r="C622" s="54" t="s">
        <v>2611</v>
      </c>
      <c r="D622" s="54" t="s">
        <v>50</v>
      </c>
      <c r="E622" s="54" t="s">
        <v>257</v>
      </c>
      <c r="F622" s="55" t="s">
        <v>2612</v>
      </c>
      <c r="G622" s="56">
        <v>43319</v>
      </c>
      <c r="H622" s="54" t="s">
        <v>2613</v>
      </c>
      <c r="I622" s="67">
        <v>43753</v>
      </c>
      <c r="J622" s="54" t="s">
        <v>54</v>
      </c>
      <c r="K622" s="54" t="s">
        <v>55</v>
      </c>
      <c r="L622" s="56"/>
      <c r="M622" s="56"/>
      <c r="N622" s="54"/>
      <c r="O622" s="54"/>
      <c r="P622" s="54"/>
      <c r="Q622" s="54"/>
      <c r="R622" s="54"/>
      <c r="S622" s="54"/>
      <c r="T622" s="54" t="s">
        <v>56</v>
      </c>
      <c r="U622" s="54" t="s">
        <v>56</v>
      </c>
    </row>
    <row r="623" spans="1:21" ht="100" x14ac:dyDescent="0.25">
      <c r="A623" s="53">
        <v>622</v>
      </c>
      <c r="B623" s="54" t="s">
        <v>2614</v>
      </c>
      <c r="C623" s="64" t="s">
        <v>2615</v>
      </c>
      <c r="D623" s="54" t="s">
        <v>50</v>
      </c>
      <c r="E623" s="54" t="s">
        <v>257</v>
      </c>
      <c r="F623" s="65" t="s">
        <v>2616</v>
      </c>
      <c r="G623" s="66">
        <v>43684</v>
      </c>
      <c r="H623" s="64" t="s">
        <v>2617</v>
      </c>
      <c r="I623" s="67">
        <v>43707</v>
      </c>
      <c r="J623" s="54" t="s">
        <v>54</v>
      </c>
      <c r="K623" s="54" t="s">
        <v>55</v>
      </c>
      <c r="L623" s="56"/>
      <c r="M623" s="56"/>
      <c r="N623" s="54"/>
      <c r="O623" s="54"/>
      <c r="P623" s="54"/>
      <c r="Q623" s="54"/>
      <c r="R623" s="54"/>
      <c r="S623" s="54"/>
      <c r="T623" s="54" t="s">
        <v>56</v>
      </c>
      <c r="U623" s="54" t="s">
        <v>56</v>
      </c>
    </row>
    <row r="624" spans="1:21" ht="50" x14ac:dyDescent="0.25">
      <c r="A624" s="53">
        <v>623</v>
      </c>
      <c r="B624" s="54" t="s">
        <v>2618</v>
      </c>
      <c r="C624" s="54" t="s">
        <v>2619</v>
      </c>
      <c r="D624" s="54" t="s">
        <v>59</v>
      </c>
      <c r="E624" s="54" t="s">
        <v>257</v>
      </c>
      <c r="F624" s="55" t="s">
        <v>2620</v>
      </c>
      <c r="G624" s="56">
        <v>43025</v>
      </c>
      <c r="H624" s="59" t="s">
        <v>2621</v>
      </c>
      <c r="I624" s="57">
        <v>43038</v>
      </c>
      <c r="J624" s="54" t="s">
        <v>2622</v>
      </c>
      <c r="K624" s="54" t="s">
        <v>55</v>
      </c>
      <c r="L624" s="56"/>
      <c r="M624" s="56"/>
      <c r="N624" s="54"/>
      <c r="O624" s="54"/>
      <c r="P624" s="54"/>
      <c r="Q624" s="54"/>
      <c r="R624" s="54"/>
      <c r="S624" s="54"/>
      <c r="T624" s="54" t="s">
        <v>56</v>
      </c>
      <c r="U624" s="54" t="s">
        <v>56</v>
      </c>
    </row>
    <row r="625" spans="1:21" ht="137.5" x14ac:dyDescent="0.25">
      <c r="A625" s="53">
        <v>624</v>
      </c>
      <c r="B625" s="54" t="s">
        <v>2623</v>
      </c>
      <c r="C625" s="54" t="s">
        <v>2624</v>
      </c>
      <c r="D625" s="54" t="s">
        <v>59</v>
      </c>
      <c r="E625" s="54" t="s">
        <v>257</v>
      </c>
      <c r="F625" s="55" t="s">
        <v>2625</v>
      </c>
      <c r="G625" s="56">
        <v>43019</v>
      </c>
      <c r="H625" s="54" t="s">
        <v>2626</v>
      </c>
      <c r="I625" s="57">
        <v>43046</v>
      </c>
      <c r="J625" s="54" t="s">
        <v>1905</v>
      </c>
      <c r="K625" s="54" t="s">
        <v>55</v>
      </c>
      <c r="L625" s="56"/>
      <c r="M625" s="56"/>
      <c r="N625" s="54"/>
      <c r="O625" s="54"/>
      <c r="P625" s="54"/>
      <c r="Q625" s="54"/>
      <c r="R625" s="54"/>
      <c r="S625" s="54"/>
      <c r="T625" s="54" t="s">
        <v>56</v>
      </c>
      <c r="U625" s="54" t="s">
        <v>56</v>
      </c>
    </row>
    <row r="626" spans="1:21" ht="100" x14ac:dyDescent="0.25">
      <c r="A626" s="53">
        <v>625</v>
      </c>
      <c r="B626" s="54" t="s">
        <v>2627</v>
      </c>
      <c r="C626" s="54" t="s">
        <v>2628</v>
      </c>
      <c r="D626" s="54" t="s">
        <v>50</v>
      </c>
      <c r="E626" s="54" t="s">
        <v>257</v>
      </c>
      <c r="F626" s="55" t="s">
        <v>2629</v>
      </c>
      <c r="G626" s="56">
        <v>43010</v>
      </c>
      <c r="H626" s="54" t="s">
        <v>2630</v>
      </c>
      <c r="I626" s="57">
        <v>43038</v>
      </c>
      <c r="J626" s="54" t="s">
        <v>54</v>
      </c>
      <c r="K626" s="54" t="s">
        <v>55</v>
      </c>
      <c r="L626" s="56"/>
      <c r="M626" s="56"/>
      <c r="N626" s="54"/>
      <c r="O626" s="54"/>
      <c r="P626" s="54"/>
      <c r="Q626" s="54"/>
      <c r="R626" s="54"/>
      <c r="S626" s="54"/>
      <c r="T626" s="54" t="s">
        <v>56</v>
      </c>
      <c r="U626" s="54" t="s">
        <v>56</v>
      </c>
    </row>
    <row r="627" spans="1:21" ht="100" x14ac:dyDescent="0.25">
      <c r="A627" s="53">
        <v>626</v>
      </c>
      <c r="B627" s="54" t="s">
        <v>2631</v>
      </c>
      <c r="C627" s="54" t="s">
        <v>2632</v>
      </c>
      <c r="D627" s="54" t="s">
        <v>50</v>
      </c>
      <c r="E627" s="54" t="s">
        <v>257</v>
      </c>
      <c r="F627" s="55" t="s">
        <v>2633</v>
      </c>
      <c r="G627" s="56">
        <v>43000</v>
      </c>
      <c r="H627" s="54" t="s">
        <v>2634</v>
      </c>
      <c r="I627" s="57">
        <v>43020</v>
      </c>
      <c r="J627" s="54" t="s">
        <v>54</v>
      </c>
      <c r="K627" s="54" t="s">
        <v>55</v>
      </c>
      <c r="L627" s="56"/>
      <c r="M627" s="56"/>
      <c r="N627" s="54"/>
      <c r="O627" s="54"/>
      <c r="P627" s="54"/>
      <c r="Q627" s="54"/>
      <c r="R627" s="54"/>
      <c r="S627" s="54"/>
      <c r="T627" s="54" t="s">
        <v>56</v>
      </c>
      <c r="U627" s="54" t="s">
        <v>56</v>
      </c>
    </row>
    <row r="628" spans="1:21" ht="150" x14ac:dyDescent="0.25">
      <c r="A628" s="53">
        <v>627</v>
      </c>
      <c r="B628" s="54" t="s">
        <v>2635</v>
      </c>
      <c r="C628" s="54" t="s">
        <v>2636</v>
      </c>
      <c r="D628" s="54" t="s">
        <v>59</v>
      </c>
      <c r="E628" s="54" t="s">
        <v>257</v>
      </c>
      <c r="F628" s="55" t="s">
        <v>2637</v>
      </c>
      <c r="G628" s="56">
        <v>42600.755497685197</v>
      </c>
      <c r="H628" s="54" t="s">
        <v>2638</v>
      </c>
      <c r="I628" s="57">
        <v>42647</v>
      </c>
      <c r="J628" s="54" t="s">
        <v>2399</v>
      </c>
      <c r="K628" s="54" t="s">
        <v>55</v>
      </c>
      <c r="L628" s="56"/>
      <c r="M628" s="56"/>
      <c r="N628" s="58"/>
      <c r="O628" s="58"/>
      <c r="P628" s="58"/>
      <c r="Q628" s="59"/>
      <c r="R628" s="58"/>
      <c r="S628" s="58"/>
      <c r="T628" s="54" t="s">
        <v>56</v>
      </c>
      <c r="U628" s="54" t="s">
        <v>56</v>
      </c>
    </row>
    <row r="629" spans="1:21" ht="100" x14ac:dyDescent="0.25">
      <c r="A629" s="53">
        <v>628</v>
      </c>
      <c r="B629" s="54" t="s">
        <v>2639</v>
      </c>
      <c r="C629" s="54" t="s">
        <v>2640</v>
      </c>
      <c r="D629" s="54" t="s">
        <v>50</v>
      </c>
      <c r="E629" s="54" t="s">
        <v>257</v>
      </c>
      <c r="F629" s="55" t="s">
        <v>2641</v>
      </c>
      <c r="G629" s="56">
        <v>42685</v>
      </c>
      <c r="H629" s="54" t="s">
        <v>2642</v>
      </c>
      <c r="I629" s="57">
        <v>42725</v>
      </c>
      <c r="J629" s="54" t="s">
        <v>54</v>
      </c>
      <c r="K629" s="54" t="s">
        <v>55</v>
      </c>
      <c r="L629" s="56"/>
      <c r="M629" s="56"/>
      <c r="N629" s="58"/>
      <c r="O629" s="58"/>
      <c r="P629" s="58"/>
      <c r="Q629" s="59"/>
      <c r="R629" s="58"/>
      <c r="S629" s="58"/>
      <c r="T629" s="54" t="s">
        <v>56</v>
      </c>
      <c r="U629" s="54" t="s">
        <v>56</v>
      </c>
    </row>
    <row r="630" spans="1:21" ht="100" x14ac:dyDescent="0.25">
      <c r="A630" s="53">
        <v>629</v>
      </c>
      <c r="B630" s="54" t="s">
        <v>2643</v>
      </c>
      <c r="C630" s="54" t="s">
        <v>2644</v>
      </c>
      <c r="D630" s="54" t="s">
        <v>173</v>
      </c>
      <c r="E630" s="54" t="s">
        <v>257</v>
      </c>
      <c r="F630" s="55" t="s">
        <v>2645</v>
      </c>
      <c r="G630" s="56">
        <v>43047</v>
      </c>
      <c r="H630" s="54" t="s">
        <v>2646</v>
      </c>
      <c r="I630" s="57">
        <v>43188</v>
      </c>
      <c r="J630" s="54" t="s">
        <v>54</v>
      </c>
      <c r="K630" s="54" t="s">
        <v>176</v>
      </c>
      <c r="L630" s="56"/>
      <c r="M630" s="56"/>
      <c r="N630" s="54"/>
      <c r="O630" s="54"/>
      <c r="P630" s="54" t="s">
        <v>2647</v>
      </c>
      <c r="Q630" s="59">
        <v>43543</v>
      </c>
      <c r="R630" s="54" t="s">
        <v>179</v>
      </c>
      <c r="S630" s="68">
        <v>43543</v>
      </c>
      <c r="T630" s="54" t="s">
        <v>56</v>
      </c>
      <c r="U630" s="54" t="s">
        <v>56</v>
      </c>
    </row>
    <row r="631" spans="1:21" ht="100" x14ac:dyDescent="0.25">
      <c r="A631" s="53">
        <v>630</v>
      </c>
      <c r="B631" s="54" t="s">
        <v>2648</v>
      </c>
      <c r="C631" s="54" t="s">
        <v>2649</v>
      </c>
      <c r="D631" s="54" t="s">
        <v>50</v>
      </c>
      <c r="E631" s="54" t="s">
        <v>257</v>
      </c>
      <c r="F631" s="55" t="s">
        <v>2650</v>
      </c>
      <c r="G631" s="56">
        <v>42685</v>
      </c>
      <c r="H631" s="54" t="s">
        <v>2651</v>
      </c>
      <c r="I631" s="57">
        <v>42719</v>
      </c>
      <c r="J631" s="54" t="s">
        <v>54</v>
      </c>
      <c r="K631" s="54" t="s">
        <v>55</v>
      </c>
      <c r="L631" s="56"/>
      <c r="M631" s="56"/>
      <c r="N631" s="58"/>
      <c r="O631" s="58"/>
      <c r="P631" s="58"/>
      <c r="Q631" s="59"/>
      <c r="R631" s="58"/>
      <c r="S631" s="58"/>
      <c r="T631" s="54" t="s">
        <v>56</v>
      </c>
      <c r="U631" s="54" t="s">
        <v>56</v>
      </c>
    </row>
    <row r="632" spans="1:21" ht="100" x14ac:dyDescent="0.25">
      <c r="A632" s="53">
        <v>631</v>
      </c>
      <c r="B632" s="54" t="s">
        <v>2652</v>
      </c>
      <c r="C632" s="54" t="s">
        <v>2653</v>
      </c>
      <c r="D632" s="54" t="s">
        <v>59</v>
      </c>
      <c r="E632" s="54" t="s">
        <v>257</v>
      </c>
      <c r="F632" s="55" t="s">
        <v>2654</v>
      </c>
      <c r="G632" s="56">
        <v>42600.755416666703</v>
      </c>
      <c r="H632" s="54" t="s">
        <v>2655</v>
      </c>
      <c r="I632" s="57">
        <v>42641</v>
      </c>
      <c r="J632" s="54" t="s">
        <v>999</v>
      </c>
      <c r="K632" s="54" t="s">
        <v>55</v>
      </c>
      <c r="L632" s="56"/>
      <c r="M632" s="56"/>
      <c r="N632" s="58"/>
      <c r="O632" s="58"/>
      <c r="P632" s="58"/>
      <c r="Q632" s="59"/>
      <c r="R632" s="58"/>
      <c r="S632" s="58"/>
      <c r="T632" s="54" t="s">
        <v>56</v>
      </c>
      <c r="U632" s="54" t="s">
        <v>56</v>
      </c>
    </row>
    <row r="633" spans="1:21" ht="150" x14ac:dyDescent="0.25">
      <c r="A633" s="53">
        <v>632</v>
      </c>
      <c r="B633" s="54" t="s">
        <v>2656</v>
      </c>
      <c r="C633" s="54" t="s">
        <v>2657</v>
      </c>
      <c r="D633" s="54" t="s">
        <v>59</v>
      </c>
      <c r="E633" s="54" t="s">
        <v>257</v>
      </c>
      <c r="F633" s="55" t="s">
        <v>2658</v>
      </c>
      <c r="G633" s="56">
        <v>43027</v>
      </c>
      <c r="H633" s="54" t="s">
        <v>2659</v>
      </c>
      <c r="I633" s="57">
        <v>43046</v>
      </c>
      <c r="J633" s="54" t="s">
        <v>2399</v>
      </c>
      <c r="K633" s="54" t="s">
        <v>55</v>
      </c>
      <c r="L633" s="56"/>
      <c r="M633" s="56"/>
      <c r="N633" s="54"/>
      <c r="O633" s="54"/>
      <c r="P633" s="54"/>
      <c r="Q633" s="54"/>
      <c r="R633" s="54"/>
      <c r="S633" s="54"/>
      <c r="T633" s="54" t="s">
        <v>56</v>
      </c>
      <c r="U633" s="54" t="s">
        <v>56</v>
      </c>
    </row>
    <row r="634" spans="1:21" ht="150" x14ac:dyDescent="0.25">
      <c r="A634" s="53">
        <v>633</v>
      </c>
      <c r="B634" s="54" t="s">
        <v>2660</v>
      </c>
      <c r="C634" s="54" t="s">
        <v>2661</v>
      </c>
      <c r="D634" s="54" t="s">
        <v>59</v>
      </c>
      <c r="E634" s="54" t="s">
        <v>257</v>
      </c>
      <c r="F634" s="55" t="s">
        <v>2662</v>
      </c>
      <c r="G634" s="56">
        <v>42600.755474537</v>
      </c>
      <c r="H634" s="54" t="s">
        <v>2663</v>
      </c>
      <c r="I634" s="57">
        <v>42640</v>
      </c>
      <c r="J634" s="54" t="s">
        <v>2399</v>
      </c>
      <c r="K634" s="54" t="s">
        <v>55</v>
      </c>
      <c r="L634" s="56"/>
      <c r="M634" s="56"/>
      <c r="N634" s="58"/>
      <c r="O634" s="58"/>
      <c r="P634" s="58"/>
      <c r="Q634" s="59"/>
      <c r="R634" s="58"/>
      <c r="S634" s="58"/>
      <c r="T634" s="54" t="s">
        <v>56</v>
      </c>
      <c r="U634" s="54" t="s">
        <v>56</v>
      </c>
    </row>
    <row r="635" spans="1:21" ht="100" x14ac:dyDescent="0.25">
      <c r="A635" s="53">
        <v>634</v>
      </c>
      <c r="B635" s="54" t="s">
        <v>2664</v>
      </c>
      <c r="C635" s="54" t="s">
        <v>2665</v>
      </c>
      <c r="D635" s="54" t="s">
        <v>59</v>
      </c>
      <c r="E635" s="54" t="s">
        <v>257</v>
      </c>
      <c r="F635" s="55" t="s">
        <v>2666</v>
      </c>
      <c r="G635" s="56">
        <v>42600.755462963003</v>
      </c>
      <c r="H635" s="54" t="s">
        <v>2667</v>
      </c>
      <c r="I635" s="57">
        <v>42657</v>
      </c>
      <c r="J635" s="54" t="s">
        <v>999</v>
      </c>
      <c r="K635" s="54" t="s">
        <v>55</v>
      </c>
      <c r="L635" s="56"/>
      <c r="M635" s="56"/>
      <c r="N635" s="58"/>
      <c r="O635" s="58"/>
      <c r="P635" s="58"/>
      <c r="Q635" s="59"/>
      <c r="R635" s="58"/>
      <c r="S635" s="58"/>
      <c r="T635" s="54" t="s">
        <v>56</v>
      </c>
      <c r="U635" s="54" t="s">
        <v>56</v>
      </c>
    </row>
    <row r="636" spans="1:21" ht="150" x14ac:dyDescent="0.25">
      <c r="A636" s="53">
        <v>635</v>
      </c>
      <c r="B636" s="54" t="s">
        <v>2668</v>
      </c>
      <c r="C636" s="54" t="s">
        <v>2669</v>
      </c>
      <c r="D636" s="54" t="s">
        <v>59</v>
      </c>
      <c r="E636" s="54" t="s">
        <v>257</v>
      </c>
      <c r="F636" s="55" t="s">
        <v>2670</v>
      </c>
      <c r="G636" s="56">
        <v>42600.755474537</v>
      </c>
      <c r="H636" s="54" t="s">
        <v>2671</v>
      </c>
      <c r="I636" s="57">
        <v>42632</v>
      </c>
      <c r="J636" s="54" t="s">
        <v>2399</v>
      </c>
      <c r="K636" s="54" t="s">
        <v>55</v>
      </c>
      <c r="L636" s="56"/>
      <c r="M636" s="56"/>
      <c r="N636" s="58"/>
      <c r="O636" s="58"/>
      <c r="P636" s="58"/>
      <c r="Q636" s="59"/>
      <c r="R636" s="58"/>
      <c r="S636" s="58"/>
      <c r="T636" s="54" t="s">
        <v>56</v>
      </c>
      <c r="U636" s="54" t="s">
        <v>56</v>
      </c>
    </row>
    <row r="637" spans="1:21" ht="150" x14ac:dyDescent="0.25">
      <c r="A637" s="53">
        <v>636</v>
      </c>
      <c r="B637" s="54" t="s">
        <v>2672</v>
      </c>
      <c r="C637" s="54" t="s">
        <v>2673</v>
      </c>
      <c r="D637" s="54" t="s">
        <v>59</v>
      </c>
      <c r="E637" s="54" t="s">
        <v>257</v>
      </c>
      <c r="F637" s="55" t="s">
        <v>2674</v>
      </c>
      <c r="G637" s="56">
        <v>42600.755462963003</v>
      </c>
      <c r="H637" s="54" t="s">
        <v>2675</v>
      </c>
      <c r="I637" s="57">
        <v>42646</v>
      </c>
      <c r="J637" s="54" t="s">
        <v>2399</v>
      </c>
      <c r="K637" s="54" t="s">
        <v>55</v>
      </c>
      <c r="L637" s="56"/>
      <c r="M637" s="56"/>
      <c r="N637" s="58"/>
      <c r="O637" s="58"/>
      <c r="P637" s="58"/>
      <c r="Q637" s="59"/>
      <c r="R637" s="58"/>
      <c r="S637" s="58"/>
      <c r="T637" s="54" t="s">
        <v>56</v>
      </c>
      <c r="U637" s="54" t="s">
        <v>56</v>
      </c>
    </row>
    <row r="638" spans="1:21" ht="37.5" x14ac:dyDescent="0.25">
      <c r="A638" s="53">
        <v>637</v>
      </c>
      <c r="B638" s="54" t="s">
        <v>2676</v>
      </c>
      <c r="C638" s="54" t="s">
        <v>2677</v>
      </c>
      <c r="D638" s="54" t="s">
        <v>59</v>
      </c>
      <c r="E638" s="54" t="s">
        <v>257</v>
      </c>
      <c r="F638" s="55" t="s">
        <v>2678</v>
      </c>
      <c r="G638" s="56">
        <v>43307</v>
      </c>
      <c r="H638" s="54" t="s">
        <v>2679</v>
      </c>
      <c r="I638" s="57">
        <v>43444</v>
      </c>
      <c r="J638" s="54" t="s">
        <v>986</v>
      </c>
      <c r="K638" s="54" t="s">
        <v>81</v>
      </c>
      <c r="L638" s="56"/>
      <c r="M638" s="56"/>
      <c r="N638" s="54"/>
      <c r="O638" s="54"/>
      <c r="P638" s="54"/>
      <c r="Q638" s="54"/>
      <c r="R638" s="54"/>
      <c r="S638" s="54"/>
      <c r="T638" s="54" t="s">
        <v>56</v>
      </c>
      <c r="U638" s="54" t="s">
        <v>56</v>
      </c>
    </row>
    <row r="639" spans="1:21" ht="137.5" x14ac:dyDescent="0.25">
      <c r="A639" s="53">
        <v>638</v>
      </c>
      <c r="B639" s="54" t="s">
        <v>2680</v>
      </c>
      <c r="C639" s="54" t="s">
        <v>2681</v>
      </c>
      <c r="D639" s="54" t="s">
        <v>59</v>
      </c>
      <c r="E639" s="54" t="s">
        <v>257</v>
      </c>
      <c r="F639" s="55" t="s">
        <v>2682</v>
      </c>
      <c r="G639" s="56">
        <v>43019</v>
      </c>
      <c r="H639" s="54" t="s">
        <v>2683</v>
      </c>
      <c r="I639" s="57">
        <v>43046</v>
      </c>
      <c r="J639" s="54" t="s">
        <v>1905</v>
      </c>
      <c r="K639" s="54" t="s">
        <v>81</v>
      </c>
      <c r="L639" s="56"/>
      <c r="M639" s="56"/>
      <c r="N639" s="54"/>
      <c r="O639" s="54"/>
      <c r="P639" s="54"/>
      <c r="Q639" s="54"/>
      <c r="R639" s="54"/>
      <c r="S639" s="54"/>
      <c r="T639" s="54" t="s">
        <v>56</v>
      </c>
      <c r="U639" s="54" t="s">
        <v>56</v>
      </c>
    </row>
    <row r="640" spans="1:21" ht="150" x14ac:dyDescent="0.25">
      <c r="A640" s="53">
        <v>639</v>
      </c>
      <c r="B640" s="54" t="s">
        <v>2684</v>
      </c>
      <c r="C640" s="54" t="s">
        <v>2685</v>
      </c>
      <c r="D640" s="54" t="s">
        <v>59</v>
      </c>
      <c r="E640" s="54" t="s">
        <v>257</v>
      </c>
      <c r="F640" s="55" t="s">
        <v>2686</v>
      </c>
      <c r="G640" s="56">
        <v>42601.338900463001</v>
      </c>
      <c r="H640" s="54" t="s">
        <v>2687</v>
      </c>
      <c r="I640" s="57">
        <v>42640</v>
      </c>
      <c r="J640" s="54" t="s">
        <v>2399</v>
      </c>
      <c r="K640" s="54" t="s">
        <v>55</v>
      </c>
      <c r="L640" s="56"/>
      <c r="M640" s="56"/>
      <c r="N640" s="58"/>
      <c r="O640" s="58"/>
      <c r="P640" s="58"/>
      <c r="Q640" s="59"/>
      <c r="R640" s="58"/>
      <c r="S640" s="58"/>
      <c r="T640" s="54" t="s">
        <v>56</v>
      </c>
      <c r="U640" s="54" t="s">
        <v>56</v>
      </c>
    </row>
    <row r="641" spans="1:21" ht="100" x14ac:dyDescent="0.25">
      <c r="A641" s="53">
        <v>640</v>
      </c>
      <c r="B641" s="54" t="s">
        <v>2688</v>
      </c>
      <c r="C641" s="54" t="s">
        <v>2689</v>
      </c>
      <c r="D641" s="54" t="s">
        <v>50</v>
      </c>
      <c r="E641" s="54" t="s">
        <v>257</v>
      </c>
      <c r="F641" s="55" t="s">
        <v>2690</v>
      </c>
      <c r="G641" s="56">
        <v>43000</v>
      </c>
      <c r="H641" s="54" t="s">
        <v>2691</v>
      </c>
      <c r="I641" s="57">
        <v>43024</v>
      </c>
      <c r="J641" s="54" t="s">
        <v>54</v>
      </c>
      <c r="K641" s="54" t="s">
        <v>55</v>
      </c>
      <c r="L641" s="56"/>
      <c r="M641" s="56"/>
      <c r="N641" s="54"/>
      <c r="O641" s="54"/>
      <c r="P641" s="54"/>
      <c r="Q641" s="54"/>
      <c r="R641" s="54"/>
      <c r="S641" s="54"/>
      <c r="T641" s="54" t="s">
        <v>56</v>
      </c>
      <c r="U641" s="54" t="s">
        <v>56</v>
      </c>
    </row>
    <row r="642" spans="1:21" ht="100" x14ac:dyDescent="0.25">
      <c r="A642" s="53">
        <v>641</v>
      </c>
      <c r="B642" s="54" t="s">
        <v>2692</v>
      </c>
      <c r="C642" s="54" t="s">
        <v>2693</v>
      </c>
      <c r="D642" s="54" t="s">
        <v>173</v>
      </c>
      <c r="E642" s="54" t="s">
        <v>257</v>
      </c>
      <c r="F642" s="55" t="s">
        <v>2694</v>
      </c>
      <c r="G642" s="56">
        <v>42685</v>
      </c>
      <c r="H642" s="54" t="s">
        <v>2695</v>
      </c>
      <c r="I642" s="57">
        <v>42733</v>
      </c>
      <c r="J642" s="54" t="s">
        <v>54</v>
      </c>
      <c r="K642" s="54" t="s">
        <v>176</v>
      </c>
      <c r="L642" s="56"/>
      <c r="M642" s="56"/>
      <c r="N642" s="58"/>
      <c r="O642" s="58"/>
      <c r="P642" s="58" t="s">
        <v>2696</v>
      </c>
      <c r="Q642" s="59">
        <v>43826</v>
      </c>
      <c r="R642" s="54" t="s">
        <v>179</v>
      </c>
      <c r="S642" s="68">
        <v>43851</v>
      </c>
      <c r="T642" s="54" t="s">
        <v>56</v>
      </c>
      <c r="U642" s="54" t="s">
        <v>56</v>
      </c>
    </row>
    <row r="643" spans="1:21" ht="100" x14ac:dyDescent="0.25">
      <c r="A643" s="53">
        <v>642</v>
      </c>
      <c r="B643" s="54" t="s">
        <v>2697</v>
      </c>
      <c r="C643" s="54" t="s">
        <v>2698</v>
      </c>
      <c r="D643" s="54" t="s">
        <v>50</v>
      </c>
      <c r="E643" s="54" t="s">
        <v>257</v>
      </c>
      <c r="F643" s="65" t="s">
        <v>2699</v>
      </c>
      <c r="G643" s="66">
        <v>43307</v>
      </c>
      <c r="H643" s="64" t="s">
        <v>2700</v>
      </c>
      <c r="I643" s="67">
        <v>43717</v>
      </c>
      <c r="J643" s="54" t="s">
        <v>54</v>
      </c>
      <c r="K643" s="54" t="s">
        <v>55</v>
      </c>
      <c r="L643" s="56"/>
      <c r="M643" s="56"/>
      <c r="N643" s="54"/>
      <c r="O643" s="54"/>
      <c r="P643" s="54"/>
      <c r="Q643" s="54"/>
      <c r="R643" s="54"/>
      <c r="S643" s="54"/>
      <c r="T643" s="54" t="s">
        <v>56</v>
      </c>
      <c r="U643" s="54" t="s">
        <v>56</v>
      </c>
    </row>
    <row r="644" spans="1:21" ht="100" x14ac:dyDescent="0.25">
      <c r="A644" s="53">
        <v>643</v>
      </c>
      <c r="B644" s="54" t="s">
        <v>2701</v>
      </c>
      <c r="C644" s="54" t="s">
        <v>2702</v>
      </c>
      <c r="D644" s="54" t="s">
        <v>50</v>
      </c>
      <c r="E644" s="54" t="s">
        <v>257</v>
      </c>
      <c r="F644" s="55" t="s">
        <v>2703</v>
      </c>
      <c r="G644" s="56">
        <v>42685</v>
      </c>
      <c r="H644" s="54" t="s">
        <v>2704</v>
      </c>
      <c r="I644" s="57">
        <v>42719</v>
      </c>
      <c r="J644" s="54" t="s">
        <v>54</v>
      </c>
      <c r="K644" s="54" t="s">
        <v>55</v>
      </c>
      <c r="L644" s="56"/>
      <c r="M644" s="56"/>
      <c r="N644" s="58"/>
      <c r="O644" s="58"/>
      <c r="P644" s="58"/>
      <c r="Q644" s="59"/>
      <c r="R644" s="58"/>
      <c r="S644" s="58"/>
      <c r="T644" s="54" t="s">
        <v>56</v>
      </c>
      <c r="U644" s="54" t="s">
        <v>56</v>
      </c>
    </row>
    <row r="645" spans="1:21" ht="100" x14ac:dyDescent="0.25">
      <c r="A645" s="53">
        <v>644</v>
      </c>
      <c r="B645" s="54" t="s">
        <v>2705</v>
      </c>
      <c r="C645" s="54" t="s">
        <v>2706</v>
      </c>
      <c r="D645" s="54" t="s">
        <v>50</v>
      </c>
      <c r="E645" s="54" t="s">
        <v>257</v>
      </c>
      <c r="F645" s="55" t="s">
        <v>2707</v>
      </c>
      <c r="G645" s="56">
        <v>43307</v>
      </c>
      <c r="H645" s="54" t="s">
        <v>2708</v>
      </c>
      <c r="I645" s="57">
        <v>43438</v>
      </c>
      <c r="J645" s="54" t="s">
        <v>54</v>
      </c>
      <c r="K645" s="54" t="s">
        <v>55</v>
      </c>
      <c r="L645" s="56"/>
      <c r="M645" s="56"/>
      <c r="N645" s="54"/>
      <c r="O645" s="54"/>
      <c r="P645" s="54"/>
      <c r="Q645" s="54"/>
      <c r="R645" s="54"/>
      <c r="S645" s="54"/>
      <c r="T645" s="54" t="s">
        <v>56</v>
      </c>
      <c r="U645" s="54" t="s">
        <v>56</v>
      </c>
    </row>
    <row r="646" spans="1:21" ht="137.5" x14ac:dyDescent="0.25">
      <c r="A646" s="53">
        <v>645</v>
      </c>
      <c r="B646" s="54" t="s">
        <v>2709</v>
      </c>
      <c r="C646" s="54" t="s">
        <v>2710</v>
      </c>
      <c r="D646" s="54" t="s">
        <v>59</v>
      </c>
      <c r="E646" s="54" t="s">
        <v>257</v>
      </c>
      <c r="F646" s="55" t="s">
        <v>2711</v>
      </c>
      <c r="G646" s="56">
        <v>42685</v>
      </c>
      <c r="H646" s="54" t="s">
        <v>2712</v>
      </c>
      <c r="I646" s="57">
        <v>42733</v>
      </c>
      <c r="J646" s="54" t="s">
        <v>1905</v>
      </c>
      <c r="K646" s="54" t="s">
        <v>55</v>
      </c>
      <c r="L646" s="56"/>
      <c r="M646" s="56"/>
      <c r="N646" s="58"/>
      <c r="O646" s="58"/>
      <c r="P646" s="58"/>
      <c r="Q646" s="59"/>
      <c r="R646" s="58"/>
      <c r="S646" s="58"/>
      <c r="T646" s="54" t="s">
        <v>56</v>
      </c>
      <c r="U646" s="54" t="s">
        <v>56</v>
      </c>
    </row>
    <row r="647" spans="1:21" ht="100" x14ac:dyDescent="0.25">
      <c r="A647" s="53">
        <v>646</v>
      </c>
      <c r="B647" s="79" t="s">
        <v>2713</v>
      </c>
      <c r="C647" s="64" t="s">
        <v>2714</v>
      </c>
      <c r="D647" s="54" t="s">
        <v>50</v>
      </c>
      <c r="E647" s="54" t="s">
        <v>257</v>
      </c>
      <c r="F647" s="65" t="s">
        <v>2715</v>
      </c>
      <c r="G647" s="66">
        <v>43696</v>
      </c>
      <c r="H647" s="64" t="s">
        <v>2716</v>
      </c>
      <c r="I647" s="67">
        <v>43707</v>
      </c>
      <c r="J647" s="54" t="s">
        <v>54</v>
      </c>
      <c r="K647" s="54" t="s">
        <v>55</v>
      </c>
      <c r="L647" s="56"/>
      <c r="M647" s="56"/>
      <c r="N647" s="54"/>
      <c r="O647" s="54"/>
      <c r="P647" s="54"/>
      <c r="Q647" s="54"/>
      <c r="R647" s="54"/>
      <c r="S647" s="54"/>
      <c r="T647" s="54" t="s">
        <v>56</v>
      </c>
      <c r="U647" s="54" t="s">
        <v>56</v>
      </c>
    </row>
    <row r="648" spans="1:21" ht="150" x14ac:dyDescent="0.25">
      <c r="A648" s="53">
        <v>647</v>
      </c>
      <c r="B648" s="54" t="s">
        <v>2717</v>
      </c>
      <c r="C648" s="54" t="s">
        <v>2718</v>
      </c>
      <c r="D648" s="54" t="s">
        <v>59</v>
      </c>
      <c r="E648" s="54" t="s">
        <v>257</v>
      </c>
      <c r="F648" s="55" t="s">
        <v>2719</v>
      </c>
      <c r="G648" s="56">
        <v>42605.041747685202</v>
      </c>
      <c r="H648" s="54" t="s">
        <v>2720</v>
      </c>
      <c r="I648" s="57">
        <v>42646</v>
      </c>
      <c r="J648" s="54" t="s">
        <v>2399</v>
      </c>
      <c r="K648" s="54" t="s">
        <v>55</v>
      </c>
      <c r="L648" s="56"/>
      <c r="M648" s="56"/>
      <c r="N648" s="58"/>
      <c r="O648" s="58"/>
      <c r="P648" s="58"/>
      <c r="Q648" s="59"/>
      <c r="R648" s="58"/>
      <c r="S648" s="58"/>
      <c r="T648" s="54" t="s">
        <v>56</v>
      </c>
      <c r="U648" s="54" t="s">
        <v>56</v>
      </c>
    </row>
    <row r="649" spans="1:21" ht="100" x14ac:dyDescent="0.25">
      <c r="A649" s="53">
        <v>648</v>
      </c>
      <c r="B649" s="54" t="s">
        <v>2721</v>
      </c>
      <c r="C649" s="54" t="s">
        <v>2722</v>
      </c>
      <c r="D649" s="54" t="s">
        <v>50</v>
      </c>
      <c r="E649" s="54" t="s">
        <v>257</v>
      </c>
      <c r="F649" s="55" t="s">
        <v>2723</v>
      </c>
      <c r="G649" s="56">
        <v>43532</v>
      </c>
      <c r="H649" s="54" t="s">
        <v>2724</v>
      </c>
      <c r="I649" s="57">
        <v>43557</v>
      </c>
      <c r="J649" s="54" t="s">
        <v>54</v>
      </c>
      <c r="K649" s="54" t="s">
        <v>55</v>
      </c>
      <c r="L649" s="56"/>
      <c r="M649" s="56"/>
      <c r="N649" s="54"/>
      <c r="O649" s="54"/>
      <c r="P649" s="54"/>
      <c r="Q649" s="54"/>
      <c r="R649" s="54"/>
      <c r="S649" s="54"/>
      <c r="T649" s="54" t="s">
        <v>56</v>
      </c>
      <c r="U649" s="54" t="s">
        <v>56</v>
      </c>
    </row>
    <row r="650" spans="1:21" ht="150" x14ac:dyDescent="0.25">
      <c r="A650" s="53">
        <v>649</v>
      </c>
      <c r="B650" s="54" t="s">
        <v>2725</v>
      </c>
      <c r="C650" s="54" t="s">
        <v>2726</v>
      </c>
      <c r="D650" s="54" t="s">
        <v>59</v>
      </c>
      <c r="E650" s="54" t="s">
        <v>257</v>
      </c>
      <c r="F650" s="55" t="s">
        <v>2727</v>
      </c>
      <c r="G650" s="56">
        <v>42601.338807870401</v>
      </c>
      <c r="H650" s="54" t="s">
        <v>2728</v>
      </c>
      <c r="I650" s="57">
        <v>42646</v>
      </c>
      <c r="J650" s="54" t="s">
        <v>2399</v>
      </c>
      <c r="K650" s="54" t="s">
        <v>55</v>
      </c>
      <c r="L650" s="56"/>
      <c r="M650" s="56"/>
      <c r="N650" s="58"/>
      <c r="O650" s="58"/>
      <c r="P650" s="58"/>
      <c r="Q650" s="59"/>
      <c r="R650" s="58"/>
      <c r="S650" s="58"/>
      <c r="T650" s="54" t="s">
        <v>56</v>
      </c>
      <c r="U650" s="54" t="s">
        <v>56</v>
      </c>
    </row>
    <row r="651" spans="1:21" ht="150" x14ac:dyDescent="0.25">
      <c r="A651" s="53">
        <v>650</v>
      </c>
      <c r="B651" s="54" t="s">
        <v>2729</v>
      </c>
      <c r="C651" s="54" t="s">
        <v>2730</v>
      </c>
      <c r="D651" s="54" t="s">
        <v>59</v>
      </c>
      <c r="E651" s="54" t="s">
        <v>257</v>
      </c>
      <c r="F651" s="55" t="s">
        <v>2731</v>
      </c>
      <c r="G651" s="56">
        <v>42600.755474537</v>
      </c>
      <c r="H651" s="54" t="s">
        <v>2732</v>
      </c>
      <c r="I651" s="57">
        <v>42640</v>
      </c>
      <c r="J651" s="54" t="s">
        <v>2399</v>
      </c>
      <c r="K651" s="54" t="s">
        <v>55</v>
      </c>
      <c r="L651" s="56"/>
      <c r="M651" s="56"/>
      <c r="N651" s="58"/>
      <c r="O651" s="58"/>
      <c r="P651" s="58"/>
      <c r="Q651" s="59"/>
      <c r="R651" s="58"/>
      <c r="S651" s="58"/>
      <c r="T651" s="54" t="s">
        <v>56</v>
      </c>
      <c r="U651" s="54" t="s">
        <v>56</v>
      </c>
    </row>
    <row r="652" spans="1:21" ht="150" x14ac:dyDescent="0.25">
      <c r="A652" s="53">
        <v>651</v>
      </c>
      <c r="B652" s="54" t="s">
        <v>2733</v>
      </c>
      <c r="C652" s="54" t="s">
        <v>2734</v>
      </c>
      <c r="D652" s="54" t="s">
        <v>59</v>
      </c>
      <c r="E652" s="54" t="s">
        <v>257</v>
      </c>
      <c r="F652" s="55" t="s">
        <v>2735</v>
      </c>
      <c r="G652" s="56">
        <v>42600.755451388897</v>
      </c>
      <c r="H652" s="54" t="s">
        <v>2736</v>
      </c>
      <c r="I652" s="57">
        <v>42646</v>
      </c>
      <c r="J652" s="54" t="s">
        <v>2399</v>
      </c>
      <c r="K652" s="54" t="s">
        <v>55</v>
      </c>
      <c r="L652" s="56"/>
      <c r="M652" s="56"/>
      <c r="N652" s="58"/>
      <c r="O652" s="58"/>
      <c r="P652" s="58"/>
      <c r="Q652" s="59"/>
      <c r="R652" s="58"/>
      <c r="S652" s="58"/>
      <c r="T652" s="54" t="s">
        <v>56</v>
      </c>
      <c r="U652" s="54" t="s">
        <v>56</v>
      </c>
    </row>
    <row r="653" spans="1:21" ht="150" x14ac:dyDescent="0.25">
      <c r="A653" s="53">
        <v>652</v>
      </c>
      <c r="B653" s="54" t="s">
        <v>2737</v>
      </c>
      <c r="C653" s="54" t="s">
        <v>2738</v>
      </c>
      <c r="D653" s="54" t="s">
        <v>59</v>
      </c>
      <c r="E653" s="54" t="s">
        <v>257</v>
      </c>
      <c r="F653" s="55" t="s">
        <v>2739</v>
      </c>
      <c r="G653" s="56">
        <v>42600.755497685197</v>
      </c>
      <c r="H653" s="54" t="s">
        <v>2740</v>
      </c>
      <c r="I653" s="57">
        <v>42640</v>
      </c>
      <c r="J653" s="54" t="s">
        <v>2399</v>
      </c>
      <c r="K653" s="54" t="s">
        <v>55</v>
      </c>
      <c r="L653" s="56"/>
      <c r="M653" s="56"/>
      <c r="N653" s="58"/>
      <c r="O653" s="58"/>
      <c r="P653" s="58"/>
      <c r="Q653" s="59"/>
      <c r="R653" s="58"/>
      <c r="S653" s="58"/>
      <c r="T653" s="54" t="s">
        <v>56</v>
      </c>
      <c r="U653" s="54" t="s">
        <v>56</v>
      </c>
    </row>
    <row r="654" spans="1:21" ht="137.5" x14ac:dyDescent="0.25">
      <c r="A654" s="53">
        <v>653</v>
      </c>
      <c r="B654" s="54" t="s">
        <v>2741</v>
      </c>
      <c r="C654" s="54" t="s">
        <v>2742</v>
      </c>
      <c r="D654" s="54" t="s">
        <v>59</v>
      </c>
      <c r="E654" s="54" t="s">
        <v>257</v>
      </c>
      <c r="F654" s="55" t="s">
        <v>2743</v>
      </c>
      <c r="G654" s="56">
        <v>42685</v>
      </c>
      <c r="H654" s="54" t="s">
        <v>2744</v>
      </c>
      <c r="I654" s="57">
        <v>42719</v>
      </c>
      <c r="J654" s="54" t="s">
        <v>1905</v>
      </c>
      <c r="K654" s="54" t="s">
        <v>55</v>
      </c>
      <c r="L654" s="56"/>
      <c r="M654" s="56"/>
      <c r="N654" s="58"/>
      <c r="O654" s="58"/>
      <c r="P654" s="58"/>
      <c r="Q654" s="59"/>
      <c r="R654" s="58"/>
      <c r="S654" s="58"/>
      <c r="T654" s="54" t="s">
        <v>104</v>
      </c>
      <c r="U654" s="54" t="s">
        <v>105</v>
      </c>
    </row>
    <row r="655" spans="1:21" ht="100" x14ac:dyDescent="0.25">
      <c r="A655" s="53">
        <v>654</v>
      </c>
      <c r="B655" s="54" t="s">
        <v>2745</v>
      </c>
      <c r="C655" s="54" t="s">
        <v>2746</v>
      </c>
      <c r="D655" s="54" t="s">
        <v>50</v>
      </c>
      <c r="E655" s="54" t="s">
        <v>257</v>
      </c>
      <c r="F655" s="55" t="s">
        <v>2747</v>
      </c>
      <c r="G655" s="56">
        <v>43307</v>
      </c>
      <c r="H655" s="54" t="s">
        <v>2748</v>
      </c>
      <c r="I655" s="57">
        <v>43438</v>
      </c>
      <c r="J655" s="54" t="s">
        <v>54</v>
      </c>
      <c r="K655" s="54" t="s">
        <v>55</v>
      </c>
      <c r="L655" s="56"/>
      <c r="M655" s="56"/>
      <c r="N655" s="54"/>
      <c r="O655" s="54"/>
      <c r="P655" s="54"/>
      <c r="Q655" s="54"/>
      <c r="R655" s="54"/>
      <c r="S655" s="54"/>
      <c r="T655" s="54" t="s">
        <v>56</v>
      </c>
      <c r="U655" s="54" t="s">
        <v>56</v>
      </c>
    </row>
    <row r="656" spans="1:21" ht="137.5" x14ac:dyDescent="0.25">
      <c r="A656" s="53">
        <v>655</v>
      </c>
      <c r="B656" s="54" t="s">
        <v>2749</v>
      </c>
      <c r="C656" s="54" t="s">
        <v>2750</v>
      </c>
      <c r="D656" s="54" t="s">
        <v>59</v>
      </c>
      <c r="E656" s="54" t="s">
        <v>257</v>
      </c>
      <c r="F656" s="55" t="s">
        <v>2751</v>
      </c>
      <c r="G656" s="56">
        <v>43027</v>
      </c>
      <c r="H656" s="54" t="s">
        <v>2752</v>
      </c>
      <c r="I656" s="57">
        <v>43046</v>
      </c>
      <c r="J656" s="54" t="s">
        <v>1905</v>
      </c>
      <c r="K656" s="54" t="s">
        <v>81</v>
      </c>
      <c r="L656" s="56"/>
      <c r="M656" s="56"/>
      <c r="N656" s="54"/>
      <c r="O656" s="54"/>
      <c r="P656" s="54"/>
      <c r="Q656" s="54"/>
      <c r="R656" s="54"/>
      <c r="S656" s="54"/>
      <c r="T656" s="54" t="s">
        <v>56</v>
      </c>
      <c r="U656" s="54" t="s">
        <v>56</v>
      </c>
    </row>
    <row r="657" spans="1:21" ht="137.5" x14ac:dyDescent="0.25">
      <c r="A657" s="53">
        <v>656</v>
      </c>
      <c r="B657" s="54" t="s">
        <v>2753</v>
      </c>
      <c r="C657" s="54" t="s">
        <v>2754</v>
      </c>
      <c r="D657" s="54" t="s">
        <v>59</v>
      </c>
      <c r="E657" s="54" t="s">
        <v>257</v>
      </c>
      <c r="F657" s="55" t="s">
        <v>2755</v>
      </c>
      <c r="G657" s="56">
        <v>42685</v>
      </c>
      <c r="H657" s="54" t="s">
        <v>2756</v>
      </c>
      <c r="I657" s="57">
        <v>42719</v>
      </c>
      <c r="J657" s="54" t="s">
        <v>1905</v>
      </c>
      <c r="K657" s="54" t="s">
        <v>55</v>
      </c>
      <c r="L657" s="56"/>
      <c r="M657" s="56"/>
      <c r="N657" s="58"/>
      <c r="O657" s="58"/>
      <c r="P657" s="58"/>
      <c r="Q657" s="59"/>
      <c r="R657" s="58"/>
      <c r="S657" s="58"/>
      <c r="T657" s="54" t="s">
        <v>56</v>
      </c>
      <c r="U657" s="54" t="s">
        <v>56</v>
      </c>
    </row>
    <row r="658" spans="1:21" ht="100" x14ac:dyDescent="0.25">
      <c r="A658" s="53">
        <v>657</v>
      </c>
      <c r="B658" s="54" t="s">
        <v>2757</v>
      </c>
      <c r="C658" s="54" t="s">
        <v>2758</v>
      </c>
      <c r="D658" s="54" t="s">
        <v>50</v>
      </c>
      <c r="E658" s="54" t="s">
        <v>257</v>
      </c>
      <c r="F658" s="55" t="s">
        <v>2759</v>
      </c>
      <c r="G658" s="56">
        <v>43307</v>
      </c>
      <c r="H658" s="54" t="s">
        <v>2760</v>
      </c>
      <c r="I658" s="57">
        <v>43438</v>
      </c>
      <c r="J658" s="54" t="s">
        <v>54</v>
      </c>
      <c r="K658" s="54" t="s">
        <v>55</v>
      </c>
      <c r="L658" s="56"/>
      <c r="M658" s="56"/>
      <c r="N658" s="54"/>
      <c r="O658" s="54"/>
      <c r="P658" s="54"/>
      <c r="Q658" s="54"/>
      <c r="R658" s="54"/>
      <c r="S658" s="54"/>
      <c r="T658" s="54" t="s">
        <v>56</v>
      </c>
      <c r="U658" s="54" t="s">
        <v>56</v>
      </c>
    </row>
    <row r="659" spans="1:21" ht="137.5" x14ac:dyDescent="0.25">
      <c r="A659" s="53">
        <v>658</v>
      </c>
      <c r="B659" s="54" t="s">
        <v>2761</v>
      </c>
      <c r="C659" s="54" t="s">
        <v>2762</v>
      </c>
      <c r="D659" s="54" t="s">
        <v>59</v>
      </c>
      <c r="E659" s="54" t="s">
        <v>257</v>
      </c>
      <c r="F659" s="55" t="s">
        <v>2763</v>
      </c>
      <c r="G659" s="56">
        <v>42685</v>
      </c>
      <c r="H659" s="54" t="s">
        <v>2764</v>
      </c>
      <c r="I659" s="57">
        <v>42724</v>
      </c>
      <c r="J659" s="54" t="s">
        <v>1905</v>
      </c>
      <c r="K659" s="54" t="s">
        <v>55</v>
      </c>
      <c r="L659" s="56"/>
      <c r="M659" s="56"/>
      <c r="N659" s="58"/>
      <c r="O659" s="58"/>
      <c r="P659" s="58"/>
      <c r="Q659" s="59"/>
      <c r="R659" s="58"/>
      <c r="S659" s="58"/>
      <c r="T659" s="54" t="s">
        <v>56</v>
      </c>
      <c r="U659" s="54" t="s">
        <v>56</v>
      </c>
    </row>
    <row r="660" spans="1:21" ht="150" x14ac:dyDescent="0.25">
      <c r="A660" s="53">
        <v>659</v>
      </c>
      <c r="B660" s="54" t="s">
        <v>2765</v>
      </c>
      <c r="C660" s="54" t="s">
        <v>2766</v>
      </c>
      <c r="D660" s="54" t="s">
        <v>59</v>
      </c>
      <c r="E660" s="54" t="s">
        <v>257</v>
      </c>
      <c r="F660" s="55" t="s">
        <v>2767</v>
      </c>
      <c r="G660" s="56">
        <v>42600.755509259303</v>
      </c>
      <c r="H660" s="54" t="s">
        <v>2768</v>
      </c>
      <c r="I660" s="57">
        <v>42640</v>
      </c>
      <c r="J660" s="54" t="s">
        <v>2399</v>
      </c>
      <c r="K660" s="54" t="s">
        <v>55</v>
      </c>
      <c r="L660" s="56"/>
      <c r="M660" s="56"/>
      <c r="N660" s="58"/>
      <c r="O660" s="58"/>
      <c r="P660" s="58"/>
      <c r="Q660" s="59"/>
      <c r="R660" s="58"/>
      <c r="S660" s="58"/>
      <c r="T660" s="54" t="s">
        <v>56</v>
      </c>
      <c r="U660" s="54" t="s">
        <v>56</v>
      </c>
    </row>
    <row r="661" spans="1:21" ht="100" x14ac:dyDescent="0.25">
      <c r="A661" s="53">
        <v>660</v>
      </c>
      <c r="B661" s="54" t="s">
        <v>2769</v>
      </c>
      <c r="C661" s="54" t="s">
        <v>2770</v>
      </c>
      <c r="D661" s="54" t="s">
        <v>59</v>
      </c>
      <c r="E661" s="54" t="s">
        <v>257</v>
      </c>
      <c r="F661" s="55" t="s">
        <v>2771</v>
      </c>
      <c r="G661" s="56">
        <v>42601.338888888902</v>
      </c>
      <c r="H661" s="54" t="s">
        <v>2772</v>
      </c>
      <c r="I661" s="57">
        <v>42657</v>
      </c>
      <c r="J661" s="54" t="s">
        <v>999</v>
      </c>
      <c r="K661" s="54" t="s">
        <v>55</v>
      </c>
      <c r="L661" s="56"/>
      <c r="M661" s="56"/>
      <c r="N661" s="58"/>
      <c r="O661" s="58"/>
      <c r="P661" s="58"/>
      <c r="Q661" s="59"/>
      <c r="R661" s="58"/>
      <c r="S661" s="58"/>
      <c r="T661" s="54" t="s">
        <v>56</v>
      </c>
      <c r="U661" s="54" t="s">
        <v>56</v>
      </c>
    </row>
    <row r="662" spans="1:21" ht="150" x14ac:dyDescent="0.25">
      <c r="A662" s="53">
        <v>661</v>
      </c>
      <c r="B662" s="54" t="s">
        <v>2773</v>
      </c>
      <c r="C662" s="54" t="s">
        <v>2774</v>
      </c>
      <c r="D662" s="54" t="s">
        <v>59</v>
      </c>
      <c r="E662" s="54" t="s">
        <v>257</v>
      </c>
      <c r="F662" s="55" t="s">
        <v>2775</v>
      </c>
      <c r="G662" s="56">
        <v>42600.755509259303</v>
      </c>
      <c r="H662" s="54" t="s">
        <v>2776</v>
      </c>
      <c r="I662" s="57">
        <v>42641</v>
      </c>
      <c r="J662" s="54" t="s">
        <v>2399</v>
      </c>
      <c r="K662" s="54" t="s">
        <v>55</v>
      </c>
      <c r="L662" s="56"/>
      <c r="M662" s="56"/>
      <c r="N662" s="58"/>
      <c r="O662" s="58"/>
      <c r="P662" s="58"/>
      <c r="Q662" s="59"/>
      <c r="R662" s="58"/>
      <c r="S662" s="58"/>
      <c r="T662" s="54" t="s">
        <v>104</v>
      </c>
      <c r="U662" s="54" t="s">
        <v>105</v>
      </c>
    </row>
    <row r="663" spans="1:21" ht="150" x14ac:dyDescent="0.25">
      <c r="A663" s="53">
        <v>662</v>
      </c>
      <c r="B663" s="54" t="s">
        <v>2777</v>
      </c>
      <c r="C663" s="54" t="s">
        <v>2778</v>
      </c>
      <c r="D663" s="54" t="s">
        <v>59</v>
      </c>
      <c r="E663" s="54" t="s">
        <v>257</v>
      </c>
      <c r="F663" s="55" t="s">
        <v>2779</v>
      </c>
      <c r="G663" s="56">
        <v>42601.338923611103</v>
      </c>
      <c r="H663" s="54" t="s">
        <v>2780</v>
      </c>
      <c r="I663" s="57">
        <v>42640</v>
      </c>
      <c r="J663" s="54" t="s">
        <v>2399</v>
      </c>
      <c r="K663" s="54" t="s">
        <v>55</v>
      </c>
      <c r="L663" s="56"/>
      <c r="M663" s="56"/>
      <c r="N663" s="58"/>
      <c r="O663" s="58"/>
      <c r="P663" s="58"/>
      <c r="Q663" s="59"/>
      <c r="R663" s="58"/>
      <c r="S663" s="58"/>
      <c r="T663" s="54" t="s">
        <v>56</v>
      </c>
      <c r="U663" s="54" t="s">
        <v>56</v>
      </c>
    </row>
    <row r="664" spans="1:21" ht="100" x14ac:dyDescent="0.25">
      <c r="A664" s="53">
        <v>663</v>
      </c>
      <c r="B664" s="54" t="s">
        <v>2781</v>
      </c>
      <c r="C664" s="54" t="s">
        <v>2782</v>
      </c>
      <c r="D664" s="54" t="s">
        <v>59</v>
      </c>
      <c r="E664" s="54" t="s">
        <v>257</v>
      </c>
      <c r="F664" s="55" t="s">
        <v>2783</v>
      </c>
      <c r="G664" s="56">
        <v>42685</v>
      </c>
      <c r="H664" s="54" t="s">
        <v>2784</v>
      </c>
      <c r="I664" s="57">
        <v>42733</v>
      </c>
      <c r="J664" s="54" t="s">
        <v>999</v>
      </c>
      <c r="K664" s="54" t="s">
        <v>55</v>
      </c>
      <c r="L664" s="56"/>
      <c r="M664" s="56"/>
      <c r="N664" s="58"/>
      <c r="O664" s="58"/>
      <c r="P664" s="58"/>
      <c r="Q664" s="59"/>
      <c r="R664" s="58"/>
      <c r="S664" s="58"/>
      <c r="T664" s="54" t="s">
        <v>56</v>
      </c>
      <c r="U664" s="54" t="s">
        <v>56</v>
      </c>
    </row>
    <row r="665" spans="1:21" ht="150" x14ac:dyDescent="0.25">
      <c r="A665" s="53">
        <v>664</v>
      </c>
      <c r="B665" s="54" t="s">
        <v>2785</v>
      </c>
      <c r="C665" s="54" t="s">
        <v>2786</v>
      </c>
      <c r="D665" s="54" t="s">
        <v>59</v>
      </c>
      <c r="E665" s="54" t="s">
        <v>257</v>
      </c>
      <c r="F665" s="55" t="s">
        <v>2787</v>
      </c>
      <c r="G665" s="56">
        <v>42601.338831018496</v>
      </c>
      <c r="H665" s="54" t="s">
        <v>2788</v>
      </c>
      <c r="I665" s="57">
        <v>42647</v>
      </c>
      <c r="J665" s="54" t="s">
        <v>2399</v>
      </c>
      <c r="K665" s="54" t="s">
        <v>55</v>
      </c>
      <c r="L665" s="56"/>
      <c r="M665" s="56"/>
      <c r="N665" s="58"/>
      <c r="O665" s="58"/>
      <c r="P665" s="58"/>
      <c r="Q665" s="59"/>
      <c r="R665" s="58"/>
      <c r="S665" s="58"/>
      <c r="T665" s="54" t="s">
        <v>56</v>
      </c>
      <c r="U665" s="54" t="s">
        <v>56</v>
      </c>
    </row>
    <row r="666" spans="1:21" ht="150" x14ac:dyDescent="0.25">
      <c r="A666" s="53">
        <v>665</v>
      </c>
      <c r="B666" s="54" t="s">
        <v>2789</v>
      </c>
      <c r="C666" s="54" t="s">
        <v>2790</v>
      </c>
      <c r="D666" s="54" t="s">
        <v>59</v>
      </c>
      <c r="E666" s="54" t="s">
        <v>257</v>
      </c>
      <c r="F666" s="55" t="s">
        <v>2791</v>
      </c>
      <c r="G666" s="56">
        <v>42600.755439814799</v>
      </c>
      <c r="H666" s="54" t="s">
        <v>2792</v>
      </c>
      <c r="I666" s="57">
        <v>42640</v>
      </c>
      <c r="J666" s="54" t="s">
        <v>2399</v>
      </c>
      <c r="K666" s="54" t="s">
        <v>55</v>
      </c>
      <c r="L666" s="56"/>
      <c r="M666" s="56"/>
      <c r="N666" s="58"/>
      <c r="O666" s="58"/>
      <c r="P666" s="58"/>
      <c r="Q666" s="59"/>
      <c r="R666" s="58"/>
      <c r="S666" s="58"/>
      <c r="T666" s="54" t="s">
        <v>56</v>
      </c>
      <c r="U666" s="54" t="s">
        <v>56</v>
      </c>
    </row>
    <row r="667" spans="1:21" ht="50" x14ac:dyDescent="0.25">
      <c r="A667" s="53">
        <v>666</v>
      </c>
      <c r="B667" s="54" t="s">
        <v>2793</v>
      </c>
      <c r="C667" s="54" t="s">
        <v>2794</v>
      </c>
      <c r="D667" s="54" t="s">
        <v>59</v>
      </c>
      <c r="E667" s="54" t="s">
        <v>257</v>
      </c>
      <c r="F667" s="55" t="s">
        <v>2795</v>
      </c>
      <c r="G667" s="56">
        <v>43025</v>
      </c>
      <c r="H667" s="59" t="s">
        <v>2796</v>
      </c>
      <c r="I667" s="57">
        <v>43038</v>
      </c>
      <c r="J667" s="54" t="s">
        <v>2797</v>
      </c>
      <c r="K667" s="54" t="s">
        <v>81</v>
      </c>
      <c r="L667" s="56"/>
      <c r="M667" s="56"/>
      <c r="N667" s="54"/>
      <c r="O667" s="59"/>
      <c r="P667" s="54"/>
      <c r="Q667" s="54"/>
      <c r="R667" s="54"/>
      <c r="S667" s="54"/>
      <c r="T667" s="54" t="s">
        <v>56</v>
      </c>
      <c r="U667" s="54" t="s">
        <v>56</v>
      </c>
    </row>
    <row r="668" spans="1:21" ht="150" x14ac:dyDescent="0.25">
      <c r="A668" s="53">
        <v>667</v>
      </c>
      <c r="B668" s="54" t="s">
        <v>2798</v>
      </c>
      <c r="C668" s="54" t="s">
        <v>2799</v>
      </c>
      <c r="D668" s="54" t="s">
        <v>59</v>
      </c>
      <c r="E668" s="54" t="s">
        <v>257</v>
      </c>
      <c r="F668" s="55" t="s">
        <v>2800</v>
      </c>
      <c r="G668" s="56">
        <v>42605.0417592593</v>
      </c>
      <c r="H668" s="54" t="s">
        <v>2801</v>
      </c>
      <c r="I668" s="57">
        <v>42640</v>
      </c>
      <c r="J668" s="54" t="s">
        <v>2399</v>
      </c>
      <c r="K668" s="54" t="s">
        <v>55</v>
      </c>
      <c r="L668" s="56"/>
      <c r="M668" s="56"/>
      <c r="N668" s="58"/>
      <c r="O668" s="58"/>
      <c r="P668" s="58"/>
      <c r="Q668" s="59"/>
      <c r="R668" s="58"/>
      <c r="S668" s="58"/>
      <c r="T668" s="54" t="s">
        <v>56</v>
      </c>
      <c r="U668" s="54" t="s">
        <v>56</v>
      </c>
    </row>
    <row r="669" spans="1:21" ht="37.5" x14ac:dyDescent="0.25">
      <c r="A669" s="53">
        <v>668</v>
      </c>
      <c r="B669" s="54" t="s">
        <v>2802</v>
      </c>
      <c r="C669" s="54" t="s">
        <v>2803</v>
      </c>
      <c r="D669" s="54" t="s">
        <v>59</v>
      </c>
      <c r="E669" s="54" t="s">
        <v>257</v>
      </c>
      <c r="F669" s="55" t="s">
        <v>2804</v>
      </c>
      <c r="G669" s="56">
        <v>43307</v>
      </c>
      <c r="H669" s="54" t="s">
        <v>2805</v>
      </c>
      <c r="I669" s="57">
        <v>43438</v>
      </c>
      <c r="J669" s="54" t="s">
        <v>986</v>
      </c>
      <c r="K669" s="54" t="s">
        <v>55</v>
      </c>
      <c r="L669" s="56"/>
      <c r="M669" s="56"/>
      <c r="N669" s="54"/>
      <c r="O669" s="54"/>
      <c r="P669" s="54"/>
      <c r="Q669" s="54"/>
      <c r="R669" s="54"/>
      <c r="S669" s="54"/>
      <c r="T669" s="54" t="s">
        <v>56</v>
      </c>
      <c r="U669" s="54" t="s">
        <v>56</v>
      </c>
    </row>
    <row r="670" spans="1:21" ht="137.5" x14ac:dyDescent="0.25">
      <c r="A670" s="53">
        <v>669</v>
      </c>
      <c r="B670" s="79" t="s">
        <v>2806</v>
      </c>
      <c r="C670" s="54" t="s">
        <v>2807</v>
      </c>
      <c r="D670" s="54" t="s">
        <v>59</v>
      </c>
      <c r="E670" s="54" t="s">
        <v>257</v>
      </c>
      <c r="F670" s="55" t="s">
        <v>2808</v>
      </c>
      <c r="G670" s="56">
        <v>42997</v>
      </c>
      <c r="H670" s="54" t="s">
        <v>2809</v>
      </c>
      <c r="I670" s="57">
        <v>43038</v>
      </c>
      <c r="J670" s="54" t="s">
        <v>965</v>
      </c>
      <c r="K670" s="54" t="s">
        <v>55</v>
      </c>
      <c r="L670" s="56"/>
      <c r="M670" s="56"/>
      <c r="N670" s="54"/>
      <c r="O670" s="54"/>
      <c r="P670" s="54"/>
      <c r="Q670" s="54"/>
      <c r="R670" s="54"/>
      <c r="S670" s="54"/>
      <c r="T670" s="54" t="s">
        <v>87</v>
      </c>
      <c r="U670" s="54" t="s">
        <v>105</v>
      </c>
    </row>
    <row r="671" spans="1:21" ht="100" x14ac:dyDescent="0.25">
      <c r="A671" s="53">
        <v>670</v>
      </c>
      <c r="B671" s="54" t="s">
        <v>2810</v>
      </c>
      <c r="C671" s="54" t="s">
        <v>2811</v>
      </c>
      <c r="D671" s="54" t="s">
        <v>50</v>
      </c>
      <c r="E671" s="54" t="s">
        <v>257</v>
      </c>
      <c r="F671" s="55" t="s">
        <v>2812</v>
      </c>
      <c r="G671" s="56">
        <v>43010</v>
      </c>
      <c r="H671" s="54" t="s">
        <v>2813</v>
      </c>
      <c r="I671" s="57">
        <v>43038</v>
      </c>
      <c r="J671" s="54" t="s">
        <v>54</v>
      </c>
      <c r="K671" s="54" t="s">
        <v>55</v>
      </c>
      <c r="L671" s="56"/>
      <c r="M671" s="56"/>
      <c r="N671" s="54"/>
      <c r="O671" s="54"/>
      <c r="P671" s="54"/>
      <c r="Q671" s="54"/>
      <c r="R671" s="54"/>
      <c r="S671" s="54"/>
      <c r="T671" s="54" t="s">
        <v>56</v>
      </c>
      <c r="U671" s="54" t="s">
        <v>56</v>
      </c>
    </row>
    <row r="672" spans="1:21" ht="37.5" x14ac:dyDescent="0.25">
      <c r="A672" s="53">
        <v>671</v>
      </c>
      <c r="B672" s="54" t="s">
        <v>2814</v>
      </c>
      <c r="C672" s="64" t="s">
        <v>2815</v>
      </c>
      <c r="D672" s="54" t="s">
        <v>59</v>
      </c>
      <c r="E672" s="54" t="s">
        <v>257</v>
      </c>
      <c r="F672" s="65" t="s">
        <v>2816</v>
      </c>
      <c r="G672" s="66">
        <v>43511</v>
      </c>
      <c r="H672" s="64" t="s">
        <v>2817</v>
      </c>
      <c r="I672" s="67">
        <v>43690</v>
      </c>
      <c r="J672" s="54" t="s">
        <v>986</v>
      </c>
      <c r="K672" s="54" t="s">
        <v>55</v>
      </c>
      <c r="L672" s="56"/>
      <c r="M672" s="56"/>
      <c r="N672" s="54"/>
      <c r="O672" s="54"/>
      <c r="P672" s="54"/>
      <c r="Q672" s="54"/>
      <c r="R672" s="54"/>
      <c r="S672" s="54"/>
      <c r="T672" s="54" t="s">
        <v>56</v>
      </c>
      <c r="U672" s="54" t="s">
        <v>56</v>
      </c>
    </row>
    <row r="673" spans="1:21" ht="137.5" x14ac:dyDescent="0.25">
      <c r="A673" s="53">
        <v>672</v>
      </c>
      <c r="B673" s="54" t="s">
        <v>2818</v>
      </c>
      <c r="C673" s="54" t="s">
        <v>2819</v>
      </c>
      <c r="D673" s="54" t="s">
        <v>59</v>
      </c>
      <c r="E673" s="54" t="s">
        <v>257</v>
      </c>
      <c r="F673" s="55" t="s">
        <v>2820</v>
      </c>
      <c r="G673" s="56">
        <v>43053</v>
      </c>
      <c r="H673" s="54" t="s">
        <v>2821</v>
      </c>
      <c r="I673" s="57">
        <v>43066</v>
      </c>
      <c r="J673" s="54" t="s">
        <v>965</v>
      </c>
      <c r="K673" s="54" t="s">
        <v>81</v>
      </c>
      <c r="L673" s="56"/>
      <c r="M673" s="56"/>
      <c r="N673" s="54"/>
      <c r="O673" s="54"/>
      <c r="P673" s="54"/>
      <c r="Q673" s="54"/>
      <c r="R673" s="54"/>
      <c r="S673" s="54"/>
      <c r="T673" s="54" t="s">
        <v>56</v>
      </c>
      <c r="U673" s="54" t="s">
        <v>56</v>
      </c>
    </row>
    <row r="674" spans="1:21" ht="100" x14ac:dyDescent="0.25">
      <c r="A674" s="53">
        <v>673</v>
      </c>
      <c r="B674" s="54" t="s">
        <v>2822</v>
      </c>
      <c r="C674" s="54" t="s">
        <v>2823</v>
      </c>
      <c r="D674" s="54" t="s">
        <v>50</v>
      </c>
      <c r="E674" s="54" t="s">
        <v>257</v>
      </c>
      <c r="F674" s="55" t="s">
        <v>2824</v>
      </c>
      <c r="G674" s="56">
        <v>43532</v>
      </c>
      <c r="H674" s="54" t="s">
        <v>2825</v>
      </c>
      <c r="I674" s="57">
        <v>43557</v>
      </c>
      <c r="J674" s="54" t="s">
        <v>54</v>
      </c>
      <c r="K674" s="54" t="s">
        <v>55</v>
      </c>
      <c r="L674" s="56"/>
      <c r="M674" s="56"/>
      <c r="N674" s="54"/>
      <c r="O674" s="54"/>
      <c r="P674" s="54"/>
      <c r="Q674" s="54"/>
      <c r="R674" s="54"/>
      <c r="S674" s="54"/>
      <c r="T674" s="54" t="s">
        <v>56</v>
      </c>
      <c r="U674" s="54" t="s">
        <v>56</v>
      </c>
    </row>
    <row r="675" spans="1:21" ht="150" x14ac:dyDescent="0.25">
      <c r="A675" s="53">
        <v>674</v>
      </c>
      <c r="B675" s="54" t="s">
        <v>2826</v>
      </c>
      <c r="C675" s="54" t="s">
        <v>2827</v>
      </c>
      <c r="D675" s="54" t="s">
        <v>59</v>
      </c>
      <c r="E675" s="54" t="s">
        <v>257</v>
      </c>
      <c r="F675" s="55" t="s">
        <v>2828</v>
      </c>
      <c r="G675" s="56">
        <v>42601.338923611103</v>
      </c>
      <c r="H675" s="54" t="s">
        <v>2829</v>
      </c>
      <c r="I675" s="57">
        <v>42640</v>
      </c>
      <c r="J675" s="54" t="s">
        <v>2399</v>
      </c>
      <c r="K675" s="54" t="s">
        <v>55</v>
      </c>
      <c r="L675" s="56"/>
      <c r="M675" s="56"/>
      <c r="N675" s="58"/>
      <c r="O675" s="58"/>
      <c r="P675" s="58"/>
      <c r="Q675" s="59"/>
      <c r="R675" s="58"/>
      <c r="S675" s="58"/>
      <c r="T675" s="54" t="s">
        <v>56</v>
      </c>
      <c r="U675" s="54" t="s">
        <v>56</v>
      </c>
    </row>
    <row r="676" spans="1:21" ht="100" x14ac:dyDescent="0.25">
      <c r="A676" s="53">
        <v>675</v>
      </c>
      <c r="B676" s="54" t="s">
        <v>2830</v>
      </c>
      <c r="C676" s="54" t="s">
        <v>2831</v>
      </c>
      <c r="D676" s="54" t="s">
        <v>50</v>
      </c>
      <c r="E676" s="54" t="s">
        <v>257</v>
      </c>
      <c r="F676" s="55" t="s">
        <v>2832</v>
      </c>
      <c r="G676" s="56">
        <v>43000</v>
      </c>
      <c r="H676" s="54" t="s">
        <v>2833</v>
      </c>
      <c r="I676" s="57">
        <v>43020</v>
      </c>
      <c r="J676" s="54" t="s">
        <v>54</v>
      </c>
      <c r="K676" s="54" t="s">
        <v>55</v>
      </c>
      <c r="L676" s="56"/>
      <c r="M676" s="56"/>
      <c r="N676" s="54"/>
      <c r="O676" s="54"/>
      <c r="P676" s="54"/>
      <c r="Q676" s="54"/>
      <c r="R676" s="54"/>
      <c r="S676" s="54"/>
      <c r="T676" s="54" t="s">
        <v>56</v>
      </c>
      <c r="U676" s="54" t="s">
        <v>56</v>
      </c>
    </row>
    <row r="677" spans="1:21" ht="137.5" x14ac:dyDescent="0.25">
      <c r="A677" s="53">
        <v>676</v>
      </c>
      <c r="B677" s="54" t="s">
        <v>2834</v>
      </c>
      <c r="C677" s="54" t="s">
        <v>2835</v>
      </c>
      <c r="D677" s="54" t="s">
        <v>59</v>
      </c>
      <c r="E677" s="54" t="s">
        <v>257</v>
      </c>
      <c r="F677" s="55" t="s">
        <v>2836</v>
      </c>
      <c r="G677" s="56">
        <v>43012</v>
      </c>
      <c r="H677" s="54" t="s">
        <v>2837</v>
      </c>
      <c r="I677" s="57">
        <v>43046</v>
      </c>
      <c r="J677" s="54" t="s">
        <v>965</v>
      </c>
      <c r="K677" s="54" t="s">
        <v>81</v>
      </c>
      <c r="L677" s="56"/>
      <c r="M677" s="56"/>
      <c r="N677" s="54"/>
      <c r="O677" s="54"/>
      <c r="P677" s="54"/>
      <c r="Q677" s="54"/>
      <c r="R677" s="54"/>
      <c r="S677" s="54"/>
      <c r="T677" s="54" t="s">
        <v>56</v>
      </c>
      <c r="U677" s="54" t="s">
        <v>56</v>
      </c>
    </row>
    <row r="678" spans="1:21" ht="137.5" x14ac:dyDescent="0.25">
      <c r="A678" s="53">
        <v>677</v>
      </c>
      <c r="B678" s="54" t="s">
        <v>2838</v>
      </c>
      <c r="C678" s="54" t="s">
        <v>2839</v>
      </c>
      <c r="D678" s="54" t="s">
        <v>59</v>
      </c>
      <c r="E678" s="54" t="s">
        <v>257</v>
      </c>
      <c r="F678" s="55" t="s">
        <v>2840</v>
      </c>
      <c r="G678" s="56">
        <v>43019</v>
      </c>
      <c r="H678" s="54" t="s">
        <v>2841</v>
      </c>
      <c r="I678" s="57">
        <v>43046</v>
      </c>
      <c r="J678" s="54" t="s">
        <v>1905</v>
      </c>
      <c r="K678" s="54" t="s">
        <v>81</v>
      </c>
      <c r="L678" s="56"/>
      <c r="M678" s="56"/>
      <c r="N678" s="54"/>
      <c r="O678" s="54"/>
      <c r="P678" s="54"/>
      <c r="Q678" s="54"/>
      <c r="R678" s="54"/>
      <c r="S678" s="54"/>
      <c r="T678" s="54" t="s">
        <v>56</v>
      </c>
      <c r="U678" s="54" t="s">
        <v>56</v>
      </c>
    </row>
    <row r="679" spans="1:21" ht="150" x14ac:dyDescent="0.25">
      <c r="A679" s="53">
        <v>678</v>
      </c>
      <c r="B679" s="54" t="s">
        <v>2842</v>
      </c>
      <c r="C679" s="54" t="s">
        <v>2843</v>
      </c>
      <c r="D679" s="54" t="s">
        <v>59</v>
      </c>
      <c r="E679" s="54" t="s">
        <v>257</v>
      </c>
      <c r="F679" s="55" t="s">
        <v>2844</v>
      </c>
      <c r="G679" s="56">
        <v>42600.755497685197</v>
      </c>
      <c r="H679" s="54" t="s">
        <v>2845</v>
      </c>
      <c r="I679" s="57">
        <v>42640</v>
      </c>
      <c r="J679" s="54" t="s">
        <v>2399</v>
      </c>
      <c r="K679" s="54" t="s">
        <v>55</v>
      </c>
      <c r="L679" s="56"/>
      <c r="M679" s="56"/>
      <c r="N679" s="58"/>
      <c r="O679" s="58"/>
      <c r="P679" s="58"/>
      <c r="Q679" s="59"/>
      <c r="R679" s="58"/>
      <c r="S679" s="58"/>
      <c r="T679" s="54" t="s">
        <v>56</v>
      </c>
      <c r="U679" s="54" t="s">
        <v>56</v>
      </c>
    </row>
    <row r="680" spans="1:21" ht="100" x14ac:dyDescent="0.25">
      <c r="A680" s="53">
        <v>679</v>
      </c>
      <c r="B680" s="54" t="s">
        <v>2846</v>
      </c>
      <c r="C680" s="54" t="s">
        <v>2847</v>
      </c>
      <c r="D680" s="54" t="s">
        <v>50</v>
      </c>
      <c r="E680" s="54" t="s">
        <v>257</v>
      </c>
      <c r="F680" s="55" t="s">
        <v>2848</v>
      </c>
      <c r="G680" s="56">
        <v>42685</v>
      </c>
      <c r="H680" s="54" t="s">
        <v>2849</v>
      </c>
      <c r="I680" s="57">
        <v>42733</v>
      </c>
      <c r="J680" s="54" t="s">
        <v>54</v>
      </c>
      <c r="K680" s="54" t="s">
        <v>81</v>
      </c>
      <c r="L680" s="56"/>
      <c r="M680" s="56"/>
      <c r="N680" s="58"/>
      <c r="O680" s="58"/>
      <c r="P680" s="58"/>
      <c r="Q680" s="59"/>
      <c r="R680" s="58"/>
      <c r="S680" s="58"/>
      <c r="T680" s="54" t="s">
        <v>56</v>
      </c>
      <c r="U680" s="54" t="s">
        <v>56</v>
      </c>
    </row>
    <row r="681" spans="1:21" ht="100" x14ac:dyDescent="0.25">
      <c r="A681" s="53">
        <v>680</v>
      </c>
      <c r="B681" s="54" t="s">
        <v>2850</v>
      </c>
      <c r="C681" s="54" t="s">
        <v>2851</v>
      </c>
      <c r="D681" s="54" t="s">
        <v>50</v>
      </c>
      <c r="E681" s="54" t="s">
        <v>257</v>
      </c>
      <c r="F681" s="55" t="s">
        <v>2852</v>
      </c>
      <c r="G681" s="56">
        <v>42685</v>
      </c>
      <c r="H681" s="54" t="s">
        <v>2853</v>
      </c>
      <c r="I681" s="57">
        <v>42733</v>
      </c>
      <c r="J681" s="54" t="s">
        <v>54</v>
      </c>
      <c r="K681" s="54" t="s">
        <v>55</v>
      </c>
      <c r="L681" s="56"/>
      <c r="M681" s="56"/>
      <c r="N681" s="58"/>
      <c r="O681" s="58"/>
      <c r="P681" s="58"/>
      <c r="Q681" s="59"/>
      <c r="R681" s="58"/>
      <c r="S681" s="58"/>
      <c r="T681" s="54" t="s">
        <v>56</v>
      </c>
      <c r="U681" s="54" t="s">
        <v>56</v>
      </c>
    </row>
    <row r="682" spans="1:21" ht="150" x14ac:dyDescent="0.25">
      <c r="A682" s="53">
        <v>681</v>
      </c>
      <c r="B682" s="54" t="s">
        <v>2854</v>
      </c>
      <c r="C682" s="54" t="s">
        <v>2855</v>
      </c>
      <c r="D682" s="54" t="s">
        <v>59</v>
      </c>
      <c r="E682" s="54" t="s">
        <v>257</v>
      </c>
      <c r="F682" s="55" t="s">
        <v>2856</v>
      </c>
      <c r="G682" s="56">
        <v>42601.338842592602</v>
      </c>
      <c r="H682" s="54" t="s">
        <v>2857</v>
      </c>
      <c r="I682" s="57">
        <v>42640</v>
      </c>
      <c r="J682" s="54" t="s">
        <v>2399</v>
      </c>
      <c r="K682" s="54" t="s">
        <v>81</v>
      </c>
      <c r="L682" s="56"/>
      <c r="M682" s="56"/>
      <c r="N682" s="58"/>
      <c r="O682" s="58"/>
      <c r="P682" s="58"/>
      <c r="Q682" s="59"/>
      <c r="R682" s="58"/>
      <c r="S682" s="58"/>
      <c r="T682" s="54" t="s">
        <v>56</v>
      </c>
      <c r="U682" s="54" t="s">
        <v>56</v>
      </c>
    </row>
    <row r="683" spans="1:21" ht="100" x14ac:dyDescent="0.25">
      <c r="A683" s="53">
        <v>682</v>
      </c>
      <c r="B683" s="54" t="s">
        <v>2858</v>
      </c>
      <c r="C683" s="54" t="s">
        <v>2859</v>
      </c>
      <c r="D683" s="54" t="s">
        <v>173</v>
      </c>
      <c r="E683" s="54" t="s">
        <v>257</v>
      </c>
      <c r="F683" s="55" t="s">
        <v>2860</v>
      </c>
      <c r="G683" s="56">
        <v>43000</v>
      </c>
      <c r="H683" s="54" t="s">
        <v>2861</v>
      </c>
      <c r="I683" s="57">
        <v>43020</v>
      </c>
      <c r="J683" s="54" t="s">
        <v>54</v>
      </c>
      <c r="K683" s="54" t="s">
        <v>176</v>
      </c>
      <c r="L683" s="56"/>
      <c r="M683" s="56"/>
      <c r="N683" s="54"/>
      <c r="O683" s="54"/>
      <c r="P683" s="54" t="s">
        <v>2862</v>
      </c>
      <c r="Q683" s="59">
        <v>43605</v>
      </c>
      <c r="R683" s="54" t="s">
        <v>179</v>
      </c>
      <c r="S683" s="68">
        <v>43628</v>
      </c>
      <c r="T683" s="54" t="s">
        <v>56</v>
      </c>
      <c r="U683" s="54" t="s">
        <v>56</v>
      </c>
    </row>
    <row r="684" spans="1:21" ht="100" x14ac:dyDescent="0.25">
      <c r="A684" s="53">
        <v>683</v>
      </c>
      <c r="B684" s="54" t="s">
        <v>2863</v>
      </c>
      <c r="C684" s="54" t="s">
        <v>2864</v>
      </c>
      <c r="D684" s="54" t="s">
        <v>50</v>
      </c>
      <c r="E684" s="54" t="s">
        <v>257</v>
      </c>
      <c r="F684" s="55" t="s">
        <v>2865</v>
      </c>
      <c r="G684" s="56">
        <v>43010</v>
      </c>
      <c r="H684" s="54" t="s">
        <v>2866</v>
      </c>
      <c r="I684" s="57">
        <v>43038</v>
      </c>
      <c r="J684" s="54" t="s">
        <v>54</v>
      </c>
      <c r="K684" s="54" t="s">
        <v>55</v>
      </c>
      <c r="L684" s="56"/>
      <c r="M684" s="56"/>
      <c r="N684" s="54"/>
      <c r="O684" s="54"/>
      <c r="P684" s="54"/>
      <c r="Q684" s="54"/>
      <c r="R684" s="54"/>
      <c r="S684" s="54"/>
      <c r="T684" s="54" t="s">
        <v>56</v>
      </c>
      <c r="U684" s="54" t="s">
        <v>56</v>
      </c>
    </row>
    <row r="685" spans="1:21" ht="75" x14ac:dyDescent="0.25">
      <c r="A685" s="53">
        <v>684</v>
      </c>
      <c r="B685" s="54" t="s">
        <v>2867</v>
      </c>
      <c r="C685" s="54" t="s">
        <v>2868</v>
      </c>
      <c r="D685" s="54" t="s">
        <v>59</v>
      </c>
      <c r="E685" s="54" t="s">
        <v>257</v>
      </c>
      <c r="F685" s="55" t="s">
        <v>2869</v>
      </c>
      <c r="G685" s="56">
        <v>43000</v>
      </c>
      <c r="H685" s="54" t="s">
        <v>2870</v>
      </c>
      <c r="I685" s="57">
        <v>43020</v>
      </c>
      <c r="J685" s="54" t="s">
        <v>986</v>
      </c>
      <c r="K685" s="54" t="s">
        <v>81</v>
      </c>
      <c r="L685" s="56"/>
      <c r="M685" s="56"/>
      <c r="N685" s="54"/>
      <c r="O685" s="54"/>
      <c r="P685" s="54"/>
      <c r="Q685" s="54"/>
      <c r="R685" s="54"/>
      <c r="S685" s="54"/>
      <c r="T685" s="54" t="s">
        <v>56</v>
      </c>
      <c r="U685" s="54" t="s">
        <v>56</v>
      </c>
    </row>
    <row r="686" spans="1:21" ht="100" x14ac:dyDescent="0.25">
      <c r="A686" s="53">
        <v>685</v>
      </c>
      <c r="B686" s="54" t="s">
        <v>2871</v>
      </c>
      <c r="C686" s="54" t="s">
        <v>2872</v>
      </c>
      <c r="D686" s="54" t="s">
        <v>50</v>
      </c>
      <c r="E686" s="54" t="s">
        <v>257</v>
      </c>
      <c r="F686" s="65" t="s">
        <v>2873</v>
      </c>
      <c r="G686" s="66">
        <v>43307</v>
      </c>
      <c r="H686" s="64" t="s">
        <v>2874</v>
      </c>
      <c r="I686" s="67">
        <v>43780</v>
      </c>
      <c r="J686" s="54" t="s">
        <v>54</v>
      </c>
      <c r="K686" s="54" t="s">
        <v>55</v>
      </c>
      <c r="L686" s="56"/>
      <c r="M686" s="56"/>
      <c r="N686" s="54"/>
      <c r="O686" s="54"/>
      <c r="P686" s="54"/>
      <c r="Q686" s="54"/>
      <c r="R686" s="54"/>
      <c r="S686" s="54"/>
      <c r="T686" s="54" t="s">
        <v>56</v>
      </c>
      <c r="U686" s="54" t="s">
        <v>56</v>
      </c>
    </row>
    <row r="687" spans="1:21" ht="100" x14ac:dyDescent="0.25">
      <c r="A687" s="53">
        <v>686</v>
      </c>
      <c r="B687" s="54" t="s">
        <v>2875</v>
      </c>
      <c r="C687" s="54" t="s">
        <v>2876</v>
      </c>
      <c r="D687" s="54" t="s">
        <v>50</v>
      </c>
      <c r="E687" s="54" t="s">
        <v>257</v>
      </c>
      <c r="F687" s="55" t="s">
        <v>2877</v>
      </c>
      <c r="G687" s="56">
        <v>43005</v>
      </c>
      <c r="H687" s="54" t="s">
        <v>2878</v>
      </c>
      <c r="I687" s="57">
        <v>43031</v>
      </c>
      <c r="J687" s="54" t="s">
        <v>54</v>
      </c>
      <c r="K687" s="54" t="s">
        <v>55</v>
      </c>
      <c r="L687" s="56"/>
      <c r="M687" s="56"/>
      <c r="N687" s="54"/>
      <c r="O687" s="54"/>
      <c r="P687" s="54"/>
      <c r="Q687" s="54"/>
      <c r="R687" s="54"/>
      <c r="S687" s="54"/>
      <c r="T687" s="54" t="s">
        <v>56</v>
      </c>
      <c r="U687" s="54" t="s">
        <v>56</v>
      </c>
    </row>
    <row r="688" spans="1:21" ht="137.5" x14ac:dyDescent="0.25">
      <c r="A688" s="53">
        <v>687</v>
      </c>
      <c r="B688" s="54" t="s">
        <v>2879</v>
      </c>
      <c r="C688" s="54" t="s">
        <v>2880</v>
      </c>
      <c r="D688" s="54" t="s">
        <v>59</v>
      </c>
      <c r="E688" s="54" t="s">
        <v>257</v>
      </c>
      <c r="F688" s="55" t="s">
        <v>2881</v>
      </c>
      <c r="G688" s="56">
        <v>43053</v>
      </c>
      <c r="H688" s="54" t="s">
        <v>2882</v>
      </c>
      <c r="I688" s="57">
        <v>43066</v>
      </c>
      <c r="J688" s="54" t="s">
        <v>1905</v>
      </c>
      <c r="K688" s="54" t="s">
        <v>81</v>
      </c>
      <c r="L688" s="56"/>
      <c r="M688" s="56"/>
      <c r="N688" s="54"/>
      <c r="O688" s="54"/>
      <c r="P688" s="54"/>
      <c r="Q688" s="54"/>
      <c r="R688" s="54"/>
      <c r="S688" s="54"/>
      <c r="T688" s="54" t="s">
        <v>56</v>
      </c>
      <c r="U688" s="54" t="s">
        <v>56</v>
      </c>
    </row>
    <row r="689" spans="1:21" ht="137.5" x14ac:dyDescent="0.25">
      <c r="A689" s="53">
        <v>688</v>
      </c>
      <c r="B689" s="54" t="s">
        <v>2883</v>
      </c>
      <c r="C689" s="54" t="s">
        <v>2884</v>
      </c>
      <c r="D689" s="54" t="s">
        <v>59</v>
      </c>
      <c r="E689" s="54" t="s">
        <v>257</v>
      </c>
      <c r="F689" s="55" t="s">
        <v>2885</v>
      </c>
      <c r="G689" s="56">
        <v>42685</v>
      </c>
      <c r="H689" s="54" t="s">
        <v>2886</v>
      </c>
      <c r="I689" s="57">
        <v>42733</v>
      </c>
      <c r="J689" s="54" t="s">
        <v>1905</v>
      </c>
      <c r="K689" s="54" t="s">
        <v>55</v>
      </c>
      <c r="L689" s="56"/>
      <c r="M689" s="56"/>
      <c r="N689" s="58"/>
      <c r="O689" s="58"/>
      <c r="P689" s="58"/>
      <c r="Q689" s="59"/>
      <c r="R689" s="58"/>
      <c r="S689" s="58"/>
      <c r="T689" s="54" t="s">
        <v>1146</v>
      </c>
      <c r="U689" s="54" t="s">
        <v>501</v>
      </c>
    </row>
    <row r="690" spans="1:21" ht="100" x14ac:dyDescent="0.25">
      <c r="A690" s="53">
        <v>689</v>
      </c>
      <c r="B690" s="54" t="s">
        <v>2887</v>
      </c>
      <c r="C690" s="54" t="s">
        <v>2888</v>
      </c>
      <c r="D690" s="54" t="s">
        <v>50</v>
      </c>
      <c r="E690" s="54" t="s">
        <v>257</v>
      </c>
      <c r="F690" s="55" t="s">
        <v>2889</v>
      </c>
      <c r="G690" s="56">
        <v>42689</v>
      </c>
      <c r="H690" s="54" t="s">
        <v>2890</v>
      </c>
      <c r="I690" s="57">
        <v>42733</v>
      </c>
      <c r="J690" s="54" t="s">
        <v>54</v>
      </c>
      <c r="K690" s="54" t="s">
        <v>55</v>
      </c>
      <c r="L690" s="56"/>
      <c r="M690" s="56"/>
      <c r="N690" s="58"/>
      <c r="O690" s="58"/>
      <c r="P690" s="58"/>
      <c r="Q690" s="59"/>
      <c r="R690" s="58"/>
      <c r="S690" s="58"/>
      <c r="T690" s="54" t="s">
        <v>56</v>
      </c>
      <c r="U690" s="54" t="s">
        <v>56</v>
      </c>
    </row>
    <row r="691" spans="1:21" ht="150" x14ac:dyDescent="0.25">
      <c r="A691" s="53">
        <v>690</v>
      </c>
      <c r="B691" s="54" t="s">
        <v>2891</v>
      </c>
      <c r="C691" s="54" t="s">
        <v>2892</v>
      </c>
      <c r="D691" s="54" t="s">
        <v>59</v>
      </c>
      <c r="E691" s="54" t="s">
        <v>257</v>
      </c>
      <c r="F691" s="55" t="s">
        <v>2893</v>
      </c>
      <c r="G691" s="56">
        <v>42601.338888888902</v>
      </c>
      <c r="H691" s="54" t="s">
        <v>2894</v>
      </c>
      <c r="I691" s="57">
        <v>42647</v>
      </c>
      <c r="J691" s="54" t="s">
        <v>2399</v>
      </c>
      <c r="K691" s="54" t="s">
        <v>55</v>
      </c>
      <c r="L691" s="56"/>
      <c r="M691" s="56"/>
      <c r="N691" s="58"/>
      <c r="O691" s="58"/>
      <c r="P691" s="58"/>
      <c r="Q691" s="59"/>
      <c r="R691" s="58"/>
      <c r="S691" s="58"/>
      <c r="T691" s="54" t="s">
        <v>56</v>
      </c>
      <c r="U691" s="54" t="s">
        <v>56</v>
      </c>
    </row>
    <row r="692" spans="1:21" ht="100" x14ac:dyDescent="0.25">
      <c r="A692" s="53">
        <v>691</v>
      </c>
      <c r="B692" s="54" t="s">
        <v>2895</v>
      </c>
      <c r="C692" s="54" t="s">
        <v>2896</v>
      </c>
      <c r="D692" s="54" t="s">
        <v>50</v>
      </c>
      <c r="E692" s="54" t="s">
        <v>257</v>
      </c>
      <c r="F692" s="55" t="s">
        <v>2897</v>
      </c>
      <c r="G692" s="56">
        <v>43307</v>
      </c>
      <c r="H692" s="54" t="s">
        <v>2898</v>
      </c>
      <c r="I692" s="57">
        <v>43439</v>
      </c>
      <c r="J692" s="54" t="s">
        <v>54</v>
      </c>
      <c r="K692" s="54" t="s">
        <v>55</v>
      </c>
      <c r="L692" s="56"/>
      <c r="M692" s="56"/>
      <c r="N692" s="54"/>
      <c r="O692" s="54"/>
      <c r="P692" s="54"/>
      <c r="Q692" s="54"/>
      <c r="R692" s="54"/>
      <c r="S692" s="54"/>
      <c r="T692" s="54" t="s">
        <v>56</v>
      </c>
      <c r="U692" s="54" t="s">
        <v>56</v>
      </c>
    </row>
    <row r="693" spans="1:21" ht="137.5" x14ac:dyDescent="0.25">
      <c r="A693" s="53">
        <v>692</v>
      </c>
      <c r="B693" s="54" t="s">
        <v>2899</v>
      </c>
      <c r="C693" s="54" t="s">
        <v>2900</v>
      </c>
      <c r="D693" s="54" t="s">
        <v>59</v>
      </c>
      <c r="E693" s="54" t="s">
        <v>257</v>
      </c>
      <c r="F693" s="55" t="s">
        <v>2901</v>
      </c>
      <c r="G693" s="56">
        <v>42685</v>
      </c>
      <c r="H693" s="54" t="s">
        <v>2902</v>
      </c>
      <c r="I693" s="57">
        <v>42754</v>
      </c>
      <c r="J693" s="54" t="s">
        <v>1905</v>
      </c>
      <c r="K693" s="54" t="s">
        <v>55</v>
      </c>
      <c r="L693" s="56"/>
      <c r="M693" s="56"/>
      <c r="N693" s="58"/>
      <c r="O693" s="58"/>
      <c r="P693" s="58"/>
      <c r="Q693" s="59"/>
      <c r="R693" s="58"/>
      <c r="S693" s="58"/>
      <c r="T693" s="54" t="s">
        <v>56</v>
      </c>
      <c r="U693" s="54" t="s">
        <v>56</v>
      </c>
    </row>
    <row r="694" spans="1:21" ht="150" x14ac:dyDescent="0.25">
      <c r="A694" s="53">
        <v>693</v>
      </c>
      <c r="B694" s="54" t="s">
        <v>2903</v>
      </c>
      <c r="C694" s="54" t="s">
        <v>2904</v>
      </c>
      <c r="D694" s="54" t="s">
        <v>59</v>
      </c>
      <c r="E694" s="54" t="s">
        <v>257</v>
      </c>
      <c r="F694" s="55" t="s">
        <v>2905</v>
      </c>
      <c r="G694" s="56">
        <v>42605.041701388902</v>
      </c>
      <c r="H694" s="54" t="s">
        <v>2906</v>
      </c>
      <c r="I694" s="57">
        <v>42640</v>
      </c>
      <c r="J694" s="54" t="s">
        <v>2399</v>
      </c>
      <c r="K694" s="54" t="s">
        <v>55</v>
      </c>
      <c r="L694" s="56"/>
      <c r="M694" s="56"/>
      <c r="N694" s="58"/>
      <c r="O694" s="58"/>
      <c r="P694" s="58"/>
      <c r="Q694" s="59"/>
      <c r="R694" s="58"/>
      <c r="S694" s="58"/>
      <c r="T694" s="54" t="s">
        <v>56</v>
      </c>
      <c r="U694" s="54" t="s">
        <v>56</v>
      </c>
    </row>
    <row r="695" spans="1:21" ht="150" x14ac:dyDescent="0.25">
      <c r="A695" s="53">
        <v>694</v>
      </c>
      <c r="B695" s="54" t="s">
        <v>2907</v>
      </c>
      <c r="C695" s="54" t="s">
        <v>2908</v>
      </c>
      <c r="D695" s="54" t="s">
        <v>59</v>
      </c>
      <c r="E695" s="54" t="s">
        <v>257</v>
      </c>
      <c r="F695" s="55" t="s">
        <v>2909</v>
      </c>
      <c r="G695" s="56">
        <v>42601.338900463001</v>
      </c>
      <c r="H695" s="54" t="s">
        <v>2910</v>
      </c>
      <c r="I695" s="57">
        <v>42640</v>
      </c>
      <c r="J695" s="54" t="s">
        <v>2399</v>
      </c>
      <c r="K695" s="54" t="s">
        <v>55</v>
      </c>
      <c r="L695" s="56"/>
      <c r="M695" s="56"/>
      <c r="N695" s="58"/>
      <c r="O695" s="58"/>
      <c r="P695" s="58"/>
      <c r="Q695" s="59"/>
      <c r="R695" s="58"/>
      <c r="S695" s="58"/>
      <c r="T695" s="54" t="s">
        <v>56</v>
      </c>
      <c r="U695" s="54" t="s">
        <v>56</v>
      </c>
    </row>
    <row r="696" spans="1:21" ht="150" x14ac:dyDescent="0.25">
      <c r="A696" s="53">
        <v>695</v>
      </c>
      <c r="B696" s="54" t="s">
        <v>2911</v>
      </c>
      <c r="C696" s="54" t="s">
        <v>2912</v>
      </c>
      <c r="D696" s="54" t="s">
        <v>59</v>
      </c>
      <c r="E696" s="54" t="s">
        <v>257</v>
      </c>
      <c r="F696" s="55" t="s">
        <v>2913</v>
      </c>
      <c r="G696" s="56">
        <v>42601.338923611103</v>
      </c>
      <c r="H696" s="54" t="s">
        <v>2914</v>
      </c>
      <c r="I696" s="57">
        <v>42640</v>
      </c>
      <c r="J696" s="54" t="s">
        <v>2399</v>
      </c>
      <c r="K696" s="54" t="s">
        <v>81</v>
      </c>
      <c r="L696" s="56"/>
      <c r="M696" s="56"/>
      <c r="N696" s="58"/>
      <c r="O696" s="58"/>
      <c r="P696" s="58"/>
      <c r="Q696" s="59"/>
      <c r="R696" s="58"/>
      <c r="S696" s="58"/>
      <c r="T696" s="54" t="s">
        <v>56</v>
      </c>
      <c r="U696" s="54" t="s">
        <v>56</v>
      </c>
    </row>
    <row r="697" spans="1:21" ht="100" x14ac:dyDescent="0.25">
      <c r="A697" s="53">
        <v>696</v>
      </c>
      <c r="B697" s="54" t="s">
        <v>2915</v>
      </c>
      <c r="C697" s="54" t="s">
        <v>2916</v>
      </c>
      <c r="D697" s="54" t="s">
        <v>50</v>
      </c>
      <c r="E697" s="54" t="s">
        <v>257</v>
      </c>
      <c r="F697" s="65" t="s">
        <v>2917</v>
      </c>
      <c r="G697" s="66">
        <v>43679</v>
      </c>
      <c r="H697" s="64" t="s">
        <v>2918</v>
      </c>
      <c r="I697" s="67">
        <v>43753</v>
      </c>
      <c r="J697" s="54" t="s">
        <v>54</v>
      </c>
      <c r="K697" s="54" t="s">
        <v>55</v>
      </c>
      <c r="L697" s="56"/>
      <c r="M697" s="56"/>
      <c r="N697" s="54"/>
      <c r="O697" s="54"/>
      <c r="P697" s="54"/>
      <c r="Q697" s="54"/>
      <c r="R697" s="54"/>
      <c r="S697" s="54"/>
      <c r="T697" s="54" t="s">
        <v>56</v>
      </c>
      <c r="U697" s="54" t="s">
        <v>56</v>
      </c>
    </row>
    <row r="698" spans="1:21" ht="150" x14ac:dyDescent="0.25">
      <c r="A698" s="53">
        <v>697</v>
      </c>
      <c r="B698" s="54" t="s">
        <v>2919</v>
      </c>
      <c r="C698" s="54" t="s">
        <v>2920</v>
      </c>
      <c r="D698" s="54" t="s">
        <v>59</v>
      </c>
      <c r="E698" s="54" t="s">
        <v>257</v>
      </c>
      <c r="F698" s="55" t="s">
        <v>2921</v>
      </c>
      <c r="G698" s="56">
        <v>42601.338865740698</v>
      </c>
      <c r="H698" s="54" t="s">
        <v>2922</v>
      </c>
      <c r="I698" s="57">
        <v>42640</v>
      </c>
      <c r="J698" s="54" t="s">
        <v>2399</v>
      </c>
      <c r="K698" s="54" t="s">
        <v>55</v>
      </c>
      <c r="L698" s="56"/>
      <c r="M698" s="56"/>
      <c r="N698" s="58"/>
      <c r="O698" s="58"/>
      <c r="P698" s="58"/>
      <c r="Q698" s="59"/>
      <c r="R698" s="58"/>
      <c r="S698" s="58"/>
      <c r="T698" s="54" t="s">
        <v>56</v>
      </c>
      <c r="U698" s="54" t="s">
        <v>56</v>
      </c>
    </row>
    <row r="699" spans="1:21" ht="137.5" x14ac:dyDescent="0.25">
      <c r="A699" s="53">
        <v>698</v>
      </c>
      <c r="B699" s="54" t="s">
        <v>2923</v>
      </c>
      <c r="C699" s="54" t="s">
        <v>2924</v>
      </c>
      <c r="D699" s="54" t="s">
        <v>59</v>
      </c>
      <c r="E699" s="54" t="s">
        <v>257</v>
      </c>
      <c r="F699" s="55" t="s">
        <v>2925</v>
      </c>
      <c r="G699" s="56">
        <v>42685</v>
      </c>
      <c r="H699" s="54" t="s">
        <v>2926</v>
      </c>
      <c r="I699" s="57">
        <v>42733</v>
      </c>
      <c r="J699" s="54" t="s">
        <v>1905</v>
      </c>
      <c r="K699" s="54" t="s">
        <v>55</v>
      </c>
      <c r="L699" s="56"/>
      <c r="M699" s="56"/>
      <c r="N699" s="58"/>
      <c r="O699" s="58"/>
      <c r="P699" s="58"/>
      <c r="Q699" s="59"/>
      <c r="R699" s="58"/>
      <c r="S699" s="58"/>
      <c r="T699" s="54" t="s">
        <v>56</v>
      </c>
      <c r="U699" s="54" t="s">
        <v>56</v>
      </c>
    </row>
    <row r="700" spans="1:21" ht="150" x14ac:dyDescent="0.25">
      <c r="A700" s="53">
        <v>699</v>
      </c>
      <c r="B700" s="54" t="s">
        <v>2927</v>
      </c>
      <c r="C700" s="54" t="s">
        <v>2928</v>
      </c>
      <c r="D700" s="54" t="s">
        <v>59</v>
      </c>
      <c r="E700" s="54" t="s">
        <v>257</v>
      </c>
      <c r="F700" s="55" t="s">
        <v>2929</v>
      </c>
      <c r="G700" s="56">
        <v>43000</v>
      </c>
      <c r="H700" s="54" t="s">
        <v>2930</v>
      </c>
      <c r="I700" s="57">
        <v>43021</v>
      </c>
      <c r="J700" s="54" t="s">
        <v>2399</v>
      </c>
      <c r="K700" s="54" t="s">
        <v>55</v>
      </c>
      <c r="L700" s="56"/>
      <c r="M700" s="56"/>
      <c r="N700" s="54"/>
      <c r="O700" s="54"/>
      <c r="P700" s="54"/>
      <c r="Q700" s="54"/>
      <c r="R700" s="54"/>
      <c r="S700" s="54"/>
      <c r="T700" s="54" t="s">
        <v>1146</v>
      </c>
      <c r="U700" s="54" t="s">
        <v>501</v>
      </c>
    </row>
    <row r="701" spans="1:21" ht="150" x14ac:dyDescent="0.25">
      <c r="A701" s="53">
        <v>700</v>
      </c>
      <c r="B701" s="54" t="s">
        <v>2931</v>
      </c>
      <c r="C701" s="54" t="s">
        <v>2932</v>
      </c>
      <c r="D701" s="54" t="s">
        <v>59</v>
      </c>
      <c r="E701" s="54" t="s">
        <v>257</v>
      </c>
      <c r="F701" s="55" t="s">
        <v>2933</v>
      </c>
      <c r="G701" s="56">
        <v>42600.7554282407</v>
      </c>
      <c r="H701" s="54" t="s">
        <v>2934</v>
      </c>
      <c r="I701" s="57">
        <v>42640</v>
      </c>
      <c r="J701" s="54" t="s">
        <v>2399</v>
      </c>
      <c r="K701" s="54" t="s">
        <v>55</v>
      </c>
      <c r="L701" s="56"/>
      <c r="M701" s="56"/>
      <c r="N701" s="58"/>
      <c r="O701" s="58"/>
      <c r="P701" s="58"/>
      <c r="Q701" s="59"/>
      <c r="R701" s="58"/>
      <c r="S701" s="58"/>
      <c r="T701" s="54" t="s">
        <v>56</v>
      </c>
      <c r="U701" s="54" t="s">
        <v>56</v>
      </c>
    </row>
    <row r="702" spans="1:21" ht="150" x14ac:dyDescent="0.25">
      <c r="A702" s="53">
        <v>701</v>
      </c>
      <c r="B702" s="54" t="s">
        <v>2935</v>
      </c>
      <c r="C702" s="54" t="s">
        <v>2936</v>
      </c>
      <c r="D702" s="54" t="s">
        <v>59</v>
      </c>
      <c r="E702" s="54" t="s">
        <v>257</v>
      </c>
      <c r="F702" s="55" t="s">
        <v>2937</v>
      </c>
      <c r="G702" s="56">
        <v>43025</v>
      </c>
      <c r="H702" s="59" t="s">
        <v>2938</v>
      </c>
      <c r="I702" s="57">
        <v>43038</v>
      </c>
      <c r="J702" s="54" t="s">
        <v>2399</v>
      </c>
      <c r="K702" s="54" t="s">
        <v>55</v>
      </c>
      <c r="L702" s="56"/>
      <c r="M702" s="56"/>
      <c r="N702" s="54"/>
      <c r="O702" s="54"/>
      <c r="P702" s="54"/>
      <c r="Q702" s="54"/>
      <c r="R702" s="54"/>
      <c r="S702" s="54"/>
      <c r="T702" s="54" t="s">
        <v>56</v>
      </c>
      <c r="U702" s="54" t="s">
        <v>56</v>
      </c>
    </row>
    <row r="703" spans="1:21" ht="150" x14ac:dyDescent="0.25">
      <c r="A703" s="53">
        <v>702</v>
      </c>
      <c r="B703" s="54" t="s">
        <v>2939</v>
      </c>
      <c r="C703" s="54" t="s">
        <v>2940</v>
      </c>
      <c r="D703" s="54" t="s">
        <v>59</v>
      </c>
      <c r="E703" s="54" t="s">
        <v>257</v>
      </c>
      <c r="F703" s="55" t="s">
        <v>2941</v>
      </c>
      <c r="G703" s="56">
        <v>42601.338935185202</v>
      </c>
      <c r="H703" s="54" t="s">
        <v>2942</v>
      </c>
      <c r="I703" s="57">
        <v>42640</v>
      </c>
      <c r="J703" s="54" t="s">
        <v>2399</v>
      </c>
      <c r="K703" s="54" t="s">
        <v>55</v>
      </c>
      <c r="L703" s="56"/>
      <c r="M703" s="56"/>
      <c r="N703" s="58"/>
      <c r="O703" s="58"/>
      <c r="P703" s="58"/>
      <c r="Q703" s="59"/>
      <c r="R703" s="58"/>
      <c r="S703" s="58"/>
      <c r="T703" s="54" t="s">
        <v>56</v>
      </c>
      <c r="U703" s="54" t="s">
        <v>56</v>
      </c>
    </row>
    <row r="704" spans="1:21" ht="37.5" x14ac:dyDescent="0.25">
      <c r="A704" s="53">
        <v>703</v>
      </c>
      <c r="B704" s="54" t="s">
        <v>2943</v>
      </c>
      <c r="C704" s="54" t="s">
        <v>2944</v>
      </c>
      <c r="D704" s="54" t="s">
        <v>59</v>
      </c>
      <c r="E704" s="54" t="s">
        <v>257</v>
      </c>
      <c r="F704" s="55" t="s">
        <v>2945</v>
      </c>
      <c r="G704" s="56">
        <v>43000</v>
      </c>
      <c r="H704" s="54" t="s">
        <v>2946</v>
      </c>
      <c r="I704" s="57">
        <v>43020</v>
      </c>
      <c r="J704" s="54" t="s">
        <v>986</v>
      </c>
      <c r="K704" s="54" t="s">
        <v>55</v>
      </c>
      <c r="L704" s="56"/>
      <c r="M704" s="56"/>
      <c r="N704" s="54"/>
      <c r="O704" s="54"/>
      <c r="P704" s="54"/>
      <c r="Q704" s="54"/>
      <c r="R704" s="54"/>
      <c r="S704" s="54"/>
      <c r="T704" s="54" t="s">
        <v>56</v>
      </c>
      <c r="U704" s="54" t="s">
        <v>56</v>
      </c>
    </row>
    <row r="705" spans="1:21" ht="150" x14ac:dyDescent="0.25">
      <c r="A705" s="53">
        <v>704</v>
      </c>
      <c r="B705" s="54" t="s">
        <v>2947</v>
      </c>
      <c r="C705" s="54" t="s">
        <v>2948</v>
      </c>
      <c r="D705" s="54" t="s">
        <v>59</v>
      </c>
      <c r="E705" s="54" t="s">
        <v>257</v>
      </c>
      <c r="F705" s="55" t="s">
        <v>2949</v>
      </c>
      <c r="G705" s="56">
        <v>42600.7554282407</v>
      </c>
      <c r="H705" s="54" t="s">
        <v>2950</v>
      </c>
      <c r="I705" s="57">
        <v>42640</v>
      </c>
      <c r="J705" s="54" t="s">
        <v>2399</v>
      </c>
      <c r="K705" s="54" t="s">
        <v>55</v>
      </c>
      <c r="L705" s="56"/>
      <c r="M705" s="56"/>
      <c r="N705" s="58"/>
      <c r="O705" s="58"/>
      <c r="P705" s="58"/>
      <c r="Q705" s="59"/>
      <c r="R705" s="58"/>
      <c r="S705" s="58"/>
      <c r="T705" s="54" t="s">
        <v>56</v>
      </c>
      <c r="U705" s="54" t="s">
        <v>56</v>
      </c>
    </row>
    <row r="706" spans="1:21" ht="150" x14ac:dyDescent="0.25">
      <c r="A706" s="53">
        <v>705</v>
      </c>
      <c r="B706" s="54" t="s">
        <v>2951</v>
      </c>
      <c r="C706" s="54" t="s">
        <v>2952</v>
      </c>
      <c r="D706" s="54" t="s">
        <v>59</v>
      </c>
      <c r="E706" s="54" t="s">
        <v>257</v>
      </c>
      <c r="F706" s="55" t="s">
        <v>2953</v>
      </c>
      <c r="G706" s="56">
        <v>42600.755462963003</v>
      </c>
      <c r="H706" s="54" t="s">
        <v>2954</v>
      </c>
      <c r="I706" s="57">
        <v>42640</v>
      </c>
      <c r="J706" s="54" t="s">
        <v>2399</v>
      </c>
      <c r="K706" s="54" t="s">
        <v>55</v>
      </c>
      <c r="L706" s="56"/>
      <c r="M706" s="56"/>
      <c r="N706" s="58"/>
      <c r="O706" s="58"/>
      <c r="P706" s="58"/>
      <c r="Q706" s="59"/>
      <c r="R706" s="58"/>
      <c r="S706" s="58"/>
      <c r="T706" s="54" t="s">
        <v>56</v>
      </c>
      <c r="U706" s="54" t="s">
        <v>56</v>
      </c>
    </row>
    <row r="707" spans="1:21" ht="125" x14ac:dyDescent="0.25">
      <c r="A707" s="53">
        <v>706</v>
      </c>
      <c r="B707" s="54" t="s">
        <v>2955</v>
      </c>
      <c r="C707" s="54" t="s">
        <v>2956</v>
      </c>
      <c r="D707" s="54" t="s">
        <v>59</v>
      </c>
      <c r="E707" s="54" t="s">
        <v>257</v>
      </c>
      <c r="F707" s="55" t="s">
        <v>2957</v>
      </c>
      <c r="G707" s="56">
        <v>43173</v>
      </c>
      <c r="H707" s="54" t="s">
        <v>2958</v>
      </c>
      <c r="I707" s="57">
        <v>43192</v>
      </c>
      <c r="J707" s="54" t="s">
        <v>114</v>
      </c>
      <c r="K707" s="54" t="s">
        <v>81</v>
      </c>
      <c r="L707" s="56"/>
      <c r="M707" s="56"/>
      <c r="N707" s="54"/>
      <c r="O707" s="54"/>
      <c r="P707" s="54"/>
      <c r="Q707" s="54"/>
      <c r="R707" s="54"/>
      <c r="S707" s="54"/>
      <c r="T707" s="54" t="s">
        <v>56</v>
      </c>
      <c r="U707" s="54" t="s">
        <v>56</v>
      </c>
    </row>
    <row r="708" spans="1:21" ht="150" x14ac:dyDescent="0.25">
      <c r="A708" s="53">
        <v>707</v>
      </c>
      <c r="B708" s="54" t="s">
        <v>2959</v>
      </c>
      <c r="C708" s="54" t="s">
        <v>2960</v>
      </c>
      <c r="D708" s="54" t="s">
        <v>59</v>
      </c>
      <c r="E708" s="54" t="s">
        <v>257</v>
      </c>
      <c r="F708" s="55" t="s">
        <v>2961</v>
      </c>
      <c r="G708" s="56">
        <v>42600.755462963003</v>
      </c>
      <c r="H708" s="54" t="s">
        <v>2962</v>
      </c>
      <c r="I708" s="57">
        <v>42647</v>
      </c>
      <c r="J708" s="54" t="s">
        <v>2399</v>
      </c>
      <c r="K708" s="54" t="s">
        <v>55</v>
      </c>
      <c r="L708" s="56"/>
      <c r="M708" s="56"/>
      <c r="N708" s="58"/>
      <c r="O708" s="58"/>
      <c r="P708" s="58"/>
      <c r="Q708" s="59"/>
      <c r="R708" s="58"/>
      <c r="S708" s="58"/>
      <c r="T708" s="54" t="s">
        <v>56</v>
      </c>
      <c r="U708" s="54" t="s">
        <v>56</v>
      </c>
    </row>
    <row r="709" spans="1:21" ht="137.5" x14ac:dyDescent="0.25">
      <c r="A709" s="53">
        <v>708</v>
      </c>
      <c r="B709" s="54" t="s">
        <v>2963</v>
      </c>
      <c r="C709" s="54" t="s">
        <v>2964</v>
      </c>
      <c r="D709" s="54" t="s">
        <v>59</v>
      </c>
      <c r="E709" s="54" t="s">
        <v>257</v>
      </c>
      <c r="F709" s="55" t="s">
        <v>2965</v>
      </c>
      <c r="G709" s="56">
        <v>43053</v>
      </c>
      <c r="H709" s="54" t="s">
        <v>2966</v>
      </c>
      <c r="I709" s="57">
        <v>43066</v>
      </c>
      <c r="J709" s="54" t="s">
        <v>1905</v>
      </c>
      <c r="K709" s="54" t="s">
        <v>81</v>
      </c>
      <c r="L709" s="56"/>
      <c r="M709" s="56"/>
      <c r="N709" s="54"/>
      <c r="O709" s="54"/>
      <c r="P709" s="54"/>
      <c r="Q709" s="54"/>
      <c r="R709" s="54"/>
      <c r="S709" s="54"/>
      <c r="T709" s="54" t="s">
        <v>56</v>
      </c>
      <c r="U709" s="54" t="s">
        <v>56</v>
      </c>
    </row>
    <row r="710" spans="1:21" ht="150" x14ac:dyDescent="0.25">
      <c r="A710" s="53">
        <v>709</v>
      </c>
      <c r="B710" s="54" t="s">
        <v>2967</v>
      </c>
      <c r="C710" s="54" t="s">
        <v>2968</v>
      </c>
      <c r="D710" s="54" t="s">
        <v>59</v>
      </c>
      <c r="E710" s="54" t="s">
        <v>257</v>
      </c>
      <c r="F710" s="55" t="s">
        <v>2969</v>
      </c>
      <c r="G710" s="56">
        <v>42601.338900463001</v>
      </c>
      <c r="H710" s="54" t="s">
        <v>2970</v>
      </c>
      <c r="I710" s="57">
        <v>42640</v>
      </c>
      <c r="J710" s="54" t="s">
        <v>2399</v>
      </c>
      <c r="K710" s="54" t="s">
        <v>55</v>
      </c>
      <c r="L710" s="56"/>
      <c r="M710" s="56"/>
      <c r="N710" s="58"/>
      <c r="O710" s="58"/>
      <c r="P710" s="58"/>
      <c r="Q710" s="59"/>
      <c r="R710" s="58"/>
      <c r="S710" s="58"/>
      <c r="T710" s="54" t="s">
        <v>56</v>
      </c>
      <c r="U710" s="54" t="s">
        <v>56</v>
      </c>
    </row>
    <row r="711" spans="1:21" ht="137.5" x14ac:dyDescent="0.25">
      <c r="A711" s="53">
        <v>710</v>
      </c>
      <c r="B711" s="54" t="s">
        <v>2971</v>
      </c>
      <c r="C711" s="54" t="s">
        <v>2972</v>
      </c>
      <c r="D711" s="54" t="s">
        <v>59</v>
      </c>
      <c r="E711" s="54" t="s">
        <v>257</v>
      </c>
      <c r="F711" s="55" t="s">
        <v>2973</v>
      </c>
      <c r="G711" s="56">
        <v>42685</v>
      </c>
      <c r="H711" s="54" t="s">
        <v>2974</v>
      </c>
      <c r="I711" s="57">
        <v>42733</v>
      </c>
      <c r="J711" s="54" t="s">
        <v>1905</v>
      </c>
      <c r="K711" s="54" t="s">
        <v>55</v>
      </c>
      <c r="L711" s="56"/>
      <c r="M711" s="56"/>
      <c r="N711" s="58"/>
      <c r="O711" s="58"/>
      <c r="P711" s="58"/>
      <c r="Q711" s="59"/>
      <c r="R711" s="58"/>
      <c r="S711" s="58"/>
      <c r="T711" s="54" t="s">
        <v>56</v>
      </c>
      <c r="U711" s="54" t="s">
        <v>56</v>
      </c>
    </row>
    <row r="712" spans="1:21" ht="150" x14ac:dyDescent="0.25">
      <c r="A712" s="53">
        <v>711</v>
      </c>
      <c r="B712" s="54" t="s">
        <v>2975</v>
      </c>
      <c r="C712" s="54" t="s">
        <v>2976</v>
      </c>
      <c r="D712" s="54" t="s">
        <v>59</v>
      </c>
      <c r="E712" s="54" t="s">
        <v>257</v>
      </c>
      <c r="F712" s="55" t="s">
        <v>2977</v>
      </c>
      <c r="G712" s="56">
        <v>42600.755497685197</v>
      </c>
      <c r="H712" s="54" t="s">
        <v>2978</v>
      </c>
      <c r="I712" s="57">
        <v>42641</v>
      </c>
      <c r="J712" s="54" t="s">
        <v>2399</v>
      </c>
      <c r="K712" s="54" t="s">
        <v>55</v>
      </c>
      <c r="L712" s="56"/>
      <c r="M712" s="56"/>
      <c r="N712" s="58"/>
      <c r="O712" s="58"/>
      <c r="P712" s="58"/>
      <c r="Q712" s="59"/>
      <c r="R712" s="58"/>
      <c r="S712" s="58"/>
      <c r="T712" s="54" t="s">
        <v>56</v>
      </c>
      <c r="U712" s="54" t="s">
        <v>56</v>
      </c>
    </row>
    <row r="713" spans="1:21" ht="50" x14ac:dyDescent="0.25">
      <c r="A713" s="53">
        <v>712</v>
      </c>
      <c r="B713" s="54" t="s">
        <v>2979</v>
      </c>
      <c r="C713" s="54" t="s">
        <v>2980</v>
      </c>
      <c r="D713" s="54" t="s">
        <v>59</v>
      </c>
      <c r="E713" s="54" t="s">
        <v>257</v>
      </c>
      <c r="F713" s="55" t="s">
        <v>2981</v>
      </c>
      <c r="G713" s="56">
        <v>43307</v>
      </c>
      <c r="H713" s="54" t="s">
        <v>2982</v>
      </c>
      <c r="I713" s="57">
        <v>43438</v>
      </c>
      <c r="J713" s="54" t="s">
        <v>986</v>
      </c>
      <c r="K713" s="54" t="s">
        <v>81</v>
      </c>
      <c r="L713" s="56"/>
      <c r="M713" s="56"/>
      <c r="N713" s="54"/>
      <c r="O713" s="54"/>
      <c r="P713" s="54"/>
      <c r="Q713" s="54"/>
      <c r="R713" s="54"/>
      <c r="S713" s="54"/>
      <c r="T713" s="54" t="s">
        <v>56</v>
      </c>
      <c r="U713" s="54" t="s">
        <v>56</v>
      </c>
    </row>
    <row r="714" spans="1:21" ht="150" x14ac:dyDescent="0.25">
      <c r="A714" s="53">
        <v>713</v>
      </c>
      <c r="B714" s="54" t="s">
        <v>2983</v>
      </c>
      <c r="C714" s="54" t="s">
        <v>2984</v>
      </c>
      <c r="D714" s="54" t="s">
        <v>59</v>
      </c>
      <c r="E714" s="54" t="s">
        <v>257</v>
      </c>
      <c r="F714" s="55" t="s">
        <v>2985</v>
      </c>
      <c r="G714" s="56">
        <v>42600.755497685197</v>
      </c>
      <c r="H714" s="54" t="s">
        <v>2986</v>
      </c>
      <c r="I714" s="57">
        <v>42641</v>
      </c>
      <c r="J714" s="54" t="s">
        <v>2399</v>
      </c>
      <c r="K714" s="54" t="s">
        <v>55</v>
      </c>
      <c r="L714" s="56"/>
      <c r="M714" s="56"/>
      <c r="N714" s="58"/>
      <c r="O714" s="58"/>
      <c r="P714" s="58"/>
      <c r="Q714" s="59"/>
      <c r="R714" s="58"/>
      <c r="S714" s="58"/>
      <c r="T714" s="54" t="s">
        <v>56</v>
      </c>
      <c r="U714" s="54" t="s">
        <v>56</v>
      </c>
    </row>
    <row r="715" spans="1:21" ht="150" x14ac:dyDescent="0.25">
      <c r="A715" s="53">
        <v>714</v>
      </c>
      <c r="B715" s="54" t="s">
        <v>2987</v>
      </c>
      <c r="C715" s="54" t="s">
        <v>2988</v>
      </c>
      <c r="D715" s="54" t="s">
        <v>59</v>
      </c>
      <c r="E715" s="54" t="s">
        <v>257</v>
      </c>
      <c r="F715" s="55" t="s">
        <v>2989</v>
      </c>
      <c r="G715" s="56">
        <v>43053</v>
      </c>
      <c r="H715" s="54" t="s">
        <v>2990</v>
      </c>
      <c r="I715" s="57">
        <v>43066</v>
      </c>
      <c r="J715" s="54" t="s">
        <v>2991</v>
      </c>
      <c r="K715" s="54" t="s">
        <v>81</v>
      </c>
      <c r="L715" s="56"/>
      <c r="M715" s="56"/>
      <c r="N715" s="54"/>
      <c r="O715" s="54"/>
      <c r="P715" s="54"/>
      <c r="Q715" s="54"/>
      <c r="R715" s="54"/>
      <c r="S715" s="54"/>
      <c r="T715" s="54" t="s">
        <v>56</v>
      </c>
      <c r="U715" s="54" t="s">
        <v>56</v>
      </c>
    </row>
    <row r="716" spans="1:21" ht="37.5" x14ac:dyDescent="0.25">
      <c r="A716" s="53">
        <v>715</v>
      </c>
      <c r="B716" s="54" t="s">
        <v>2992</v>
      </c>
      <c r="C716" s="64" t="s">
        <v>2993</v>
      </c>
      <c r="D716" s="54" t="s">
        <v>59</v>
      </c>
      <c r="E716" s="54" t="s">
        <v>257</v>
      </c>
      <c r="F716" s="65" t="s">
        <v>2994</v>
      </c>
      <c r="G716" s="66">
        <v>43539</v>
      </c>
      <c r="H716" s="64" t="s">
        <v>2995</v>
      </c>
      <c r="I716" s="67">
        <v>43611</v>
      </c>
      <c r="J716" s="54" t="s">
        <v>986</v>
      </c>
      <c r="K716" s="54" t="s">
        <v>81</v>
      </c>
      <c r="L716" s="56"/>
      <c r="M716" s="56"/>
      <c r="N716" s="54"/>
      <c r="O716" s="54"/>
      <c r="P716" s="54"/>
      <c r="Q716" s="54"/>
      <c r="R716" s="54"/>
      <c r="S716" s="54"/>
      <c r="T716" s="54" t="s">
        <v>56</v>
      </c>
      <c r="U716" s="54" t="s">
        <v>56</v>
      </c>
    </row>
    <row r="717" spans="1:21" ht="137.5" x14ac:dyDescent="0.25">
      <c r="A717" s="53">
        <v>716</v>
      </c>
      <c r="B717" s="54" t="s">
        <v>2996</v>
      </c>
      <c r="C717" s="54" t="s">
        <v>2997</v>
      </c>
      <c r="D717" s="54" t="s">
        <v>59</v>
      </c>
      <c r="E717" s="54" t="s">
        <v>257</v>
      </c>
      <c r="F717" s="55" t="s">
        <v>2998</v>
      </c>
      <c r="G717" s="56">
        <v>42601.338819444398</v>
      </c>
      <c r="H717" s="54" t="s">
        <v>2999</v>
      </c>
      <c r="I717" s="57">
        <v>42632</v>
      </c>
      <c r="J717" s="54" t="s">
        <v>3000</v>
      </c>
      <c r="K717" s="54" t="s">
        <v>55</v>
      </c>
      <c r="L717" s="56"/>
      <c r="M717" s="56"/>
      <c r="N717" s="58"/>
      <c r="O717" s="58"/>
      <c r="P717" s="58"/>
      <c r="Q717" s="59"/>
      <c r="R717" s="58"/>
      <c r="S717" s="58"/>
      <c r="T717" s="54" t="s">
        <v>56</v>
      </c>
      <c r="U717" s="54" t="s">
        <v>56</v>
      </c>
    </row>
    <row r="718" spans="1:21" ht="137.5" x14ac:dyDescent="0.25">
      <c r="A718" s="53">
        <v>717</v>
      </c>
      <c r="B718" s="54" t="s">
        <v>3001</v>
      </c>
      <c r="C718" s="54" t="s">
        <v>3002</v>
      </c>
      <c r="D718" s="54" t="s">
        <v>59</v>
      </c>
      <c r="E718" s="54" t="s">
        <v>257</v>
      </c>
      <c r="F718" s="55" t="s">
        <v>3003</v>
      </c>
      <c r="G718" s="56">
        <v>43053</v>
      </c>
      <c r="H718" s="54" t="s">
        <v>3004</v>
      </c>
      <c r="I718" s="57">
        <v>43066</v>
      </c>
      <c r="J718" s="54" t="s">
        <v>3005</v>
      </c>
      <c r="K718" s="54" t="s">
        <v>81</v>
      </c>
      <c r="L718" s="56"/>
      <c r="M718" s="56"/>
      <c r="N718" s="54"/>
      <c r="O718" s="54"/>
      <c r="P718" s="54"/>
      <c r="Q718" s="54"/>
      <c r="R718" s="54"/>
      <c r="S718" s="54"/>
      <c r="T718" s="54" t="s">
        <v>56</v>
      </c>
      <c r="U718" s="54" t="s">
        <v>56</v>
      </c>
    </row>
    <row r="719" spans="1:21" ht="100" x14ac:dyDescent="0.25">
      <c r="A719" s="53">
        <v>718</v>
      </c>
      <c r="B719" s="54" t="s">
        <v>3006</v>
      </c>
      <c r="C719" s="54" t="s">
        <v>3007</v>
      </c>
      <c r="D719" s="54" t="s">
        <v>50</v>
      </c>
      <c r="E719" s="54" t="s">
        <v>257</v>
      </c>
      <c r="F719" s="55" t="s">
        <v>3008</v>
      </c>
      <c r="G719" s="56">
        <v>43011</v>
      </c>
      <c r="H719" s="54" t="s">
        <v>3009</v>
      </c>
      <c r="I719" s="57">
        <v>43046</v>
      </c>
      <c r="J719" s="54" t="s">
        <v>54</v>
      </c>
      <c r="K719" s="54" t="s">
        <v>55</v>
      </c>
      <c r="L719" s="56"/>
      <c r="M719" s="56"/>
      <c r="N719" s="54"/>
      <c r="O719" s="54"/>
      <c r="P719" s="54"/>
      <c r="Q719" s="54"/>
      <c r="R719" s="54"/>
      <c r="S719" s="54"/>
      <c r="T719" s="54" t="s">
        <v>56</v>
      </c>
      <c r="U719" s="54" t="s">
        <v>56</v>
      </c>
    </row>
    <row r="720" spans="1:21" ht="137.5" x14ac:dyDescent="0.25">
      <c r="A720" s="53">
        <v>719</v>
      </c>
      <c r="B720" s="54" t="s">
        <v>3010</v>
      </c>
      <c r="C720" s="54" t="s">
        <v>3011</v>
      </c>
      <c r="D720" s="54" t="s">
        <v>59</v>
      </c>
      <c r="E720" s="54" t="s">
        <v>257</v>
      </c>
      <c r="F720" s="55" t="s">
        <v>3012</v>
      </c>
      <c r="G720" s="56">
        <v>42601.338807870401</v>
      </c>
      <c r="H720" s="54" t="s">
        <v>3013</v>
      </c>
      <c r="I720" s="57">
        <v>42647</v>
      </c>
      <c r="J720" s="54" t="s">
        <v>3000</v>
      </c>
      <c r="K720" s="54" t="s">
        <v>55</v>
      </c>
      <c r="L720" s="56"/>
      <c r="M720" s="56"/>
      <c r="N720" s="58"/>
      <c r="O720" s="58"/>
      <c r="P720" s="58"/>
      <c r="Q720" s="59"/>
      <c r="R720" s="58"/>
      <c r="S720" s="58"/>
      <c r="T720" s="54" t="s">
        <v>56</v>
      </c>
      <c r="U720" s="54" t="s">
        <v>56</v>
      </c>
    </row>
    <row r="721" spans="1:21" ht="112.5" x14ac:dyDescent="0.25">
      <c r="A721" s="53">
        <v>720</v>
      </c>
      <c r="B721" s="54" t="s">
        <v>3014</v>
      </c>
      <c r="C721" s="54" t="s">
        <v>3015</v>
      </c>
      <c r="D721" s="54" t="s">
        <v>59</v>
      </c>
      <c r="E721" s="54" t="s">
        <v>257</v>
      </c>
      <c r="F721" s="55" t="s">
        <v>3016</v>
      </c>
      <c r="G721" s="56">
        <v>42600.755497685197</v>
      </c>
      <c r="H721" s="54" t="s">
        <v>3017</v>
      </c>
      <c r="I721" s="57">
        <v>42657</v>
      </c>
      <c r="J721" s="54" t="s">
        <v>3018</v>
      </c>
      <c r="K721" s="54" t="s">
        <v>55</v>
      </c>
      <c r="L721" s="56"/>
      <c r="M721" s="56"/>
      <c r="N721" s="58"/>
      <c r="O721" s="58"/>
      <c r="P721" s="58"/>
      <c r="Q721" s="59"/>
      <c r="R721" s="58"/>
      <c r="S721" s="58"/>
      <c r="T721" s="54" t="s">
        <v>56</v>
      </c>
      <c r="U721" s="54" t="s">
        <v>56</v>
      </c>
    </row>
    <row r="722" spans="1:21" ht="100" x14ac:dyDescent="0.25">
      <c r="A722" s="53">
        <v>721</v>
      </c>
      <c r="B722" s="54" t="s">
        <v>3019</v>
      </c>
      <c r="C722" s="54" t="s">
        <v>3020</v>
      </c>
      <c r="D722" s="54" t="s">
        <v>50</v>
      </c>
      <c r="E722" s="54" t="s">
        <v>257</v>
      </c>
      <c r="F722" s="55" t="s">
        <v>3021</v>
      </c>
      <c r="G722" s="56">
        <v>43311</v>
      </c>
      <c r="H722" s="59" t="s">
        <v>3022</v>
      </c>
      <c r="I722" s="67">
        <v>43691</v>
      </c>
      <c r="J722" s="54" t="s">
        <v>54</v>
      </c>
      <c r="K722" s="54" t="s">
        <v>55</v>
      </c>
      <c r="L722" s="56"/>
      <c r="M722" s="56"/>
      <c r="N722" s="54"/>
      <c r="O722" s="54"/>
      <c r="P722" s="54"/>
      <c r="Q722" s="54"/>
      <c r="R722" s="54"/>
      <c r="S722" s="54"/>
      <c r="T722" s="54" t="s">
        <v>56</v>
      </c>
      <c r="U722" s="54" t="s">
        <v>56</v>
      </c>
    </row>
    <row r="723" spans="1:21" ht="100" x14ac:dyDescent="0.25">
      <c r="A723" s="53">
        <v>722</v>
      </c>
      <c r="B723" s="54" t="s">
        <v>3023</v>
      </c>
      <c r="C723" s="54" t="s">
        <v>3024</v>
      </c>
      <c r="D723" s="54" t="s">
        <v>50</v>
      </c>
      <c r="E723" s="54" t="s">
        <v>257</v>
      </c>
      <c r="F723" s="55" t="s">
        <v>3025</v>
      </c>
      <c r="G723" s="56">
        <v>43000</v>
      </c>
      <c r="H723" s="54" t="s">
        <v>3026</v>
      </c>
      <c r="I723" s="57">
        <v>43020</v>
      </c>
      <c r="J723" s="54" t="s">
        <v>54</v>
      </c>
      <c r="K723" s="54" t="s">
        <v>55</v>
      </c>
      <c r="L723" s="56"/>
      <c r="M723" s="56"/>
      <c r="N723" s="54"/>
      <c r="O723" s="54"/>
      <c r="P723" s="54"/>
      <c r="Q723" s="54"/>
      <c r="R723" s="54"/>
      <c r="S723" s="54"/>
      <c r="T723" s="54" t="s">
        <v>56</v>
      </c>
      <c r="U723" s="54" t="s">
        <v>56</v>
      </c>
    </row>
    <row r="724" spans="1:21" ht="100" x14ac:dyDescent="0.25">
      <c r="A724" s="53">
        <v>723</v>
      </c>
      <c r="B724" s="54" t="s">
        <v>3027</v>
      </c>
      <c r="C724" s="54" t="s">
        <v>3028</v>
      </c>
      <c r="D724" s="54" t="s">
        <v>50</v>
      </c>
      <c r="E724" s="54" t="s">
        <v>257</v>
      </c>
      <c r="F724" s="55" t="s">
        <v>3029</v>
      </c>
      <c r="G724" s="56">
        <v>43000</v>
      </c>
      <c r="H724" s="54" t="s">
        <v>3030</v>
      </c>
      <c r="I724" s="57">
        <v>43020</v>
      </c>
      <c r="J724" s="54" t="s">
        <v>54</v>
      </c>
      <c r="K724" s="54" t="s">
        <v>55</v>
      </c>
      <c r="L724" s="56"/>
      <c r="M724" s="56"/>
      <c r="N724" s="54"/>
      <c r="O724" s="54"/>
      <c r="P724" s="54"/>
      <c r="Q724" s="54"/>
      <c r="R724" s="54"/>
      <c r="S724" s="54"/>
      <c r="T724" s="54" t="s">
        <v>56</v>
      </c>
      <c r="U724" s="54" t="s">
        <v>56</v>
      </c>
    </row>
    <row r="725" spans="1:21" ht="100" x14ac:dyDescent="0.25">
      <c r="A725" s="53">
        <v>724</v>
      </c>
      <c r="B725" s="54" t="s">
        <v>3031</v>
      </c>
      <c r="C725" s="54" t="s">
        <v>3032</v>
      </c>
      <c r="D725" s="54" t="s">
        <v>50</v>
      </c>
      <c r="E725" s="54" t="s">
        <v>257</v>
      </c>
      <c r="F725" s="55" t="s">
        <v>3033</v>
      </c>
      <c r="G725" s="56" t="s">
        <v>3034</v>
      </c>
      <c r="H725" s="59" t="s">
        <v>3035</v>
      </c>
      <c r="I725" s="67">
        <v>43788</v>
      </c>
      <c r="J725" s="54" t="s">
        <v>54</v>
      </c>
      <c r="K725" s="54" t="s">
        <v>55</v>
      </c>
      <c r="L725" s="56"/>
      <c r="M725" s="56"/>
      <c r="N725" s="54"/>
      <c r="O725" s="54"/>
      <c r="P725" s="54"/>
      <c r="Q725" s="54"/>
      <c r="R725" s="54"/>
      <c r="S725" s="54"/>
      <c r="T725" s="54" t="s">
        <v>56</v>
      </c>
      <c r="U725" s="54" t="s">
        <v>56</v>
      </c>
    </row>
    <row r="726" spans="1:21" ht="100" x14ac:dyDescent="0.25">
      <c r="A726" s="53">
        <v>725</v>
      </c>
      <c r="B726" s="54" t="s">
        <v>3036</v>
      </c>
      <c r="C726" s="54" t="s">
        <v>3037</v>
      </c>
      <c r="D726" s="54" t="s">
        <v>50</v>
      </c>
      <c r="E726" s="54" t="s">
        <v>257</v>
      </c>
      <c r="F726" s="55" t="s">
        <v>3038</v>
      </c>
      <c r="G726" s="56">
        <v>43524</v>
      </c>
      <c r="H726" s="54" t="s">
        <v>3039</v>
      </c>
      <c r="I726" s="67">
        <v>43649</v>
      </c>
      <c r="J726" s="54" t="s">
        <v>54</v>
      </c>
      <c r="K726" s="54" t="s">
        <v>55</v>
      </c>
      <c r="L726" s="56"/>
      <c r="M726" s="56"/>
      <c r="N726" s="54"/>
      <c r="O726" s="54"/>
      <c r="P726" s="54"/>
      <c r="Q726" s="54"/>
      <c r="R726" s="54"/>
      <c r="S726" s="54"/>
      <c r="T726" s="54" t="s">
        <v>56</v>
      </c>
      <c r="U726" s="54" t="s">
        <v>56</v>
      </c>
    </row>
    <row r="727" spans="1:21" ht="112.5" x14ac:dyDescent="0.25">
      <c r="A727" s="53">
        <v>726</v>
      </c>
      <c r="B727" s="54" t="s">
        <v>3040</v>
      </c>
      <c r="C727" s="54" t="s">
        <v>3041</v>
      </c>
      <c r="D727" s="54" t="s">
        <v>50</v>
      </c>
      <c r="E727" s="54" t="s">
        <v>257</v>
      </c>
      <c r="F727" s="55" t="s">
        <v>3042</v>
      </c>
      <c r="G727" s="56">
        <v>43363</v>
      </c>
      <c r="H727" s="54" t="s">
        <v>3043</v>
      </c>
      <c r="I727" s="57">
        <v>43438</v>
      </c>
      <c r="J727" s="54" t="s">
        <v>103</v>
      </c>
      <c r="K727" s="54" t="s">
        <v>55</v>
      </c>
      <c r="L727" s="56"/>
      <c r="M727" s="56"/>
      <c r="N727" s="54"/>
      <c r="O727" s="54"/>
      <c r="P727" s="54"/>
      <c r="Q727" s="54"/>
      <c r="R727" s="54"/>
      <c r="S727" s="54"/>
      <c r="T727" s="54" t="s">
        <v>56</v>
      </c>
      <c r="U727" s="54" t="s">
        <v>56</v>
      </c>
    </row>
    <row r="728" spans="1:21" ht="137.5" x14ac:dyDescent="0.25">
      <c r="A728" s="53">
        <v>727</v>
      </c>
      <c r="B728" s="54" t="s">
        <v>3044</v>
      </c>
      <c r="C728" s="54" t="s">
        <v>3045</v>
      </c>
      <c r="D728" s="54" t="s">
        <v>59</v>
      </c>
      <c r="E728" s="54" t="s">
        <v>257</v>
      </c>
      <c r="F728" s="55" t="s">
        <v>3046</v>
      </c>
      <c r="G728" s="56">
        <v>42601.338888888902</v>
      </c>
      <c r="H728" s="54" t="s">
        <v>3047</v>
      </c>
      <c r="I728" s="57">
        <v>42640</v>
      </c>
      <c r="J728" s="54" t="s">
        <v>3000</v>
      </c>
      <c r="K728" s="54" t="s">
        <v>55</v>
      </c>
      <c r="L728" s="56"/>
      <c r="M728" s="56"/>
      <c r="N728" s="58"/>
      <c r="O728" s="58"/>
      <c r="P728" s="58"/>
      <c r="Q728" s="59"/>
      <c r="R728" s="58"/>
      <c r="S728" s="58"/>
      <c r="T728" s="54" t="s">
        <v>56</v>
      </c>
      <c r="U728" s="54" t="s">
        <v>56</v>
      </c>
    </row>
    <row r="729" spans="1:21" ht="112.5" x14ac:dyDescent="0.25">
      <c r="A729" s="53">
        <v>728</v>
      </c>
      <c r="B729" s="54" t="s">
        <v>3048</v>
      </c>
      <c r="C729" s="54" t="s">
        <v>3049</v>
      </c>
      <c r="D729" s="54" t="s">
        <v>50</v>
      </c>
      <c r="E729" s="54" t="s">
        <v>257</v>
      </c>
      <c r="F729" s="87" t="s">
        <v>3050</v>
      </c>
      <c r="G729" s="56">
        <v>43837</v>
      </c>
      <c r="H729" s="54" t="s">
        <v>3051</v>
      </c>
      <c r="I729" s="57">
        <v>44007</v>
      </c>
      <c r="J729" s="54" t="s">
        <v>103</v>
      </c>
      <c r="K729" s="54" t="s">
        <v>55</v>
      </c>
      <c r="L729" s="56"/>
      <c r="M729" s="56"/>
      <c r="N729" s="54"/>
      <c r="O729" s="54"/>
      <c r="P729" s="54"/>
      <c r="Q729" s="54"/>
      <c r="R729" s="54"/>
      <c r="S729" s="54"/>
      <c r="T729" s="54" t="s">
        <v>56</v>
      </c>
      <c r="U729" s="54" t="s">
        <v>56</v>
      </c>
    </row>
    <row r="730" spans="1:21" ht="137.5" x14ac:dyDescent="0.25">
      <c r="A730" s="53">
        <v>729</v>
      </c>
      <c r="B730" s="54" t="s">
        <v>3052</v>
      </c>
      <c r="C730" s="54" t="s">
        <v>3053</v>
      </c>
      <c r="D730" s="54" t="s">
        <v>59</v>
      </c>
      <c r="E730" s="54" t="s">
        <v>257</v>
      </c>
      <c r="F730" s="55" t="s">
        <v>3054</v>
      </c>
      <c r="G730" s="56">
        <v>43027</v>
      </c>
      <c r="H730" s="54" t="s">
        <v>3055</v>
      </c>
      <c r="I730" s="57">
        <v>43047</v>
      </c>
      <c r="J730" s="54" t="s">
        <v>965</v>
      </c>
      <c r="K730" s="54" t="s">
        <v>81</v>
      </c>
      <c r="L730" s="56"/>
      <c r="M730" s="56"/>
      <c r="N730" s="54"/>
      <c r="O730" s="54"/>
      <c r="P730" s="54"/>
      <c r="Q730" s="54"/>
      <c r="R730" s="54"/>
      <c r="S730" s="54"/>
      <c r="T730" s="54" t="s">
        <v>56</v>
      </c>
      <c r="U730" s="54" t="s">
        <v>56</v>
      </c>
    </row>
    <row r="731" spans="1:21" ht="137.5" x14ac:dyDescent="0.25">
      <c r="A731" s="53">
        <v>730</v>
      </c>
      <c r="B731" s="54" t="s">
        <v>3056</v>
      </c>
      <c r="C731" s="54" t="s">
        <v>3057</v>
      </c>
      <c r="D731" s="54" t="s">
        <v>59</v>
      </c>
      <c r="E731" s="54" t="s">
        <v>257</v>
      </c>
      <c r="F731" s="55" t="s">
        <v>3058</v>
      </c>
      <c r="G731" s="56">
        <v>43027</v>
      </c>
      <c r="H731" s="54" t="s">
        <v>3059</v>
      </c>
      <c r="I731" s="57">
        <v>43046</v>
      </c>
      <c r="J731" s="54" t="s">
        <v>965</v>
      </c>
      <c r="K731" s="54" t="s">
        <v>81</v>
      </c>
      <c r="L731" s="56"/>
      <c r="M731" s="56"/>
      <c r="N731" s="54"/>
      <c r="O731" s="54"/>
      <c r="P731" s="54"/>
      <c r="Q731" s="54"/>
      <c r="R731" s="54"/>
      <c r="S731" s="54"/>
      <c r="T731" s="54" t="s">
        <v>56</v>
      </c>
      <c r="U731" s="54" t="s">
        <v>56</v>
      </c>
    </row>
    <row r="732" spans="1:21" ht="137.5" x14ac:dyDescent="0.25">
      <c r="A732" s="53">
        <v>731</v>
      </c>
      <c r="B732" s="54" t="s">
        <v>3060</v>
      </c>
      <c r="C732" s="54" t="s">
        <v>3061</v>
      </c>
      <c r="D732" s="54" t="s">
        <v>59</v>
      </c>
      <c r="E732" s="54" t="s">
        <v>257</v>
      </c>
      <c r="F732" s="55" t="s">
        <v>3062</v>
      </c>
      <c r="G732" s="56">
        <v>42600.755509259303</v>
      </c>
      <c r="H732" s="54" t="s">
        <v>3063</v>
      </c>
      <c r="I732" s="57">
        <v>42647</v>
      </c>
      <c r="J732" s="54" t="s">
        <v>965</v>
      </c>
      <c r="K732" s="54" t="s">
        <v>55</v>
      </c>
      <c r="L732" s="56"/>
      <c r="M732" s="56"/>
      <c r="N732" s="58"/>
      <c r="O732" s="58"/>
      <c r="P732" s="58"/>
      <c r="Q732" s="59"/>
      <c r="R732" s="58"/>
      <c r="S732" s="58"/>
      <c r="T732" s="54" t="s">
        <v>56</v>
      </c>
      <c r="U732" s="54" t="s">
        <v>56</v>
      </c>
    </row>
    <row r="733" spans="1:21" ht="100" x14ac:dyDescent="0.25">
      <c r="A733" s="53">
        <v>732</v>
      </c>
      <c r="B733" s="54" t="s">
        <v>3064</v>
      </c>
      <c r="C733" s="54" t="s">
        <v>3065</v>
      </c>
      <c r="D733" s="54" t="s">
        <v>59</v>
      </c>
      <c r="E733" s="54" t="s">
        <v>257</v>
      </c>
      <c r="F733" s="55" t="s">
        <v>3066</v>
      </c>
      <c r="G733" s="56">
        <v>42600.7554282407</v>
      </c>
      <c r="H733" s="54" t="s">
        <v>3067</v>
      </c>
      <c r="I733" s="57">
        <v>42640</v>
      </c>
      <c r="J733" s="54" t="s">
        <v>999</v>
      </c>
      <c r="K733" s="54" t="s">
        <v>55</v>
      </c>
      <c r="L733" s="56"/>
      <c r="M733" s="56"/>
      <c r="N733" s="58"/>
      <c r="O733" s="58"/>
      <c r="P733" s="58"/>
      <c r="Q733" s="59"/>
      <c r="R733" s="58"/>
      <c r="S733" s="58"/>
      <c r="T733" s="54" t="s">
        <v>56</v>
      </c>
      <c r="U733" s="54" t="s">
        <v>56</v>
      </c>
    </row>
    <row r="734" spans="1:21" ht="125" x14ac:dyDescent="0.25">
      <c r="A734" s="53">
        <v>733</v>
      </c>
      <c r="B734" s="54" t="s">
        <v>3068</v>
      </c>
      <c r="C734" s="54" t="s">
        <v>3069</v>
      </c>
      <c r="D734" s="54" t="s">
        <v>59</v>
      </c>
      <c r="E734" s="54" t="s">
        <v>257</v>
      </c>
      <c r="F734" s="55" t="s">
        <v>3070</v>
      </c>
      <c r="G734" s="56">
        <v>42685</v>
      </c>
      <c r="H734" s="54" t="s">
        <v>3071</v>
      </c>
      <c r="I734" s="57">
        <v>42754</v>
      </c>
      <c r="J734" s="54" t="s">
        <v>114</v>
      </c>
      <c r="K734" s="54" t="s">
        <v>55</v>
      </c>
      <c r="L734" s="56"/>
      <c r="M734" s="56"/>
      <c r="N734" s="58"/>
      <c r="O734" s="58"/>
      <c r="P734" s="58"/>
      <c r="Q734" s="59"/>
      <c r="R734" s="58"/>
      <c r="S734" s="58"/>
      <c r="T734" s="54" t="s">
        <v>56</v>
      </c>
      <c r="U734" s="54" t="s">
        <v>56</v>
      </c>
    </row>
    <row r="735" spans="1:21" ht="137.5" x14ac:dyDescent="0.25">
      <c r="A735" s="53">
        <v>734</v>
      </c>
      <c r="B735" s="54" t="s">
        <v>3072</v>
      </c>
      <c r="C735" s="54" t="s">
        <v>3073</v>
      </c>
      <c r="D735" s="54" t="s">
        <v>59</v>
      </c>
      <c r="E735" s="54" t="s">
        <v>257</v>
      </c>
      <c r="F735" s="55" t="s">
        <v>3074</v>
      </c>
      <c r="G735" s="56">
        <v>42601.338854166701</v>
      </c>
      <c r="H735" s="54" t="s">
        <v>3075</v>
      </c>
      <c r="I735" s="57">
        <v>42640</v>
      </c>
      <c r="J735" s="54" t="s">
        <v>965</v>
      </c>
      <c r="K735" s="54" t="s">
        <v>55</v>
      </c>
      <c r="L735" s="56"/>
      <c r="M735" s="56"/>
      <c r="N735" s="58"/>
      <c r="O735" s="58"/>
      <c r="P735" s="58"/>
      <c r="Q735" s="59"/>
      <c r="R735" s="58"/>
      <c r="S735" s="58"/>
      <c r="T735" s="54" t="s">
        <v>56</v>
      </c>
      <c r="U735" s="54" t="s">
        <v>56</v>
      </c>
    </row>
    <row r="736" spans="1:21" ht="137.5" x14ac:dyDescent="0.25">
      <c r="A736" s="53">
        <v>735</v>
      </c>
      <c r="B736" s="54" t="s">
        <v>3076</v>
      </c>
      <c r="C736" s="54" t="s">
        <v>3077</v>
      </c>
      <c r="D736" s="54" t="s">
        <v>59</v>
      </c>
      <c r="E736" s="54" t="s">
        <v>257</v>
      </c>
      <c r="F736" s="55" t="s">
        <v>3078</v>
      </c>
      <c r="G736" s="56">
        <v>43027</v>
      </c>
      <c r="H736" s="54" t="s">
        <v>3079</v>
      </c>
      <c r="I736" s="57">
        <v>43046</v>
      </c>
      <c r="J736" s="54" t="s">
        <v>965</v>
      </c>
      <c r="K736" s="54" t="s">
        <v>81</v>
      </c>
      <c r="L736" s="56"/>
      <c r="M736" s="56"/>
      <c r="N736" s="54"/>
      <c r="O736" s="54"/>
      <c r="P736" s="54"/>
      <c r="Q736" s="54"/>
      <c r="R736" s="54"/>
      <c r="S736" s="54"/>
      <c r="T736" s="54" t="s">
        <v>56</v>
      </c>
      <c r="U736" s="54" t="s">
        <v>56</v>
      </c>
    </row>
    <row r="737" spans="1:21" ht="137.5" x14ac:dyDescent="0.25">
      <c r="A737" s="53">
        <v>736</v>
      </c>
      <c r="B737" s="54" t="s">
        <v>3080</v>
      </c>
      <c r="C737" s="54" t="s">
        <v>3081</v>
      </c>
      <c r="D737" s="54" t="s">
        <v>59</v>
      </c>
      <c r="E737" s="54" t="s">
        <v>257</v>
      </c>
      <c r="F737" s="55" t="s">
        <v>3082</v>
      </c>
      <c r="G737" s="56">
        <v>42601.338877314804</v>
      </c>
      <c r="H737" s="54" t="s">
        <v>3083</v>
      </c>
      <c r="I737" s="57">
        <v>42640</v>
      </c>
      <c r="J737" s="54" t="s">
        <v>965</v>
      </c>
      <c r="K737" s="54" t="s">
        <v>55</v>
      </c>
      <c r="L737" s="56"/>
      <c r="M737" s="56"/>
      <c r="N737" s="58"/>
      <c r="O737" s="58"/>
      <c r="P737" s="58"/>
      <c r="Q737" s="59"/>
      <c r="R737" s="58"/>
      <c r="S737" s="58"/>
      <c r="T737" s="54" t="s">
        <v>56</v>
      </c>
      <c r="U737" s="54" t="s">
        <v>56</v>
      </c>
    </row>
    <row r="738" spans="1:21" ht="100" x14ac:dyDescent="0.25">
      <c r="A738" s="53">
        <v>737</v>
      </c>
      <c r="B738" s="54" t="s">
        <v>3084</v>
      </c>
      <c r="C738" s="54" t="s">
        <v>3085</v>
      </c>
      <c r="D738" s="54" t="s">
        <v>50</v>
      </c>
      <c r="E738" s="54" t="s">
        <v>257</v>
      </c>
      <c r="F738" s="55" t="s">
        <v>3086</v>
      </c>
      <c r="G738" s="56">
        <v>42689</v>
      </c>
      <c r="H738" s="54" t="s">
        <v>3087</v>
      </c>
      <c r="I738" s="57">
        <v>42733</v>
      </c>
      <c r="J738" s="54" t="s">
        <v>54</v>
      </c>
      <c r="K738" s="54" t="s">
        <v>55</v>
      </c>
      <c r="L738" s="56"/>
      <c r="M738" s="56"/>
      <c r="N738" s="58"/>
      <c r="O738" s="58"/>
      <c r="P738" s="58"/>
      <c r="Q738" s="59"/>
      <c r="R738" s="58"/>
      <c r="S738" s="58"/>
      <c r="T738" s="54" t="s">
        <v>56</v>
      </c>
      <c r="U738" s="54" t="s">
        <v>56</v>
      </c>
    </row>
    <row r="739" spans="1:21" ht="125" x14ac:dyDescent="0.25">
      <c r="A739" s="53">
        <v>738</v>
      </c>
      <c r="B739" s="54" t="s">
        <v>3088</v>
      </c>
      <c r="C739" s="54" t="s">
        <v>3089</v>
      </c>
      <c r="D739" s="54" t="s">
        <v>59</v>
      </c>
      <c r="E739" s="54" t="s">
        <v>257</v>
      </c>
      <c r="F739" s="55" t="s">
        <v>3090</v>
      </c>
      <c r="G739" s="56">
        <v>42605.041724536997</v>
      </c>
      <c r="H739" s="54" t="s">
        <v>3091</v>
      </c>
      <c r="I739" s="57">
        <v>42640</v>
      </c>
      <c r="J739" s="54" t="s">
        <v>80</v>
      </c>
      <c r="K739" s="54" t="s">
        <v>55</v>
      </c>
      <c r="L739" s="56"/>
      <c r="M739" s="56"/>
      <c r="N739" s="58"/>
      <c r="O739" s="58"/>
      <c r="P739" s="58"/>
      <c r="Q739" s="59"/>
      <c r="R739" s="58"/>
      <c r="S739" s="58"/>
      <c r="T739" s="54" t="s">
        <v>56</v>
      </c>
      <c r="U739" s="54" t="s">
        <v>56</v>
      </c>
    </row>
    <row r="740" spans="1:21" ht="37.5" x14ac:dyDescent="0.25">
      <c r="A740" s="53">
        <v>739</v>
      </c>
      <c r="B740" s="54" t="s">
        <v>3092</v>
      </c>
      <c r="C740" s="54" t="s">
        <v>3093</v>
      </c>
      <c r="D740" s="54" t="s">
        <v>59</v>
      </c>
      <c r="E740" s="54" t="s">
        <v>257</v>
      </c>
      <c r="F740" s="55" t="s">
        <v>3094</v>
      </c>
      <c r="G740" s="56">
        <v>43536</v>
      </c>
      <c r="H740" s="54" t="s">
        <v>3095</v>
      </c>
      <c r="I740" s="57">
        <v>43585</v>
      </c>
      <c r="J740" s="54" t="s">
        <v>986</v>
      </c>
      <c r="K740" s="54" t="s">
        <v>81</v>
      </c>
      <c r="L740" s="56"/>
      <c r="M740" s="56"/>
      <c r="N740" s="54"/>
      <c r="O740" s="54"/>
      <c r="P740" s="54"/>
      <c r="Q740" s="54"/>
      <c r="R740" s="54"/>
      <c r="S740" s="54"/>
      <c r="T740" s="54" t="s">
        <v>56</v>
      </c>
      <c r="U740" s="54" t="s">
        <v>56</v>
      </c>
    </row>
    <row r="741" spans="1:21" ht="125" x14ac:dyDescent="0.25">
      <c r="A741" s="53">
        <v>740</v>
      </c>
      <c r="B741" s="54" t="s">
        <v>3096</v>
      </c>
      <c r="C741" s="54" t="s">
        <v>3097</v>
      </c>
      <c r="D741" s="54" t="s">
        <v>59</v>
      </c>
      <c r="E741" s="54" t="s">
        <v>257</v>
      </c>
      <c r="F741" s="55" t="s">
        <v>3098</v>
      </c>
      <c r="G741" s="56">
        <v>42600.7554282407</v>
      </c>
      <c r="H741" s="54" t="s">
        <v>3099</v>
      </c>
      <c r="I741" s="57">
        <v>42640</v>
      </c>
      <c r="J741" s="54" t="s">
        <v>80</v>
      </c>
      <c r="K741" s="54" t="s">
        <v>55</v>
      </c>
      <c r="L741" s="56"/>
      <c r="M741" s="56"/>
      <c r="N741" s="58"/>
      <c r="O741" s="58"/>
      <c r="P741" s="58"/>
      <c r="Q741" s="59"/>
      <c r="R741" s="58"/>
      <c r="S741" s="58"/>
      <c r="T741" s="54" t="s">
        <v>56</v>
      </c>
      <c r="U741" s="54" t="s">
        <v>56</v>
      </c>
    </row>
    <row r="742" spans="1:21" ht="100" x14ac:dyDescent="0.25">
      <c r="A742" s="53">
        <v>741</v>
      </c>
      <c r="B742" s="54" t="s">
        <v>3100</v>
      </c>
      <c r="C742" s="54" t="s">
        <v>3101</v>
      </c>
      <c r="D742" s="54" t="s">
        <v>50</v>
      </c>
      <c r="E742" s="54" t="s">
        <v>257</v>
      </c>
      <c r="F742" s="55" t="s">
        <v>3102</v>
      </c>
      <c r="G742" s="56">
        <v>43000</v>
      </c>
      <c r="H742" s="54" t="s">
        <v>3103</v>
      </c>
      <c r="I742" s="57">
        <v>43020</v>
      </c>
      <c r="J742" s="54" t="s">
        <v>54</v>
      </c>
      <c r="K742" s="54" t="s">
        <v>55</v>
      </c>
      <c r="L742" s="56"/>
      <c r="M742" s="56"/>
      <c r="N742" s="54"/>
      <c r="O742" s="54"/>
      <c r="P742" s="54"/>
      <c r="Q742" s="54"/>
      <c r="R742" s="54"/>
      <c r="S742" s="54"/>
      <c r="T742" s="54" t="s">
        <v>56</v>
      </c>
      <c r="U742" s="54" t="s">
        <v>56</v>
      </c>
    </row>
    <row r="743" spans="1:21" ht="100" x14ac:dyDescent="0.25">
      <c r="A743" s="53">
        <v>742</v>
      </c>
      <c r="B743" s="54" t="s">
        <v>3104</v>
      </c>
      <c r="C743" s="54" t="s">
        <v>3105</v>
      </c>
      <c r="D743" s="54" t="s">
        <v>50</v>
      </c>
      <c r="E743" s="54" t="s">
        <v>257</v>
      </c>
      <c r="F743" s="55" t="s">
        <v>3106</v>
      </c>
      <c r="G743" s="56">
        <v>42685</v>
      </c>
      <c r="H743" s="54" t="s">
        <v>3107</v>
      </c>
      <c r="I743" s="57">
        <v>42754</v>
      </c>
      <c r="J743" s="54" t="s">
        <v>54</v>
      </c>
      <c r="K743" s="54" t="s">
        <v>55</v>
      </c>
      <c r="L743" s="56"/>
      <c r="M743" s="56"/>
      <c r="N743" s="58"/>
      <c r="O743" s="58"/>
      <c r="P743" s="58"/>
      <c r="Q743" s="59"/>
      <c r="R743" s="58"/>
      <c r="S743" s="58"/>
      <c r="T743" s="54" t="s">
        <v>56</v>
      </c>
      <c r="U743" s="54" t="s">
        <v>56</v>
      </c>
    </row>
    <row r="744" spans="1:21" ht="37.5" x14ac:dyDescent="0.25">
      <c r="A744" s="53">
        <v>743</v>
      </c>
      <c r="B744" s="54" t="s">
        <v>3108</v>
      </c>
      <c r="C744" s="54" t="s">
        <v>3109</v>
      </c>
      <c r="D744" s="54" t="s">
        <v>59</v>
      </c>
      <c r="E744" s="54" t="s">
        <v>257</v>
      </c>
      <c r="F744" s="55" t="s">
        <v>3110</v>
      </c>
      <c r="G744" s="56">
        <v>43195</v>
      </c>
      <c r="H744" s="54" t="s">
        <v>3111</v>
      </c>
      <c r="I744" s="57">
        <v>43213</v>
      </c>
      <c r="J744" s="54" t="s">
        <v>986</v>
      </c>
      <c r="K744" s="54" t="s">
        <v>81</v>
      </c>
      <c r="L744" s="56"/>
      <c r="M744" s="56"/>
      <c r="N744" s="54"/>
      <c r="O744" s="54"/>
      <c r="P744" s="54"/>
      <c r="Q744" s="54"/>
      <c r="R744" s="54"/>
      <c r="S744" s="54"/>
      <c r="T744" s="54" t="s">
        <v>56</v>
      </c>
      <c r="U744" s="54" t="s">
        <v>56</v>
      </c>
    </row>
    <row r="745" spans="1:21" ht="100" x14ac:dyDescent="0.25">
      <c r="A745" s="53">
        <v>744</v>
      </c>
      <c r="B745" s="54" t="s">
        <v>3112</v>
      </c>
      <c r="C745" s="54" t="s">
        <v>3113</v>
      </c>
      <c r="D745" s="54" t="s">
        <v>50</v>
      </c>
      <c r="E745" s="54" t="s">
        <v>257</v>
      </c>
      <c r="F745" s="55" t="s">
        <v>3114</v>
      </c>
      <c r="G745" s="56">
        <v>42685</v>
      </c>
      <c r="H745" s="54" t="s">
        <v>3115</v>
      </c>
      <c r="I745" s="57">
        <v>42754</v>
      </c>
      <c r="J745" s="54" t="s">
        <v>54</v>
      </c>
      <c r="K745" s="54" t="s">
        <v>55</v>
      </c>
      <c r="L745" s="56"/>
      <c r="M745" s="56"/>
      <c r="N745" s="58"/>
      <c r="O745" s="58"/>
      <c r="P745" s="58"/>
      <c r="Q745" s="59"/>
      <c r="R745" s="58"/>
      <c r="S745" s="58"/>
      <c r="T745" s="54" t="s">
        <v>56</v>
      </c>
      <c r="U745" s="54" t="s">
        <v>56</v>
      </c>
    </row>
    <row r="746" spans="1:21" ht="112.5" x14ac:dyDescent="0.25">
      <c r="A746" s="53">
        <v>745</v>
      </c>
      <c r="B746" s="54" t="s">
        <v>3116</v>
      </c>
      <c r="C746" s="54" t="s">
        <v>3117</v>
      </c>
      <c r="D746" s="54" t="s">
        <v>50</v>
      </c>
      <c r="E746" s="54" t="s">
        <v>257</v>
      </c>
      <c r="F746" s="65" t="s">
        <v>3118</v>
      </c>
      <c r="G746" s="66">
        <v>43803</v>
      </c>
      <c r="H746" s="64" t="s">
        <v>3119</v>
      </c>
      <c r="I746" s="67">
        <v>43822</v>
      </c>
      <c r="J746" s="54" t="s">
        <v>103</v>
      </c>
      <c r="K746" s="54" t="s">
        <v>55</v>
      </c>
      <c r="L746" s="56"/>
      <c r="M746" s="56"/>
      <c r="N746" s="54"/>
      <c r="O746" s="54"/>
      <c r="P746" s="54"/>
      <c r="Q746" s="54"/>
      <c r="R746" s="54"/>
      <c r="S746" s="54"/>
      <c r="T746" s="54" t="s">
        <v>56</v>
      </c>
      <c r="U746" s="54" t="s">
        <v>56</v>
      </c>
    </row>
    <row r="747" spans="1:21" ht="100" x14ac:dyDescent="0.25">
      <c r="A747" s="53">
        <v>746</v>
      </c>
      <c r="B747" s="54" t="s">
        <v>3120</v>
      </c>
      <c r="C747" s="54" t="s">
        <v>3121</v>
      </c>
      <c r="D747" s="54" t="s">
        <v>50</v>
      </c>
      <c r="E747" s="54" t="s">
        <v>257</v>
      </c>
      <c r="F747" s="55" t="s">
        <v>3122</v>
      </c>
      <c r="G747" s="56">
        <v>43307</v>
      </c>
      <c r="H747" s="54" t="s">
        <v>3123</v>
      </c>
      <c r="I747" s="67">
        <v>43803</v>
      </c>
      <c r="J747" s="54" t="s">
        <v>54</v>
      </c>
      <c r="K747" s="54" t="s">
        <v>55</v>
      </c>
      <c r="L747" s="56"/>
      <c r="M747" s="56"/>
      <c r="N747" s="54"/>
      <c r="O747" s="54"/>
      <c r="P747" s="54"/>
      <c r="Q747" s="54"/>
      <c r="R747" s="54"/>
      <c r="S747" s="54"/>
      <c r="T747" s="54" t="s">
        <v>56</v>
      </c>
      <c r="U747" s="54" t="s">
        <v>56</v>
      </c>
    </row>
    <row r="748" spans="1:21" ht="112.5" x14ac:dyDescent="0.25">
      <c r="A748" s="53">
        <v>747</v>
      </c>
      <c r="B748" s="54" t="s">
        <v>3124</v>
      </c>
      <c r="C748" s="54" t="s">
        <v>3125</v>
      </c>
      <c r="D748" s="54" t="s">
        <v>50</v>
      </c>
      <c r="E748" s="54" t="s">
        <v>257</v>
      </c>
      <c r="F748" s="65" t="s">
        <v>3126</v>
      </c>
      <c r="G748" s="66">
        <v>43803</v>
      </c>
      <c r="H748" s="64" t="s">
        <v>3127</v>
      </c>
      <c r="I748" s="67">
        <v>43823</v>
      </c>
      <c r="J748" s="54" t="s">
        <v>103</v>
      </c>
      <c r="K748" s="54" t="s">
        <v>55</v>
      </c>
      <c r="L748" s="56"/>
      <c r="M748" s="56"/>
      <c r="N748" s="54"/>
      <c r="O748" s="54"/>
      <c r="P748" s="54"/>
      <c r="Q748" s="54"/>
      <c r="R748" s="54"/>
      <c r="S748" s="54"/>
      <c r="T748" s="54" t="s">
        <v>56</v>
      </c>
      <c r="U748" s="54" t="s">
        <v>56</v>
      </c>
    </row>
    <row r="749" spans="1:21" ht="100" x14ac:dyDescent="0.25">
      <c r="A749" s="53">
        <v>748</v>
      </c>
      <c r="B749" s="54" t="s">
        <v>3128</v>
      </c>
      <c r="C749" s="54" t="s">
        <v>3129</v>
      </c>
      <c r="D749" s="54" t="s">
        <v>50</v>
      </c>
      <c r="E749" s="54" t="s">
        <v>257</v>
      </c>
      <c r="F749" s="55" t="s">
        <v>3130</v>
      </c>
      <c r="G749" s="56">
        <v>43000</v>
      </c>
      <c r="H749" s="54" t="s">
        <v>3131</v>
      </c>
      <c r="I749" s="57">
        <v>43020</v>
      </c>
      <c r="J749" s="54" t="s">
        <v>54</v>
      </c>
      <c r="K749" s="54" t="s">
        <v>81</v>
      </c>
      <c r="L749" s="56"/>
      <c r="M749" s="56"/>
      <c r="N749" s="54"/>
      <c r="O749" s="54"/>
      <c r="P749" s="54"/>
      <c r="Q749" s="54"/>
      <c r="R749" s="54"/>
      <c r="S749" s="54"/>
      <c r="T749" s="54" t="s">
        <v>56</v>
      </c>
      <c r="U749" s="54" t="s">
        <v>56</v>
      </c>
    </row>
    <row r="750" spans="1:21" ht="100" x14ac:dyDescent="0.25">
      <c r="A750" s="53">
        <v>749</v>
      </c>
      <c r="B750" s="54" t="s">
        <v>3132</v>
      </c>
      <c r="C750" s="54" t="s">
        <v>3133</v>
      </c>
      <c r="D750" s="54" t="s">
        <v>50</v>
      </c>
      <c r="E750" s="54" t="s">
        <v>257</v>
      </c>
      <c r="F750" s="55" t="s">
        <v>3134</v>
      </c>
      <c r="G750" s="56">
        <v>42685</v>
      </c>
      <c r="H750" s="54" t="s">
        <v>3135</v>
      </c>
      <c r="I750" s="57">
        <v>42754</v>
      </c>
      <c r="J750" s="54" t="s">
        <v>54</v>
      </c>
      <c r="K750" s="54" t="s">
        <v>55</v>
      </c>
      <c r="L750" s="56"/>
      <c r="M750" s="56"/>
      <c r="N750" s="58"/>
      <c r="O750" s="58"/>
      <c r="P750" s="58"/>
      <c r="Q750" s="59"/>
      <c r="R750" s="58"/>
      <c r="S750" s="58"/>
      <c r="T750" s="54" t="s">
        <v>56</v>
      </c>
      <c r="U750" s="54" t="s">
        <v>56</v>
      </c>
    </row>
    <row r="751" spans="1:21" ht="100" x14ac:dyDescent="0.25">
      <c r="A751" s="53">
        <v>750</v>
      </c>
      <c r="B751" s="54" t="s">
        <v>3136</v>
      </c>
      <c r="C751" s="54" t="s">
        <v>3137</v>
      </c>
      <c r="D751" s="54" t="s">
        <v>59</v>
      </c>
      <c r="E751" s="54" t="s">
        <v>257</v>
      </c>
      <c r="F751" s="55" t="s">
        <v>3138</v>
      </c>
      <c r="G751" s="56">
        <v>42600.7555208333</v>
      </c>
      <c r="H751" s="54" t="s">
        <v>3139</v>
      </c>
      <c r="I751" s="57">
        <v>42647</v>
      </c>
      <c r="J751" s="54" t="s">
        <v>999</v>
      </c>
      <c r="K751" s="54" t="s">
        <v>55</v>
      </c>
      <c r="L751" s="56"/>
      <c r="M751" s="56"/>
      <c r="N751" s="58"/>
      <c r="O751" s="58"/>
      <c r="P751" s="58"/>
      <c r="Q751" s="59"/>
      <c r="R751" s="58"/>
      <c r="S751" s="58"/>
      <c r="T751" s="54" t="s">
        <v>56</v>
      </c>
      <c r="U751" s="54" t="s">
        <v>56</v>
      </c>
    </row>
    <row r="752" spans="1:21" ht="100" x14ac:dyDescent="0.25">
      <c r="A752" s="53">
        <v>751</v>
      </c>
      <c r="B752" s="54" t="s">
        <v>3140</v>
      </c>
      <c r="C752" s="54" t="s">
        <v>3141</v>
      </c>
      <c r="D752" s="54" t="s">
        <v>50</v>
      </c>
      <c r="E752" s="54" t="s">
        <v>257</v>
      </c>
      <c r="F752" s="55" t="s">
        <v>3142</v>
      </c>
      <c r="G752" s="56">
        <v>43012</v>
      </c>
      <c r="H752" s="54" t="s">
        <v>3143</v>
      </c>
      <c r="I752" s="57">
        <v>43038</v>
      </c>
      <c r="J752" s="54" t="s">
        <v>54</v>
      </c>
      <c r="K752" s="54" t="s">
        <v>55</v>
      </c>
      <c r="L752" s="56"/>
      <c r="M752" s="56"/>
      <c r="N752" s="54"/>
      <c r="O752" s="54"/>
      <c r="P752" s="54"/>
      <c r="Q752" s="54"/>
      <c r="R752" s="54"/>
      <c r="S752" s="54"/>
      <c r="T752" s="54" t="s">
        <v>56</v>
      </c>
      <c r="U752" s="54" t="s">
        <v>56</v>
      </c>
    </row>
    <row r="753" spans="1:21" ht="100" x14ac:dyDescent="0.25">
      <c r="A753" s="53">
        <v>752</v>
      </c>
      <c r="B753" s="54" t="s">
        <v>3144</v>
      </c>
      <c r="C753" s="54" t="s">
        <v>3145</v>
      </c>
      <c r="D753" s="54" t="s">
        <v>50</v>
      </c>
      <c r="E753" s="54" t="s">
        <v>257</v>
      </c>
      <c r="F753" s="55" t="s">
        <v>3146</v>
      </c>
      <c r="G753" s="56">
        <v>42685</v>
      </c>
      <c r="H753" s="54" t="s">
        <v>3147</v>
      </c>
      <c r="I753" s="57">
        <v>42754</v>
      </c>
      <c r="J753" s="54" t="s">
        <v>54</v>
      </c>
      <c r="K753" s="54" t="s">
        <v>81</v>
      </c>
      <c r="L753" s="56"/>
      <c r="M753" s="56"/>
      <c r="N753" s="58"/>
      <c r="O753" s="58"/>
      <c r="P753" s="58"/>
      <c r="Q753" s="59"/>
      <c r="R753" s="58"/>
      <c r="S753" s="58"/>
      <c r="T753" s="54" t="s">
        <v>56</v>
      </c>
      <c r="U753" s="54" t="s">
        <v>56</v>
      </c>
    </row>
    <row r="754" spans="1:21" ht="100" x14ac:dyDescent="0.25">
      <c r="A754" s="53">
        <v>753</v>
      </c>
      <c r="B754" s="54" t="s">
        <v>3148</v>
      </c>
      <c r="C754" s="54" t="s">
        <v>3149</v>
      </c>
      <c r="D754" s="54" t="s">
        <v>50</v>
      </c>
      <c r="E754" s="54" t="s">
        <v>257</v>
      </c>
      <c r="F754" s="55" t="s">
        <v>3150</v>
      </c>
      <c r="G754" s="56">
        <v>42685</v>
      </c>
      <c r="H754" s="54" t="s">
        <v>3151</v>
      </c>
      <c r="I754" s="57">
        <v>42754</v>
      </c>
      <c r="J754" s="54" t="s">
        <v>54</v>
      </c>
      <c r="K754" s="54" t="s">
        <v>55</v>
      </c>
      <c r="L754" s="56"/>
      <c r="M754" s="56"/>
      <c r="N754" s="58"/>
      <c r="O754" s="58"/>
      <c r="P754" s="58"/>
      <c r="Q754" s="59"/>
      <c r="R754" s="58"/>
      <c r="S754" s="58"/>
      <c r="T754" s="54" t="s">
        <v>56</v>
      </c>
      <c r="U754" s="54" t="s">
        <v>56</v>
      </c>
    </row>
    <row r="755" spans="1:21" ht="100" x14ac:dyDescent="0.25">
      <c r="A755" s="53">
        <v>754</v>
      </c>
      <c r="B755" s="54" t="s">
        <v>3152</v>
      </c>
      <c r="C755" s="64" t="s">
        <v>3153</v>
      </c>
      <c r="D755" s="54" t="s">
        <v>50</v>
      </c>
      <c r="E755" s="54" t="s">
        <v>257</v>
      </c>
      <c r="F755" s="65" t="s">
        <v>3154</v>
      </c>
      <c r="G755" s="66">
        <v>43728</v>
      </c>
      <c r="H755" s="64" t="s">
        <v>3155</v>
      </c>
      <c r="I755" s="67">
        <v>43740</v>
      </c>
      <c r="J755" s="54" t="s">
        <v>54</v>
      </c>
      <c r="K755" s="54" t="s">
        <v>55</v>
      </c>
      <c r="L755" s="56"/>
      <c r="M755" s="56"/>
      <c r="N755" s="54"/>
      <c r="O755" s="54"/>
      <c r="P755" s="54"/>
      <c r="Q755" s="54"/>
      <c r="R755" s="54"/>
      <c r="S755" s="54"/>
      <c r="T755" s="54" t="s">
        <v>56</v>
      </c>
      <c r="U755" s="54" t="s">
        <v>56</v>
      </c>
    </row>
    <row r="756" spans="1:21" ht="100" x14ac:dyDescent="0.25">
      <c r="A756" s="53">
        <v>755</v>
      </c>
      <c r="B756" s="79" t="s">
        <v>3156</v>
      </c>
      <c r="C756" s="64" t="s">
        <v>3157</v>
      </c>
      <c r="D756" s="54" t="s">
        <v>50</v>
      </c>
      <c r="E756" s="54" t="s">
        <v>257</v>
      </c>
      <c r="F756" s="65" t="s">
        <v>3158</v>
      </c>
      <c r="G756" s="66">
        <v>43696</v>
      </c>
      <c r="H756" s="64" t="s">
        <v>3159</v>
      </c>
      <c r="I756" s="67">
        <v>43707</v>
      </c>
      <c r="J756" s="54" t="s">
        <v>54</v>
      </c>
      <c r="K756" s="54" t="s">
        <v>55</v>
      </c>
      <c r="L756" s="56"/>
      <c r="M756" s="56"/>
      <c r="N756" s="54"/>
      <c r="O756" s="54"/>
      <c r="P756" s="54"/>
      <c r="Q756" s="54"/>
      <c r="R756" s="54"/>
      <c r="S756" s="54"/>
      <c r="T756" s="54" t="s">
        <v>56</v>
      </c>
      <c r="U756" s="54" t="s">
        <v>56</v>
      </c>
    </row>
    <row r="757" spans="1:21" ht="75" x14ac:dyDescent="0.25">
      <c r="A757" s="53">
        <v>756</v>
      </c>
      <c r="B757" s="54" t="s">
        <v>3160</v>
      </c>
      <c r="C757" s="54" t="s">
        <v>3161</v>
      </c>
      <c r="D757" s="54" t="s">
        <v>59</v>
      </c>
      <c r="E757" s="54" t="s">
        <v>257</v>
      </c>
      <c r="F757" s="55" t="s">
        <v>3162</v>
      </c>
      <c r="G757" s="56">
        <v>43201</v>
      </c>
      <c r="H757" s="54" t="s">
        <v>3163</v>
      </c>
      <c r="I757" s="57">
        <v>43210</v>
      </c>
      <c r="J757" s="54" t="s">
        <v>986</v>
      </c>
      <c r="K757" s="54" t="s">
        <v>81</v>
      </c>
      <c r="L757" s="56"/>
      <c r="M757" s="56"/>
      <c r="N757" s="54"/>
      <c r="O757" s="54"/>
      <c r="P757" s="54"/>
      <c r="Q757" s="54"/>
      <c r="R757" s="54"/>
      <c r="S757" s="54"/>
      <c r="T757" s="54" t="s">
        <v>56</v>
      </c>
      <c r="U757" s="54" t="s">
        <v>56</v>
      </c>
    </row>
    <row r="758" spans="1:21" ht="100" x14ac:dyDescent="0.25">
      <c r="A758" s="53">
        <v>757</v>
      </c>
      <c r="B758" s="54" t="s">
        <v>3164</v>
      </c>
      <c r="C758" s="54" t="s">
        <v>3165</v>
      </c>
      <c r="D758" s="54" t="s">
        <v>50</v>
      </c>
      <c r="E758" s="54" t="s">
        <v>257</v>
      </c>
      <c r="F758" s="55" t="s">
        <v>3166</v>
      </c>
      <c r="G758" s="56">
        <v>42685</v>
      </c>
      <c r="H758" s="54" t="s">
        <v>3167</v>
      </c>
      <c r="I758" s="57">
        <v>42754</v>
      </c>
      <c r="J758" s="54" t="s">
        <v>54</v>
      </c>
      <c r="K758" s="54" t="s">
        <v>55</v>
      </c>
      <c r="L758" s="56"/>
      <c r="M758" s="56"/>
      <c r="N758" s="58"/>
      <c r="O758" s="58"/>
      <c r="P758" s="58"/>
      <c r="Q758" s="59"/>
      <c r="R758" s="58"/>
      <c r="S758" s="58"/>
      <c r="T758" s="54" t="s">
        <v>56</v>
      </c>
      <c r="U758" s="54" t="s">
        <v>56</v>
      </c>
    </row>
    <row r="759" spans="1:21" ht="100" x14ac:dyDescent="0.25">
      <c r="A759" s="53">
        <v>758</v>
      </c>
      <c r="B759" s="54" t="s">
        <v>3168</v>
      </c>
      <c r="C759" s="54" t="s">
        <v>3169</v>
      </c>
      <c r="D759" s="54" t="s">
        <v>50</v>
      </c>
      <c r="E759" s="54" t="s">
        <v>257</v>
      </c>
      <c r="F759" s="55" t="s">
        <v>3170</v>
      </c>
      <c r="G759" s="56">
        <v>42685</v>
      </c>
      <c r="H759" s="54" t="s">
        <v>3171</v>
      </c>
      <c r="I759" s="57">
        <v>42754</v>
      </c>
      <c r="J759" s="54" t="s">
        <v>54</v>
      </c>
      <c r="K759" s="54" t="s">
        <v>55</v>
      </c>
      <c r="L759" s="56"/>
      <c r="M759" s="56"/>
      <c r="N759" s="58"/>
      <c r="O759" s="58"/>
      <c r="P759" s="58"/>
      <c r="Q759" s="59"/>
      <c r="R759" s="58"/>
      <c r="S759" s="58"/>
      <c r="T759" s="54" t="s">
        <v>56</v>
      </c>
      <c r="U759" s="54" t="s">
        <v>56</v>
      </c>
    </row>
    <row r="760" spans="1:21" ht="100" x14ac:dyDescent="0.25">
      <c r="A760" s="53">
        <v>759</v>
      </c>
      <c r="B760" s="54" t="s">
        <v>3172</v>
      </c>
      <c r="C760" s="64" t="s">
        <v>3173</v>
      </c>
      <c r="D760" s="54" t="s">
        <v>173</v>
      </c>
      <c r="E760" s="64" t="s">
        <v>257</v>
      </c>
      <c r="F760" s="65" t="s">
        <v>3174</v>
      </c>
      <c r="G760" s="66">
        <v>43696</v>
      </c>
      <c r="H760" s="64" t="s">
        <v>3175</v>
      </c>
      <c r="I760" s="67">
        <v>43707</v>
      </c>
      <c r="J760" s="54" t="s">
        <v>54</v>
      </c>
      <c r="K760" s="54" t="s">
        <v>176</v>
      </c>
      <c r="L760" s="56"/>
      <c r="M760" s="56"/>
      <c r="N760" s="54"/>
      <c r="O760" s="54"/>
      <c r="P760" s="54" t="s">
        <v>3176</v>
      </c>
      <c r="Q760" s="59">
        <v>44343</v>
      </c>
      <c r="R760" s="54" t="s">
        <v>179</v>
      </c>
      <c r="S760" s="59">
        <v>44377</v>
      </c>
      <c r="T760" s="54" t="s">
        <v>87</v>
      </c>
      <c r="U760" s="58" t="s">
        <v>105</v>
      </c>
    </row>
    <row r="761" spans="1:21" ht="100" x14ac:dyDescent="0.25">
      <c r="A761" s="53">
        <v>760</v>
      </c>
      <c r="B761" s="54" t="s">
        <v>3177</v>
      </c>
      <c r="C761" s="54" t="s">
        <v>3178</v>
      </c>
      <c r="D761" s="54" t="s">
        <v>50</v>
      </c>
      <c r="E761" s="54" t="s">
        <v>257</v>
      </c>
      <c r="F761" s="55" t="s">
        <v>3179</v>
      </c>
      <c r="G761" s="56">
        <v>42685</v>
      </c>
      <c r="H761" s="54" t="s">
        <v>3180</v>
      </c>
      <c r="I761" s="57">
        <v>42754</v>
      </c>
      <c r="J761" s="54" t="s">
        <v>54</v>
      </c>
      <c r="K761" s="54" t="s">
        <v>55</v>
      </c>
      <c r="L761" s="56"/>
      <c r="M761" s="56"/>
      <c r="N761" s="58"/>
      <c r="O761" s="58"/>
      <c r="P761" s="58"/>
      <c r="Q761" s="59"/>
      <c r="R761" s="58"/>
      <c r="S761" s="58"/>
      <c r="T761" s="54" t="s">
        <v>56</v>
      </c>
      <c r="U761" s="54" t="s">
        <v>56</v>
      </c>
    </row>
    <row r="762" spans="1:21" ht="37.5" x14ac:dyDescent="0.25">
      <c r="A762" s="53">
        <v>761</v>
      </c>
      <c r="B762" s="54" t="s">
        <v>3181</v>
      </c>
      <c r="C762" s="64" t="s">
        <v>3182</v>
      </c>
      <c r="D762" s="54" t="s">
        <v>59</v>
      </c>
      <c r="E762" s="54" t="s">
        <v>257</v>
      </c>
      <c r="F762" s="65" t="s">
        <v>3183</v>
      </c>
      <c r="G762" s="66">
        <v>43511</v>
      </c>
      <c r="H762" s="64" t="s">
        <v>3184</v>
      </c>
      <c r="I762" s="67">
        <v>43690</v>
      </c>
      <c r="J762" s="54" t="s">
        <v>986</v>
      </c>
      <c r="K762" s="54" t="s">
        <v>55</v>
      </c>
      <c r="L762" s="56"/>
      <c r="M762" s="56"/>
      <c r="N762" s="54"/>
      <c r="O762" s="54"/>
      <c r="P762" s="54"/>
      <c r="Q762" s="54"/>
      <c r="R762" s="54"/>
      <c r="S762" s="54"/>
      <c r="T762" s="54" t="s">
        <v>56</v>
      </c>
      <c r="U762" s="54" t="s">
        <v>56</v>
      </c>
    </row>
    <row r="763" spans="1:21" ht="125" x14ac:dyDescent="0.25">
      <c r="A763" s="53">
        <v>762</v>
      </c>
      <c r="B763" s="54" t="s">
        <v>3185</v>
      </c>
      <c r="C763" s="54" t="s">
        <v>3186</v>
      </c>
      <c r="D763" s="54" t="s">
        <v>59</v>
      </c>
      <c r="E763" s="54" t="s">
        <v>257</v>
      </c>
      <c r="F763" s="55" t="s">
        <v>3187</v>
      </c>
      <c r="G763" s="56">
        <v>42600.7555208333</v>
      </c>
      <c r="H763" s="54" t="s">
        <v>3188</v>
      </c>
      <c r="I763" s="57">
        <v>42640</v>
      </c>
      <c r="J763" s="54" t="s">
        <v>80</v>
      </c>
      <c r="K763" s="54" t="s">
        <v>55</v>
      </c>
      <c r="L763" s="56"/>
      <c r="M763" s="56"/>
      <c r="N763" s="58"/>
      <c r="O763" s="58"/>
      <c r="P763" s="58"/>
      <c r="Q763" s="59"/>
      <c r="R763" s="58"/>
      <c r="S763" s="58"/>
      <c r="T763" s="54" t="s">
        <v>56</v>
      </c>
      <c r="U763" s="54" t="s">
        <v>56</v>
      </c>
    </row>
    <row r="764" spans="1:21" ht="125" x14ac:dyDescent="0.25">
      <c r="A764" s="53">
        <v>763</v>
      </c>
      <c r="B764" s="54" t="s">
        <v>3189</v>
      </c>
      <c r="C764" s="54" t="s">
        <v>3190</v>
      </c>
      <c r="D764" s="54" t="s">
        <v>59</v>
      </c>
      <c r="E764" s="54" t="s">
        <v>257</v>
      </c>
      <c r="F764" s="55" t="s">
        <v>3191</v>
      </c>
      <c r="G764" s="56">
        <v>42600.755416666703</v>
      </c>
      <c r="H764" s="54" t="s">
        <v>3192</v>
      </c>
      <c r="I764" s="57">
        <v>42640</v>
      </c>
      <c r="J764" s="54" t="s">
        <v>80</v>
      </c>
      <c r="K764" s="54" t="s">
        <v>55</v>
      </c>
      <c r="L764" s="56"/>
      <c r="M764" s="56"/>
      <c r="N764" s="58"/>
      <c r="O764" s="58"/>
      <c r="P764" s="58"/>
      <c r="Q764" s="59"/>
      <c r="R764" s="58"/>
      <c r="S764" s="58"/>
      <c r="T764" s="54" t="s">
        <v>104</v>
      </c>
      <c r="U764" s="54" t="s">
        <v>105</v>
      </c>
    </row>
    <row r="765" spans="1:21" ht="137.5" x14ac:dyDescent="0.25">
      <c r="A765" s="53">
        <v>764</v>
      </c>
      <c r="B765" s="54" t="s">
        <v>3193</v>
      </c>
      <c r="C765" s="54" t="s">
        <v>3194</v>
      </c>
      <c r="D765" s="54" t="s">
        <v>59</v>
      </c>
      <c r="E765" s="54" t="s">
        <v>257</v>
      </c>
      <c r="F765" s="55" t="s">
        <v>3195</v>
      </c>
      <c r="G765" s="56">
        <v>43053</v>
      </c>
      <c r="H765" s="54" t="s">
        <v>3196</v>
      </c>
      <c r="I765" s="57">
        <v>43066</v>
      </c>
      <c r="J765" s="54" t="s">
        <v>965</v>
      </c>
      <c r="K765" s="54" t="s">
        <v>81</v>
      </c>
      <c r="L765" s="56"/>
      <c r="M765" s="56"/>
      <c r="N765" s="54"/>
      <c r="O765" s="54"/>
      <c r="P765" s="54"/>
      <c r="Q765" s="54"/>
      <c r="R765" s="54"/>
      <c r="S765" s="54"/>
      <c r="T765" s="54" t="s">
        <v>56</v>
      </c>
      <c r="U765" s="54" t="s">
        <v>56</v>
      </c>
    </row>
    <row r="766" spans="1:21" ht="100" x14ac:dyDescent="0.25">
      <c r="A766" s="53">
        <v>765</v>
      </c>
      <c r="B766" s="54" t="s">
        <v>3197</v>
      </c>
      <c r="C766" s="64" t="s">
        <v>3198</v>
      </c>
      <c r="D766" s="54" t="s">
        <v>50</v>
      </c>
      <c r="E766" s="54" t="s">
        <v>257</v>
      </c>
      <c r="F766" s="65" t="s">
        <v>3199</v>
      </c>
      <c r="G766" s="66">
        <v>43689</v>
      </c>
      <c r="H766" s="64" t="s">
        <v>3200</v>
      </c>
      <c r="I766" s="67">
        <v>43698</v>
      </c>
      <c r="J766" s="54" t="s">
        <v>54</v>
      </c>
      <c r="K766" s="54" t="s">
        <v>55</v>
      </c>
      <c r="L766" s="56"/>
      <c r="M766" s="56"/>
      <c r="N766" s="54"/>
      <c r="O766" s="54"/>
      <c r="P766" s="54"/>
      <c r="Q766" s="54"/>
      <c r="R766" s="54"/>
      <c r="S766" s="54"/>
      <c r="T766" s="54" t="s">
        <v>56</v>
      </c>
      <c r="U766" s="54" t="s">
        <v>56</v>
      </c>
    </row>
    <row r="767" spans="1:21" ht="100" x14ac:dyDescent="0.25">
      <c r="A767" s="53">
        <v>766</v>
      </c>
      <c r="B767" s="54" t="s">
        <v>3201</v>
      </c>
      <c r="C767" s="54" t="s">
        <v>3202</v>
      </c>
      <c r="D767" s="54" t="s">
        <v>59</v>
      </c>
      <c r="E767" s="54" t="s">
        <v>257</v>
      </c>
      <c r="F767" s="55" t="s">
        <v>3203</v>
      </c>
      <c r="G767" s="56">
        <v>42600.755532407398</v>
      </c>
      <c r="H767" s="54" t="s">
        <v>3204</v>
      </c>
      <c r="I767" s="57">
        <v>42657</v>
      </c>
      <c r="J767" s="54" t="s">
        <v>999</v>
      </c>
      <c r="K767" s="54" t="s">
        <v>55</v>
      </c>
      <c r="L767" s="56"/>
      <c r="M767" s="56"/>
      <c r="N767" s="58"/>
      <c r="O767" s="58"/>
      <c r="P767" s="58"/>
      <c r="Q767" s="59"/>
      <c r="R767" s="58"/>
      <c r="S767" s="58"/>
      <c r="T767" s="54" t="s">
        <v>56</v>
      </c>
      <c r="U767" s="54" t="s">
        <v>56</v>
      </c>
    </row>
    <row r="768" spans="1:21" ht="150" x14ac:dyDescent="0.25">
      <c r="A768" s="53">
        <v>767</v>
      </c>
      <c r="B768" s="54" t="s">
        <v>3205</v>
      </c>
      <c r="C768" s="54" t="s">
        <v>3206</v>
      </c>
      <c r="D768" s="54" t="s">
        <v>59</v>
      </c>
      <c r="E768" s="54" t="s">
        <v>257</v>
      </c>
      <c r="F768" s="55" t="s">
        <v>3207</v>
      </c>
      <c r="G768" s="56">
        <v>43006</v>
      </c>
      <c r="H768" s="54" t="s">
        <v>3208</v>
      </c>
      <c r="I768" s="57">
        <v>43046</v>
      </c>
      <c r="J768" s="54" t="s">
        <v>500</v>
      </c>
      <c r="K768" s="54" t="s">
        <v>81</v>
      </c>
      <c r="L768" s="56"/>
      <c r="M768" s="56"/>
      <c r="N768" s="54"/>
      <c r="O768" s="54"/>
      <c r="P768" s="54"/>
      <c r="Q768" s="54"/>
      <c r="R768" s="54"/>
      <c r="S768" s="54"/>
      <c r="T768" s="54" t="s">
        <v>56</v>
      </c>
      <c r="U768" s="54" t="s">
        <v>56</v>
      </c>
    </row>
    <row r="769" spans="1:21" ht="137.5" x14ac:dyDescent="0.25">
      <c r="A769" s="53">
        <v>768</v>
      </c>
      <c r="B769" s="54" t="s">
        <v>3209</v>
      </c>
      <c r="C769" s="54" t="s">
        <v>3210</v>
      </c>
      <c r="D769" s="54" t="s">
        <v>59</v>
      </c>
      <c r="E769" s="54" t="s">
        <v>257</v>
      </c>
      <c r="F769" s="55" t="s">
        <v>3211</v>
      </c>
      <c r="G769" s="56">
        <v>43012</v>
      </c>
      <c r="H769" s="54" t="s">
        <v>3212</v>
      </c>
      <c r="I769" s="57">
        <v>43067</v>
      </c>
      <c r="J769" s="54" t="s">
        <v>965</v>
      </c>
      <c r="K769" s="54" t="s">
        <v>81</v>
      </c>
      <c r="L769" s="56"/>
      <c r="M769" s="56"/>
      <c r="N769" s="54"/>
      <c r="O769" s="54"/>
      <c r="P769" s="54"/>
      <c r="Q769" s="54"/>
      <c r="R769" s="54"/>
      <c r="S769" s="54"/>
      <c r="T769" s="54" t="s">
        <v>56</v>
      </c>
      <c r="U769" s="54" t="s">
        <v>56</v>
      </c>
    </row>
    <row r="770" spans="1:21" ht="150" x14ac:dyDescent="0.25">
      <c r="A770" s="53">
        <v>769</v>
      </c>
      <c r="B770" s="54" t="s">
        <v>3213</v>
      </c>
      <c r="C770" s="54" t="s">
        <v>3214</v>
      </c>
      <c r="D770" s="54" t="s">
        <v>59</v>
      </c>
      <c r="E770" s="54" t="s">
        <v>257</v>
      </c>
      <c r="F770" s="55" t="s">
        <v>3215</v>
      </c>
      <c r="G770" s="56">
        <v>42600.7555208333</v>
      </c>
      <c r="H770" s="54" t="s">
        <v>3216</v>
      </c>
      <c r="I770" s="57">
        <v>42640</v>
      </c>
      <c r="J770" s="54" t="s">
        <v>500</v>
      </c>
      <c r="K770" s="54" t="s">
        <v>55</v>
      </c>
      <c r="L770" s="56"/>
      <c r="M770" s="56"/>
      <c r="N770" s="58"/>
      <c r="O770" s="58"/>
      <c r="P770" s="58"/>
      <c r="Q770" s="59"/>
      <c r="R770" s="58"/>
      <c r="S770" s="58"/>
      <c r="T770" s="54" t="s">
        <v>56</v>
      </c>
      <c r="U770" s="54" t="s">
        <v>56</v>
      </c>
    </row>
    <row r="771" spans="1:21" ht="137.5" x14ac:dyDescent="0.25">
      <c r="A771" s="53">
        <v>770</v>
      </c>
      <c r="B771" s="54" t="s">
        <v>3217</v>
      </c>
      <c r="C771" s="54" t="s">
        <v>3218</v>
      </c>
      <c r="D771" s="54" t="s">
        <v>59</v>
      </c>
      <c r="E771" s="54" t="s">
        <v>257</v>
      </c>
      <c r="F771" s="55" t="s">
        <v>3219</v>
      </c>
      <c r="G771" s="56">
        <v>42600.755486111098</v>
      </c>
      <c r="H771" s="54" t="s">
        <v>3220</v>
      </c>
      <c r="I771" s="57">
        <v>42640</v>
      </c>
      <c r="J771" s="54" t="s">
        <v>965</v>
      </c>
      <c r="K771" s="54" t="s">
        <v>55</v>
      </c>
      <c r="L771" s="56"/>
      <c r="M771" s="56"/>
      <c r="N771" s="58"/>
      <c r="O771" s="58"/>
      <c r="P771" s="58"/>
      <c r="Q771" s="59"/>
      <c r="R771" s="58"/>
      <c r="S771" s="58"/>
      <c r="T771" s="54" t="s">
        <v>56</v>
      </c>
      <c r="U771" s="54" t="s">
        <v>56</v>
      </c>
    </row>
    <row r="772" spans="1:21" ht="137.5" x14ac:dyDescent="0.25">
      <c r="A772" s="53">
        <v>771</v>
      </c>
      <c r="B772" s="54" t="s">
        <v>3221</v>
      </c>
      <c r="C772" s="54" t="s">
        <v>3222</v>
      </c>
      <c r="D772" s="54" t="s">
        <v>59</v>
      </c>
      <c r="E772" s="54" t="s">
        <v>257</v>
      </c>
      <c r="F772" s="55" t="s">
        <v>3223</v>
      </c>
      <c r="G772" s="56">
        <v>43012</v>
      </c>
      <c r="H772" s="54" t="s">
        <v>3224</v>
      </c>
      <c r="I772" s="57">
        <v>43046</v>
      </c>
      <c r="J772" s="54" t="s">
        <v>965</v>
      </c>
      <c r="K772" s="54" t="s">
        <v>81</v>
      </c>
      <c r="L772" s="56"/>
      <c r="M772" s="56"/>
      <c r="N772" s="54"/>
      <c r="O772" s="54"/>
      <c r="P772" s="54"/>
      <c r="Q772" s="54"/>
      <c r="R772" s="54"/>
      <c r="S772" s="54"/>
      <c r="T772" s="54" t="s">
        <v>56</v>
      </c>
      <c r="U772" s="54" t="s">
        <v>56</v>
      </c>
    </row>
    <row r="773" spans="1:21" ht="125" x14ac:dyDescent="0.25">
      <c r="A773" s="53">
        <v>772</v>
      </c>
      <c r="B773" s="54" t="s">
        <v>3225</v>
      </c>
      <c r="C773" s="54" t="s">
        <v>3226</v>
      </c>
      <c r="D773" s="54" t="s">
        <v>59</v>
      </c>
      <c r="E773" s="54" t="s">
        <v>257</v>
      </c>
      <c r="F773" s="55" t="s">
        <v>3227</v>
      </c>
      <c r="G773" s="56">
        <v>42600.755439814799</v>
      </c>
      <c r="H773" s="54" t="s">
        <v>3228</v>
      </c>
      <c r="I773" s="57">
        <v>42640</v>
      </c>
      <c r="J773" s="54" t="s">
        <v>80</v>
      </c>
      <c r="K773" s="54" t="s">
        <v>55</v>
      </c>
      <c r="L773" s="56"/>
      <c r="M773" s="56"/>
      <c r="N773" s="58"/>
      <c r="O773" s="58"/>
      <c r="P773" s="58"/>
      <c r="Q773" s="59"/>
      <c r="R773" s="58"/>
      <c r="S773" s="58"/>
      <c r="T773" s="54" t="s">
        <v>56</v>
      </c>
      <c r="U773" s="54" t="s">
        <v>56</v>
      </c>
    </row>
    <row r="774" spans="1:21" ht="37.5" x14ac:dyDescent="0.25">
      <c r="A774" s="53">
        <v>773</v>
      </c>
      <c r="B774" s="54" t="s">
        <v>3229</v>
      </c>
      <c r="C774" s="64" t="s">
        <v>3230</v>
      </c>
      <c r="D774" s="54" t="s">
        <v>59</v>
      </c>
      <c r="E774" s="54" t="s">
        <v>257</v>
      </c>
      <c r="F774" s="65" t="s">
        <v>3231</v>
      </c>
      <c r="G774" s="66">
        <v>43539</v>
      </c>
      <c r="H774" s="64" t="s">
        <v>3232</v>
      </c>
      <c r="I774" s="67">
        <v>43643</v>
      </c>
      <c r="J774" s="54" t="s">
        <v>986</v>
      </c>
      <c r="K774" s="54" t="s">
        <v>81</v>
      </c>
      <c r="L774" s="56"/>
      <c r="M774" s="56"/>
      <c r="N774" s="54"/>
      <c r="O774" s="54"/>
      <c r="P774" s="54"/>
      <c r="Q774" s="54"/>
      <c r="R774" s="54"/>
      <c r="S774" s="54"/>
      <c r="T774" s="54" t="s">
        <v>56</v>
      </c>
      <c r="U774" s="54" t="s">
        <v>56</v>
      </c>
    </row>
    <row r="775" spans="1:21" ht="125" x14ac:dyDescent="0.25">
      <c r="A775" s="53">
        <v>774</v>
      </c>
      <c r="B775" s="54" t="s">
        <v>3233</v>
      </c>
      <c r="C775" s="54" t="s">
        <v>3234</v>
      </c>
      <c r="D775" s="54" t="s">
        <v>59</v>
      </c>
      <c r="E775" s="54" t="s">
        <v>257</v>
      </c>
      <c r="F775" s="55" t="s">
        <v>3235</v>
      </c>
      <c r="G775" s="56">
        <v>42605.041701388902</v>
      </c>
      <c r="H775" s="54" t="s">
        <v>3236</v>
      </c>
      <c r="I775" s="57">
        <v>42640</v>
      </c>
      <c r="J775" s="54" t="s">
        <v>80</v>
      </c>
      <c r="K775" s="54" t="s">
        <v>55</v>
      </c>
      <c r="L775" s="56"/>
      <c r="M775" s="56"/>
      <c r="N775" s="58"/>
      <c r="O775" s="58"/>
      <c r="P775" s="58"/>
      <c r="Q775" s="59"/>
      <c r="R775" s="58"/>
      <c r="S775" s="58"/>
      <c r="T775" s="54" t="s">
        <v>56</v>
      </c>
      <c r="U775" s="54" t="s">
        <v>56</v>
      </c>
    </row>
    <row r="776" spans="1:21" ht="37.5" x14ac:dyDescent="0.25">
      <c r="A776" s="53">
        <v>775</v>
      </c>
      <c r="B776" s="54" t="s">
        <v>3237</v>
      </c>
      <c r="C776" s="54" t="s">
        <v>3238</v>
      </c>
      <c r="D776" s="54" t="s">
        <v>59</v>
      </c>
      <c r="E776" s="54" t="s">
        <v>257</v>
      </c>
      <c r="F776" s="55" t="s">
        <v>3239</v>
      </c>
      <c r="G776" s="56">
        <v>43536</v>
      </c>
      <c r="H776" s="54" t="s">
        <v>3240</v>
      </c>
      <c r="I776" s="57">
        <v>43585</v>
      </c>
      <c r="J776" s="54" t="s">
        <v>986</v>
      </c>
      <c r="K776" s="54" t="s">
        <v>81</v>
      </c>
      <c r="L776" s="56"/>
      <c r="M776" s="56"/>
      <c r="N776" s="54"/>
      <c r="O776" s="54"/>
      <c r="P776" s="54"/>
      <c r="Q776" s="54"/>
      <c r="R776" s="54"/>
      <c r="S776" s="54"/>
      <c r="T776" s="54" t="s">
        <v>56</v>
      </c>
      <c r="U776" s="54" t="s">
        <v>56</v>
      </c>
    </row>
    <row r="777" spans="1:21" ht="100" x14ac:dyDescent="0.25">
      <c r="A777" s="53">
        <v>776</v>
      </c>
      <c r="B777" s="54" t="s">
        <v>3241</v>
      </c>
      <c r="C777" s="54" t="s">
        <v>3242</v>
      </c>
      <c r="D777" s="54" t="s">
        <v>50</v>
      </c>
      <c r="E777" s="54" t="s">
        <v>257</v>
      </c>
      <c r="F777" s="55" t="s">
        <v>3243</v>
      </c>
      <c r="G777" s="56">
        <v>42685</v>
      </c>
      <c r="H777" s="54" t="s">
        <v>3244</v>
      </c>
      <c r="I777" s="57">
        <v>42754</v>
      </c>
      <c r="J777" s="54" t="s">
        <v>54</v>
      </c>
      <c r="K777" s="54" t="s">
        <v>55</v>
      </c>
      <c r="L777" s="56"/>
      <c r="M777" s="56"/>
      <c r="N777" s="58"/>
      <c r="O777" s="58"/>
      <c r="P777" s="58"/>
      <c r="Q777" s="59"/>
      <c r="R777" s="58"/>
      <c r="S777" s="58"/>
      <c r="T777" s="54" t="s">
        <v>56</v>
      </c>
      <c r="U777" s="54" t="s">
        <v>56</v>
      </c>
    </row>
    <row r="778" spans="1:21" ht="125" x14ac:dyDescent="0.25">
      <c r="A778" s="53">
        <v>777</v>
      </c>
      <c r="B778" s="54" t="s">
        <v>3245</v>
      </c>
      <c r="C778" s="54" t="s">
        <v>3246</v>
      </c>
      <c r="D778" s="54" t="s">
        <v>59</v>
      </c>
      <c r="E778" s="54" t="s">
        <v>257</v>
      </c>
      <c r="F778" s="55" t="s">
        <v>3247</v>
      </c>
      <c r="G778" s="56">
        <v>42601.338912036997</v>
      </c>
      <c r="H778" s="54" t="s">
        <v>3248</v>
      </c>
      <c r="I778" s="57">
        <v>42640</v>
      </c>
      <c r="J778" s="54" t="s">
        <v>80</v>
      </c>
      <c r="K778" s="54" t="s">
        <v>55</v>
      </c>
      <c r="L778" s="56"/>
      <c r="M778" s="56"/>
      <c r="N778" s="58"/>
      <c r="O778" s="58"/>
      <c r="P778" s="58"/>
      <c r="Q778" s="59"/>
      <c r="R778" s="58"/>
      <c r="S778" s="58"/>
      <c r="T778" s="54" t="s">
        <v>56</v>
      </c>
      <c r="U778" s="54" t="s">
        <v>56</v>
      </c>
    </row>
    <row r="779" spans="1:21" ht="125" x14ac:dyDescent="0.25">
      <c r="A779" s="53">
        <v>778</v>
      </c>
      <c r="B779" s="54" t="s">
        <v>3249</v>
      </c>
      <c r="C779" s="54" t="s">
        <v>3250</v>
      </c>
      <c r="D779" s="54" t="s">
        <v>59</v>
      </c>
      <c r="E779" s="54" t="s">
        <v>257</v>
      </c>
      <c r="F779" s="55" t="s">
        <v>3251</v>
      </c>
      <c r="G779" s="56">
        <v>42600.755474537</v>
      </c>
      <c r="H779" s="54" t="s">
        <v>3252</v>
      </c>
      <c r="I779" s="57">
        <v>42641</v>
      </c>
      <c r="J779" s="54" t="s">
        <v>80</v>
      </c>
      <c r="K779" s="54" t="s">
        <v>55</v>
      </c>
      <c r="L779" s="56"/>
      <c r="M779" s="56"/>
      <c r="N779" s="58"/>
      <c r="O779" s="58"/>
      <c r="P779" s="58"/>
      <c r="Q779" s="59"/>
      <c r="R779" s="58"/>
      <c r="S779" s="58"/>
      <c r="T779" s="54" t="s">
        <v>56</v>
      </c>
      <c r="U779" s="54" t="s">
        <v>56</v>
      </c>
    </row>
    <row r="780" spans="1:21" ht="137.5" x14ac:dyDescent="0.25">
      <c r="A780" s="53">
        <v>779</v>
      </c>
      <c r="B780" s="54" t="s">
        <v>3253</v>
      </c>
      <c r="C780" s="54" t="s">
        <v>3254</v>
      </c>
      <c r="D780" s="54" t="s">
        <v>59</v>
      </c>
      <c r="E780" s="54" t="s">
        <v>257</v>
      </c>
      <c r="F780" s="55" t="s">
        <v>3255</v>
      </c>
      <c r="G780" s="56">
        <v>42685</v>
      </c>
      <c r="H780" s="54" t="s">
        <v>3256</v>
      </c>
      <c r="I780" s="57">
        <v>42754</v>
      </c>
      <c r="J780" s="54" t="s">
        <v>920</v>
      </c>
      <c r="K780" s="54" t="s">
        <v>55</v>
      </c>
      <c r="L780" s="56"/>
      <c r="M780" s="56"/>
      <c r="N780" s="58"/>
      <c r="O780" s="58"/>
      <c r="P780" s="58"/>
      <c r="Q780" s="59"/>
      <c r="R780" s="58"/>
      <c r="S780" s="58"/>
      <c r="T780" s="54" t="s">
        <v>56</v>
      </c>
      <c r="U780" s="54" t="s">
        <v>56</v>
      </c>
    </row>
    <row r="781" spans="1:21" ht="125" x14ac:dyDescent="0.25">
      <c r="A781" s="53">
        <v>780</v>
      </c>
      <c r="B781" s="54" t="s">
        <v>3257</v>
      </c>
      <c r="C781" s="54" t="s">
        <v>3258</v>
      </c>
      <c r="D781" s="54" t="s">
        <v>59</v>
      </c>
      <c r="E781" s="54" t="s">
        <v>257</v>
      </c>
      <c r="F781" s="55" t="s">
        <v>3259</v>
      </c>
      <c r="G781" s="56">
        <v>42600.755486111098</v>
      </c>
      <c r="H781" s="54" t="s">
        <v>3260</v>
      </c>
      <c r="I781" s="57">
        <v>42640</v>
      </c>
      <c r="J781" s="54" t="s">
        <v>3261</v>
      </c>
      <c r="K781" s="54" t="s">
        <v>55</v>
      </c>
      <c r="L781" s="56"/>
      <c r="M781" s="56"/>
      <c r="N781" s="58"/>
      <c r="O781" s="58"/>
      <c r="P781" s="58"/>
      <c r="Q781" s="59"/>
      <c r="R781" s="58"/>
      <c r="S781" s="58"/>
      <c r="T781" s="54" t="s">
        <v>104</v>
      </c>
      <c r="U781" s="54" t="s">
        <v>105</v>
      </c>
    </row>
    <row r="782" spans="1:21" ht="125" x14ac:dyDescent="0.25">
      <c r="A782" s="53">
        <v>781</v>
      </c>
      <c r="B782" s="54" t="s">
        <v>3262</v>
      </c>
      <c r="C782" s="54" t="s">
        <v>3263</v>
      </c>
      <c r="D782" s="54" t="s">
        <v>59</v>
      </c>
      <c r="E782" s="54" t="s">
        <v>257</v>
      </c>
      <c r="F782" s="55" t="s">
        <v>3264</v>
      </c>
      <c r="G782" s="56">
        <v>42600.755405092597</v>
      </c>
      <c r="H782" s="54" t="s">
        <v>3265</v>
      </c>
      <c r="I782" s="57">
        <v>42634</v>
      </c>
      <c r="J782" s="54" t="s">
        <v>80</v>
      </c>
      <c r="K782" s="54" t="s">
        <v>55</v>
      </c>
      <c r="L782" s="56"/>
      <c r="M782" s="56"/>
      <c r="N782" s="58"/>
      <c r="O782" s="58"/>
      <c r="P782" s="58"/>
      <c r="Q782" s="59"/>
      <c r="R782" s="58"/>
      <c r="S782" s="58"/>
      <c r="T782" s="54" t="s">
        <v>56</v>
      </c>
      <c r="U782" s="54" t="s">
        <v>56</v>
      </c>
    </row>
    <row r="783" spans="1:21" ht="125" x14ac:dyDescent="0.25">
      <c r="A783" s="53">
        <v>782</v>
      </c>
      <c r="B783" s="54" t="s">
        <v>3266</v>
      </c>
      <c r="C783" s="54" t="s">
        <v>3267</v>
      </c>
      <c r="D783" s="54" t="s">
        <v>59</v>
      </c>
      <c r="E783" s="54" t="s">
        <v>257</v>
      </c>
      <c r="F783" s="55" t="s">
        <v>3268</v>
      </c>
      <c r="G783" s="56">
        <v>42605.041736111103</v>
      </c>
      <c r="H783" s="54" t="s">
        <v>3269</v>
      </c>
      <c r="I783" s="57">
        <v>42640</v>
      </c>
      <c r="J783" s="54" t="s">
        <v>80</v>
      </c>
      <c r="K783" s="54" t="s">
        <v>55</v>
      </c>
      <c r="L783" s="56"/>
      <c r="M783" s="56"/>
      <c r="N783" s="58"/>
      <c r="O783" s="58"/>
      <c r="P783" s="58"/>
      <c r="Q783" s="59"/>
      <c r="R783" s="58"/>
      <c r="S783" s="58"/>
      <c r="T783" s="54" t="s">
        <v>56</v>
      </c>
      <c r="U783" s="54" t="s">
        <v>56</v>
      </c>
    </row>
    <row r="784" spans="1:21" ht="125" x14ac:dyDescent="0.25">
      <c r="A784" s="53">
        <v>783</v>
      </c>
      <c r="B784" s="54" t="s">
        <v>3270</v>
      </c>
      <c r="C784" s="54" t="s">
        <v>3271</v>
      </c>
      <c r="D784" s="54" t="s">
        <v>59</v>
      </c>
      <c r="E784" s="54" t="s">
        <v>257</v>
      </c>
      <c r="F784" s="55" t="s">
        <v>3272</v>
      </c>
      <c r="G784" s="56">
        <v>42600.755416666703</v>
      </c>
      <c r="H784" s="54" t="s">
        <v>3273</v>
      </c>
      <c r="I784" s="57">
        <v>42640</v>
      </c>
      <c r="J784" s="54" t="s">
        <v>80</v>
      </c>
      <c r="K784" s="54" t="s">
        <v>55</v>
      </c>
      <c r="L784" s="56"/>
      <c r="M784" s="56"/>
      <c r="N784" s="58"/>
      <c r="O784" s="58"/>
      <c r="P784" s="58"/>
      <c r="Q784" s="59"/>
      <c r="R784" s="58"/>
      <c r="S784" s="58"/>
      <c r="T784" s="54" t="s">
        <v>56</v>
      </c>
      <c r="U784" s="54" t="s">
        <v>56</v>
      </c>
    </row>
    <row r="785" spans="1:21" ht="125" x14ac:dyDescent="0.25">
      <c r="A785" s="53">
        <v>784</v>
      </c>
      <c r="B785" s="54" t="s">
        <v>3274</v>
      </c>
      <c r="C785" s="54" t="s">
        <v>3275</v>
      </c>
      <c r="D785" s="54" t="s">
        <v>59</v>
      </c>
      <c r="E785" s="54" t="s">
        <v>257</v>
      </c>
      <c r="F785" s="55" t="s">
        <v>3276</v>
      </c>
      <c r="G785" s="56">
        <v>42600.755439814799</v>
      </c>
      <c r="H785" s="54" t="s">
        <v>3277</v>
      </c>
      <c r="I785" s="57">
        <v>42640</v>
      </c>
      <c r="J785" s="54" t="s">
        <v>80</v>
      </c>
      <c r="K785" s="54" t="s">
        <v>55</v>
      </c>
      <c r="L785" s="56"/>
      <c r="M785" s="56"/>
      <c r="N785" s="58"/>
      <c r="O785" s="58"/>
      <c r="P785" s="58"/>
      <c r="Q785" s="59"/>
      <c r="R785" s="58"/>
      <c r="S785" s="58"/>
      <c r="T785" s="54" t="s">
        <v>56</v>
      </c>
      <c r="U785" s="54" t="s">
        <v>56</v>
      </c>
    </row>
    <row r="786" spans="1:21" ht="125" x14ac:dyDescent="0.25">
      <c r="A786" s="53">
        <v>785</v>
      </c>
      <c r="B786" s="54" t="s">
        <v>3278</v>
      </c>
      <c r="C786" s="54" t="s">
        <v>3279</v>
      </c>
      <c r="D786" s="54" t="s">
        <v>59</v>
      </c>
      <c r="E786" s="54" t="s">
        <v>257</v>
      </c>
      <c r="F786" s="55" t="s">
        <v>3280</v>
      </c>
      <c r="G786" s="56">
        <v>42600.755486111098</v>
      </c>
      <c r="H786" s="54" t="s">
        <v>3281</v>
      </c>
      <c r="I786" s="57">
        <v>42641</v>
      </c>
      <c r="J786" s="54" t="s">
        <v>80</v>
      </c>
      <c r="K786" s="54" t="s">
        <v>55</v>
      </c>
      <c r="L786" s="56"/>
      <c r="M786" s="56"/>
      <c r="N786" s="58"/>
      <c r="O786" s="58"/>
      <c r="P786" s="58"/>
      <c r="Q786" s="59"/>
      <c r="R786" s="58"/>
      <c r="S786" s="58"/>
      <c r="T786" s="54" t="s">
        <v>56</v>
      </c>
      <c r="U786" s="54" t="s">
        <v>56</v>
      </c>
    </row>
    <row r="787" spans="1:21" ht="125" x14ac:dyDescent="0.25">
      <c r="A787" s="53">
        <v>786</v>
      </c>
      <c r="B787" s="54" t="s">
        <v>3282</v>
      </c>
      <c r="C787" s="54" t="s">
        <v>3283</v>
      </c>
      <c r="D787" s="54" t="s">
        <v>59</v>
      </c>
      <c r="E787" s="54" t="s">
        <v>257</v>
      </c>
      <c r="F787" s="55" t="s">
        <v>3284</v>
      </c>
      <c r="G787" s="56">
        <v>43053</v>
      </c>
      <c r="H787" s="54" t="s">
        <v>3285</v>
      </c>
      <c r="I787" s="57">
        <v>43066</v>
      </c>
      <c r="J787" s="54" t="s">
        <v>3261</v>
      </c>
      <c r="K787" s="54" t="s">
        <v>81</v>
      </c>
      <c r="L787" s="56"/>
      <c r="M787" s="56"/>
      <c r="N787" s="54"/>
      <c r="O787" s="54"/>
      <c r="P787" s="54"/>
      <c r="Q787" s="54"/>
      <c r="R787" s="54"/>
      <c r="S787" s="54"/>
      <c r="T787" s="54" t="s">
        <v>56</v>
      </c>
      <c r="U787" s="54" t="s">
        <v>56</v>
      </c>
    </row>
    <row r="788" spans="1:21" ht="150" x14ac:dyDescent="0.25">
      <c r="A788" s="53">
        <v>787</v>
      </c>
      <c r="B788" s="54" t="s">
        <v>3286</v>
      </c>
      <c r="C788" s="54" t="s">
        <v>3287</v>
      </c>
      <c r="D788" s="54" t="s">
        <v>59</v>
      </c>
      <c r="E788" s="54" t="s">
        <v>257</v>
      </c>
      <c r="F788" s="55" t="s">
        <v>3288</v>
      </c>
      <c r="G788" s="56">
        <v>42685</v>
      </c>
      <c r="H788" s="54" t="s">
        <v>3289</v>
      </c>
      <c r="I788" s="57">
        <v>42754</v>
      </c>
      <c r="J788" s="54" t="s">
        <v>500</v>
      </c>
      <c r="K788" s="54" t="s">
        <v>55</v>
      </c>
      <c r="L788" s="56"/>
      <c r="M788" s="56"/>
      <c r="N788" s="58"/>
      <c r="O788" s="58"/>
      <c r="P788" s="58"/>
      <c r="Q788" s="59"/>
      <c r="R788" s="58"/>
      <c r="S788" s="58"/>
      <c r="T788" s="54" t="s">
        <v>56</v>
      </c>
      <c r="U788" s="54" t="s">
        <v>56</v>
      </c>
    </row>
    <row r="789" spans="1:21" ht="125" x14ac:dyDescent="0.25">
      <c r="A789" s="53">
        <v>788</v>
      </c>
      <c r="B789" s="54" t="s">
        <v>3290</v>
      </c>
      <c r="C789" s="54" t="s">
        <v>3291</v>
      </c>
      <c r="D789" s="54" t="s">
        <v>59</v>
      </c>
      <c r="E789" s="54" t="s">
        <v>257</v>
      </c>
      <c r="F789" s="55" t="s">
        <v>3292</v>
      </c>
      <c r="G789" s="56">
        <v>43013.460405092599</v>
      </c>
      <c r="H789" s="59" t="s">
        <v>3293</v>
      </c>
      <c r="I789" s="57">
        <v>43038</v>
      </c>
      <c r="J789" s="54" t="s">
        <v>80</v>
      </c>
      <c r="K789" s="54" t="s">
        <v>81</v>
      </c>
      <c r="L789" s="56"/>
      <c r="M789" s="56"/>
      <c r="N789" s="54"/>
      <c r="O789" s="54"/>
      <c r="P789" s="54"/>
      <c r="Q789" s="54"/>
      <c r="R789" s="54"/>
      <c r="S789" s="54"/>
      <c r="T789" s="54" t="s">
        <v>56</v>
      </c>
      <c r="U789" s="54" t="s">
        <v>56</v>
      </c>
    </row>
    <row r="790" spans="1:21" ht="37.5" x14ac:dyDescent="0.25">
      <c r="A790" s="53">
        <v>789</v>
      </c>
      <c r="B790" s="54" t="s">
        <v>3294</v>
      </c>
      <c r="C790" s="64" t="s">
        <v>3295</v>
      </c>
      <c r="D790" s="54" t="s">
        <v>59</v>
      </c>
      <c r="E790" s="54" t="s">
        <v>257</v>
      </c>
      <c r="F790" s="65" t="s">
        <v>3296</v>
      </c>
      <c r="G790" s="66">
        <v>43577</v>
      </c>
      <c r="H790" s="64" t="s">
        <v>3297</v>
      </c>
      <c r="I790" s="67">
        <v>43696</v>
      </c>
      <c r="J790" s="54" t="s">
        <v>986</v>
      </c>
      <c r="K790" s="54" t="s">
        <v>55</v>
      </c>
      <c r="L790" s="56"/>
      <c r="M790" s="56"/>
      <c r="N790" s="54"/>
      <c r="O790" s="54"/>
      <c r="P790" s="54"/>
      <c r="Q790" s="54"/>
      <c r="R790" s="54"/>
      <c r="S790" s="54"/>
      <c r="T790" s="54" t="s">
        <v>56</v>
      </c>
      <c r="U790" s="54" t="s">
        <v>56</v>
      </c>
    </row>
    <row r="791" spans="1:21" ht="125" x14ac:dyDescent="0.25">
      <c r="A791" s="53">
        <v>790</v>
      </c>
      <c r="B791" s="54" t="s">
        <v>3298</v>
      </c>
      <c r="C791" s="54" t="s">
        <v>3299</v>
      </c>
      <c r="D791" s="54" t="s">
        <v>59</v>
      </c>
      <c r="E791" s="54" t="s">
        <v>257</v>
      </c>
      <c r="F791" s="55" t="s">
        <v>3300</v>
      </c>
      <c r="G791" s="56">
        <v>42601.338819444398</v>
      </c>
      <c r="H791" s="54" t="s">
        <v>3301</v>
      </c>
      <c r="I791" s="57">
        <v>42647</v>
      </c>
      <c r="J791" s="54" t="s">
        <v>80</v>
      </c>
      <c r="K791" s="54" t="s">
        <v>55</v>
      </c>
      <c r="L791" s="56"/>
      <c r="M791" s="56"/>
      <c r="N791" s="58"/>
      <c r="O791" s="58"/>
      <c r="P791" s="58"/>
      <c r="Q791" s="59"/>
      <c r="R791" s="58"/>
      <c r="S791" s="58"/>
      <c r="T791" s="54" t="s">
        <v>56</v>
      </c>
      <c r="U791" s="54" t="s">
        <v>56</v>
      </c>
    </row>
    <row r="792" spans="1:21" ht="137.5" x14ac:dyDescent="0.25">
      <c r="A792" s="53">
        <v>791</v>
      </c>
      <c r="B792" s="54" t="s">
        <v>3302</v>
      </c>
      <c r="C792" s="54" t="s">
        <v>3303</v>
      </c>
      <c r="D792" s="54" t="s">
        <v>59</v>
      </c>
      <c r="E792" s="54" t="s">
        <v>257</v>
      </c>
      <c r="F792" s="55" t="s">
        <v>3304</v>
      </c>
      <c r="G792" s="56">
        <v>42685</v>
      </c>
      <c r="H792" s="54" t="s">
        <v>3305</v>
      </c>
      <c r="I792" s="57">
        <v>42754</v>
      </c>
      <c r="J792" s="54" t="s">
        <v>920</v>
      </c>
      <c r="K792" s="54" t="s">
        <v>55</v>
      </c>
      <c r="L792" s="56"/>
      <c r="M792" s="56"/>
      <c r="N792" s="58"/>
      <c r="O792" s="58"/>
      <c r="P792" s="58"/>
      <c r="Q792" s="59"/>
      <c r="R792" s="58"/>
      <c r="S792" s="58"/>
      <c r="T792" s="54" t="s">
        <v>56</v>
      </c>
      <c r="U792" s="54" t="s">
        <v>56</v>
      </c>
    </row>
    <row r="793" spans="1:21" ht="137.5" x14ac:dyDescent="0.25">
      <c r="A793" s="53">
        <v>792</v>
      </c>
      <c r="B793" s="54" t="s">
        <v>3306</v>
      </c>
      <c r="C793" s="54" t="s">
        <v>3307</v>
      </c>
      <c r="D793" s="54" t="s">
        <v>59</v>
      </c>
      <c r="E793" s="54" t="s">
        <v>257</v>
      </c>
      <c r="F793" s="55" t="s">
        <v>3308</v>
      </c>
      <c r="G793" s="56">
        <v>42685</v>
      </c>
      <c r="H793" s="54" t="s">
        <v>3309</v>
      </c>
      <c r="I793" s="57">
        <v>42754</v>
      </c>
      <c r="J793" s="54" t="s">
        <v>920</v>
      </c>
      <c r="K793" s="54" t="s">
        <v>55</v>
      </c>
      <c r="L793" s="56"/>
      <c r="M793" s="56"/>
      <c r="N793" s="58"/>
      <c r="O793" s="58"/>
      <c r="P793" s="58"/>
      <c r="Q793" s="59"/>
      <c r="R793" s="58"/>
      <c r="S793" s="58"/>
      <c r="T793" s="54" t="s">
        <v>56</v>
      </c>
      <c r="U793" s="54" t="s">
        <v>56</v>
      </c>
    </row>
    <row r="794" spans="1:21" ht="37.5" x14ac:dyDescent="0.25">
      <c r="A794" s="53">
        <v>793</v>
      </c>
      <c r="B794" s="54" t="s">
        <v>3310</v>
      </c>
      <c r="C794" s="54" t="s">
        <v>3311</v>
      </c>
      <c r="D794" s="54" t="s">
        <v>59</v>
      </c>
      <c r="E794" s="54" t="s">
        <v>257</v>
      </c>
      <c r="F794" s="55" t="s">
        <v>3312</v>
      </c>
      <c r="G794" s="56">
        <v>43202</v>
      </c>
      <c r="H794" s="54" t="s">
        <v>3313</v>
      </c>
      <c r="I794" s="57">
        <v>43227</v>
      </c>
      <c r="J794" s="54" t="s">
        <v>986</v>
      </c>
      <c r="K794" s="54" t="s">
        <v>81</v>
      </c>
      <c r="L794" s="56"/>
      <c r="M794" s="56"/>
      <c r="N794" s="54"/>
      <c r="O794" s="54"/>
      <c r="P794" s="54"/>
      <c r="Q794" s="54"/>
      <c r="R794" s="54"/>
      <c r="S794" s="54"/>
      <c r="T794" s="54" t="s">
        <v>56</v>
      </c>
      <c r="U794" s="54" t="s">
        <v>56</v>
      </c>
    </row>
    <row r="795" spans="1:21" ht="37.5" x14ac:dyDescent="0.25">
      <c r="A795" s="53">
        <v>794</v>
      </c>
      <c r="B795" s="54" t="s">
        <v>3314</v>
      </c>
      <c r="C795" s="54" t="s">
        <v>3315</v>
      </c>
      <c r="D795" s="54" t="s">
        <v>59</v>
      </c>
      <c r="E795" s="54" t="s">
        <v>257</v>
      </c>
      <c r="F795" s="65" t="s">
        <v>3316</v>
      </c>
      <c r="G795" s="66">
        <v>43539</v>
      </c>
      <c r="H795" s="64" t="s">
        <v>3317</v>
      </c>
      <c r="I795" s="67">
        <v>43677</v>
      </c>
      <c r="J795" s="54" t="s">
        <v>986</v>
      </c>
      <c r="K795" s="54" t="s">
        <v>81</v>
      </c>
      <c r="L795" s="56"/>
      <c r="M795" s="56"/>
      <c r="N795" s="54"/>
      <c r="O795" s="54"/>
      <c r="P795" s="54"/>
      <c r="Q795" s="54"/>
      <c r="R795" s="54"/>
      <c r="S795" s="54"/>
      <c r="T795" s="54" t="s">
        <v>56</v>
      </c>
      <c r="U795" s="54" t="s">
        <v>56</v>
      </c>
    </row>
    <row r="796" spans="1:21" ht="100" x14ac:dyDescent="0.25">
      <c r="A796" s="53">
        <v>795</v>
      </c>
      <c r="B796" s="54" t="s">
        <v>3318</v>
      </c>
      <c r="C796" s="54" t="s">
        <v>3319</v>
      </c>
      <c r="D796" s="54" t="s">
        <v>50</v>
      </c>
      <c r="E796" s="54" t="s">
        <v>257</v>
      </c>
      <c r="F796" s="65" t="s">
        <v>3320</v>
      </c>
      <c r="G796" s="66">
        <v>43311</v>
      </c>
      <c r="H796" s="64" t="s">
        <v>3321</v>
      </c>
      <c r="I796" s="67">
        <v>43727</v>
      </c>
      <c r="J796" s="54" t="s">
        <v>54</v>
      </c>
      <c r="K796" s="54" t="s">
        <v>55</v>
      </c>
      <c r="L796" s="56"/>
      <c r="M796" s="56"/>
      <c r="N796" s="54"/>
      <c r="O796" s="54"/>
      <c r="P796" s="54"/>
      <c r="Q796" s="54"/>
      <c r="R796" s="54"/>
      <c r="S796" s="54"/>
      <c r="T796" s="54" t="s">
        <v>56</v>
      </c>
      <c r="U796" s="54" t="s">
        <v>56</v>
      </c>
    </row>
    <row r="797" spans="1:21" ht="125" x14ac:dyDescent="0.25">
      <c r="A797" s="53">
        <v>796</v>
      </c>
      <c r="B797" s="54" t="s">
        <v>3322</v>
      </c>
      <c r="C797" s="54" t="s">
        <v>3323</v>
      </c>
      <c r="D797" s="54" t="s">
        <v>59</v>
      </c>
      <c r="E797" s="54" t="s">
        <v>257</v>
      </c>
      <c r="F797" s="55" t="s">
        <v>3324</v>
      </c>
      <c r="G797" s="56">
        <v>42600.755497685197</v>
      </c>
      <c r="H797" s="54" t="s">
        <v>3325</v>
      </c>
      <c r="I797" s="57">
        <v>42640</v>
      </c>
      <c r="J797" s="54" t="s">
        <v>80</v>
      </c>
      <c r="K797" s="54" t="s">
        <v>55</v>
      </c>
      <c r="L797" s="56"/>
      <c r="M797" s="56"/>
      <c r="N797" s="58"/>
      <c r="O797" s="58"/>
      <c r="P797" s="58"/>
      <c r="Q797" s="59"/>
      <c r="R797" s="58"/>
      <c r="S797" s="58"/>
      <c r="T797" s="54" t="s">
        <v>56</v>
      </c>
      <c r="U797" s="54" t="s">
        <v>56</v>
      </c>
    </row>
    <row r="798" spans="1:21" ht="125" x14ac:dyDescent="0.25">
      <c r="A798" s="53">
        <v>797</v>
      </c>
      <c r="B798" s="54" t="s">
        <v>3326</v>
      </c>
      <c r="C798" s="54" t="s">
        <v>3327</v>
      </c>
      <c r="D798" s="54" t="s">
        <v>59</v>
      </c>
      <c r="E798" s="54" t="s">
        <v>257</v>
      </c>
      <c r="F798" s="55" t="s">
        <v>3328</v>
      </c>
      <c r="G798" s="56">
        <v>42601.338935185202</v>
      </c>
      <c r="H798" s="54" t="s">
        <v>3329</v>
      </c>
      <c r="I798" s="57">
        <v>42640</v>
      </c>
      <c r="J798" s="54" t="s">
        <v>80</v>
      </c>
      <c r="K798" s="54" t="s">
        <v>55</v>
      </c>
      <c r="L798" s="56"/>
      <c r="M798" s="56"/>
      <c r="N798" s="58"/>
      <c r="O798" s="58"/>
      <c r="P798" s="58"/>
      <c r="Q798" s="59"/>
      <c r="R798" s="58"/>
      <c r="S798" s="58"/>
      <c r="T798" s="54" t="s">
        <v>56</v>
      </c>
      <c r="U798" s="54" t="s">
        <v>56</v>
      </c>
    </row>
    <row r="799" spans="1:21" ht="125" x14ac:dyDescent="0.25">
      <c r="A799" s="53">
        <v>798</v>
      </c>
      <c r="B799" s="54" t="s">
        <v>3330</v>
      </c>
      <c r="C799" s="54" t="s">
        <v>3331</v>
      </c>
      <c r="D799" s="54" t="s">
        <v>59</v>
      </c>
      <c r="E799" s="54" t="s">
        <v>257</v>
      </c>
      <c r="F799" s="55" t="s">
        <v>3332</v>
      </c>
      <c r="G799" s="56">
        <v>43027</v>
      </c>
      <c r="H799" s="54" t="s">
        <v>3333</v>
      </c>
      <c r="I799" s="57">
        <v>43046</v>
      </c>
      <c r="J799" s="54" t="s">
        <v>3261</v>
      </c>
      <c r="K799" s="54" t="s">
        <v>81</v>
      </c>
      <c r="L799" s="56"/>
      <c r="M799" s="56"/>
      <c r="N799" s="54"/>
      <c r="O799" s="54"/>
      <c r="P799" s="54"/>
      <c r="Q799" s="54"/>
      <c r="R799" s="54"/>
      <c r="S799" s="54"/>
      <c r="T799" s="54" t="s">
        <v>56</v>
      </c>
      <c r="U799" s="54" t="s">
        <v>56</v>
      </c>
    </row>
    <row r="800" spans="1:21" ht="137.5" x14ac:dyDescent="0.25">
      <c r="A800" s="53">
        <v>799</v>
      </c>
      <c r="B800" s="54" t="s">
        <v>3334</v>
      </c>
      <c r="C800" s="54" t="s">
        <v>3335</v>
      </c>
      <c r="D800" s="54" t="s">
        <v>59</v>
      </c>
      <c r="E800" s="54" t="s">
        <v>257</v>
      </c>
      <c r="F800" s="55" t="s">
        <v>3336</v>
      </c>
      <c r="G800" s="56">
        <v>43012</v>
      </c>
      <c r="H800" s="54" t="s">
        <v>3337</v>
      </c>
      <c r="I800" s="57">
        <v>43046</v>
      </c>
      <c r="J800" s="54" t="s">
        <v>965</v>
      </c>
      <c r="K800" s="54" t="s">
        <v>81</v>
      </c>
      <c r="L800" s="56"/>
      <c r="M800" s="56"/>
      <c r="N800" s="54"/>
      <c r="O800" s="54"/>
      <c r="P800" s="54"/>
      <c r="Q800" s="54"/>
      <c r="R800" s="54"/>
      <c r="S800" s="54"/>
      <c r="T800" s="54" t="s">
        <v>56</v>
      </c>
      <c r="U800" s="54" t="s">
        <v>56</v>
      </c>
    </row>
    <row r="801" spans="1:21" ht="125" x14ac:dyDescent="0.25">
      <c r="A801" s="53">
        <v>800</v>
      </c>
      <c r="B801" s="54" t="s">
        <v>3338</v>
      </c>
      <c r="C801" s="54" t="s">
        <v>3339</v>
      </c>
      <c r="D801" s="54" t="s">
        <v>59</v>
      </c>
      <c r="E801" s="54" t="s">
        <v>257</v>
      </c>
      <c r="F801" s="55" t="s">
        <v>3340</v>
      </c>
      <c r="G801" s="56">
        <v>42600.755405092597</v>
      </c>
      <c r="H801" s="54" t="s">
        <v>3341</v>
      </c>
      <c r="I801" s="57">
        <v>42640</v>
      </c>
      <c r="J801" s="54" t="s">
        <v>80</v>
      </c>
      <c r="K801" s="54" t="s">
        <v>55</v>
      </c>
      <c r="L801" s="56"/>
      <c r="M801" s="56"/>
      <c r="N801" s="58"/>
      <c r="O801" s="58"/>
      <c r="P801" s="58"/>
      <c r="Q801" s="59"/>
      <c r="R801" s="58"/>
      <c r="S801" s="58"/>
      <c r="T801" s="54" t="s">
        <v>56</v>
      </c>
      <c r="U801" s="54" t="s">
        <v>56</v>
      </c>
    </row>
    <row r="802" spans="1:21" ht="125" x14ac:dyDescent="0.25">
      <c r="A802" s="53">
        <v>801</v>
      </c>
      <c r="B802" s="54" t="s">
        <v>3342</v>
      </c>
      <c r="C802" s="54" t="s">
        <v>3343</v>
      </c>
      <c r="D802" s="54" t="s">
        <v>59</v>
      </c>
      <c r="E802" s="54" t="s">
        <v>257</v>
      </c>
      <c r="F802" s="55" t="s">
        <v>3344</v>
      </c>
      <c r="G802" s="56">
        <v>42600.7555208333</v>
      </c>
      <c r="H802" s="54" t="s">
        <v>3345</v>
      </c>
      <c r="I802" s="57">
        <v>42640</v>
      </c>
      <c r="J802" s="54" t="s">
        <v>80</v>
      </c>
      <c r="K802" s="54" t="s">
        <v>55</v>
      </c>
      <c r="L802" s="56"/>
      <c r="M802" s="56"/>
      <c r="N802" s="58"/>
      <c r="O802" s="58"/>
      <c r="P802" s="58"/>
      <c r="Q802" s="59"/>
      <c r="R802" s="58"/>
      <c r="S802" s="58"/>
      <c r="T802" s="54" t="s">
        <v>56</v>
      </c>
      <c r="U802" s="54" t="s">
        <v>56</v>
      </c>
    </row>
    <row r="803" spans="1:21" ht="37.5" x14ac:dyDescent="0.25">
      <c r="A803" s="53">
        <v>802</v>
      </c>
      <c r="B803" s="54" t="s">
        <v>3346</v>
      </c>
      <c r="C803" s="64" t="s">
        <v>3347</v>
      </c>
      <c r="D803" s="54" t="s">
        <v>59</v>
      </c>
      <c r="E803" s="54" t="s">
        <v>257</v>
      </c>
      <c r="F803" s="65" t="s">
        <v>3348</v>
      </c>
      <c r="G803" s="66">
        <v>43696</v>
      </c>
      <c r="H803" s="64" t="s">
        <v>3349</v>
      </c>
      <c r="I803" s="67">
        <v>43707</v>
      </c>
      <c r="J803" s="54" t="s">
        <v>986</v>
      </c>
      <c r="K803" s="54" t="s">
        <v>55</v>
      </c>
      <c r="L803" s="56"/>
      <c r="M803" s="56"/>
      <c r="N803" s="54"/>
      <c r="O803" s="54"/>
      <c r="P803" s="54"/>
      <c r="Q803" s="54"/>
      <c r="R803" s="54"/>
      <c r="S803" s="54"/>
      <c r="T803" s="54" t="s">
        <v>56</v>
      </c>
      <c r="U803" s="54" t="s">
        <v>56</v>
      </c>
    </row>
    <row r="804" spans="1:21" ht="125" x14ac:dyDescent="0.25">
      <c r="A804" s="53">
        <v>803</v>
      </c>
      <c r="B804" s="54" t="s">
        <v>3350</v>
      </c>
      <c r="C804" s="54" t="s">
        <v>3351</v>
      </c>
      <c r="D804" s="54" t="s">
        <v>59</v>
      </c>
      <c r="E804" s="54" t="s">
        <v>257</v>
      </c>
      <c r="F804" s="55" t="s">
        <v>3352</v>
      </c>
      <c r="G804" s="56">
        <v>42601.338935185202</v>
      </c>
      <c r="H804" s="54" t="s">
        <v>3353</v>
      </c>
      <c r="I804" s="57">
        <v>42640</v>
      </c>
      <c r="J804" s="54" t="s">
        <v>80</v>
      </c>
      <c r="K804" s="54" t="s">
        <v>55</v>
      </c>
      <c r="L804" s="56"/>
      <c r="M804" s="56"/>
      <c r="N804" s="58"/>
      <c r="O804" s="58"/>
      <c r="P804" s="58"/>
      <c r="Q804" s="59"/>
      <c r="R804" s="58"/>
      <c r="S804" s="58"/>
      <c r="T804" s="54" t="s">
        <v>56</v>
      </c>
      <c r="U804" s="54" t="s">
        <v>56</v>
      </c>
    </row>
    <row r="805" spans="1:21" ht="137.5" x14ac:dyDescent="0.25">
      <c r="A805" s="53">
        <v>804</v>
      </c>
      <c r="B805" s="54" t="s">
        <v>3354</v>
      </c>
      <c r="C805" s="54" t="s">
        <v>3355</v>
      </c>
      <c r="D805" s="54" t="s">
        <v>59</v>
      </c>
      <c r="E805" s="54" t="s">
        <v>257</v>
      </c>
      <c r="F805" s="55" t="s">
        <v>3356</v>
      </c>
      <c r="G805" s="56">
        <v>43053</v>
      </c>
      <c r="H805" s="54" t="s">
        <v>3357</v>
      </c>
      <c r="I805" s="57">
        <v>43066</v>
      </c>
      <c r="J805" s="54" t="s">
        <v>965</v>
      </c>
      <c r="K805" s="54" t="s">
        <v>81</v>
      </c>
      <c r="L805" s="56"/>
      <c r="M805" s="56"/>
      <c r="N805" s="54"/>
      <c r="O805" s="54"/>
      <c r="P805" s="54"/>
      <c r="Q805" s="54"/>
      <c r="R805" s="54"/>
      <c r="S805" s="54"/>
      <c r="T805" s="54" t="s">
        <v>56</v>
      </c>
      <c r="U805" s="54" t="s">
        <v>56</v>
      </c>
    </row>
    <row r="806" spans="1:21" ht="137.5" x14ac:dyDescent="0.25">
      <c r="A806" s="53">
        <v>805</v>
      </c>
      <c r="B806" s="54" t="s">
        <v>3358</v>
      </c>
      <c r="C806" s="54" t="s">
        <v>3359</v>
      </c>
      <c r="D806" s="54" t="s">
        <v>59</v>
      </c>
      <c r="E806" s="54" t="s">
        <v>257</v>
      </c>
      <c r="F806" s="55" t="s">
        <v>3360</v>
      </c>
      <c r="G806" s="56">
        <v>43027</v>
      </c>
      <c r="H806" s="54" t="s">
        <v>3361</v>
      </c>
      <c r="I806" s="57">
        <v>43067</v>
      </c>
      <c r="J806" s="54" t="s">
        <v>965</v>
      </c>
      <c r="K806" s="54" t="s">
        <v>81</v>
      </c>
      <c r="L806" s="56"/>
      <c r="M806" s="56"/>
      <c r="N806" s="54"/>
      <c r="O806" s="54"/>
      <c r="P806" s="54"/>
      <c r="Q806" s="54"/>
      <c r="R806" s="54"/>
      <c r="S806" s="54"/>
      <c r="T806" s="54" t="s">
        <v>56</v>
      </c>
      <c r="U806" s="54" t="s">
        <v>56</v>
      </c>
    </row>
    <row r="807" spans="1:21" ht="137.5" x14ac:dyDescent="0.25">
      <c r="A807" s="53">
        <v>806</v>
      </c>
      <c r="B807" s="54" t="s">
        <v>3362</v>
      </c>
      <c r="C807" s="54" t="s">
        <v>3363</v>
      </c>
      <c r="D807" s="54" t="s">
        <v>59</v>
      </c>
      <c r="E807" s="54" t="s">
        <v>257</v>
      </c>
      <c r="F807" s="55" t="s">
        <v>3364</v>
      </c>
      <c r="G807" s="56">
        <v>42685</v>
      </c>
      <c r="H807" s="54" t="s">
        <v>3365</v>
      </c>
      <c r="I807" s="57">
        <v>42725</v>
      </c>
      <c r="J807" s="54" t="s">
        <v>920</v>
      </c>
      <c r="K807" s="54" t="s">
        <v>55</v>
      </c>
      <c r="L807" s="56"/>
      <c r="M807" s="56"/>
      <c r="N807" s="58"/>
      <c r="O807" s="58"/>
      <c r="P807" s="58"/>
      <c r="Q807" s="59"/>
      <c r="R807" s="58"/>
      <c r="S807" s="58"/>
      <c r="T807" s="54" t="s">
        <v>56</v>
      </c>
      <c r="U807" s="54" t="s">
        <v>56</v>
      </c>
    </row>
    <row r="808" spans="1:21" ht="37.5" x14ac:dyDescent="0.25">
      <c r="A808" s="53">
        <v>807</v>
      </c>
      <c r="B808" s="54" t="s">
        <v>3366</v>
      </c>
      <c r="C808" s="64" t="s">
        <v>3367</v>
      </c>
      <c r="D808" s="54" t="s">
        <v>59</v>
      </c>
      <c r="E808" s="54" t="s">
        <v>257</v>
      </c>
      <c r="F808" s="65" t="s">
        <v>3368</v>
      </c>
      <c r="G808" s="66">
        <v>43553</v>
      </c>
      <c r="H808" s="64" t="s">
        <v>3369</v>
      </c>
      <c r="I808" s="67">
        <v>43626</v>
      </c>
      <c r="J808" s="54" t="s">
        <v>986</v>
      </c>
      <c r="K808" s="54" t="s">
        <v>55</v>
      </c>
      <c r="L808" s="56"/>
      <c r="M808" s="56"/>
      <c r="N808" s="54"/>
      <c r="O808" s="54"/>
      <c r="P808" s="54"/>
      <c r="Q808" s="54"/>
      <c r="R808" s="54"/>
      <c r="S808" s="54"/>
      <c r="T808" s="54" t="s">
        <v>56</v>
      </c>
      <c r="U808" s="54" t="s">
        <v>56</v>
      </c>
    </row>
    <row r="809" spans="1:21" ht="137.5" x14ac:dyDescent="0.25">
      <c r="A809" s="53">
        <v>808</v>
      </c>
      <c r="B809" s="54" t="s">
        <v>3370</v>
      </c>
      <c r="C809" s="54" t="s">
        <v>3371</v>
      </c>
      <c r="D809" s="54" t="s">
        <v>59</v>
      </c>
      <c r="E809" s="54" t="s">
        <v>257</v>
      </c>
      <c r="F809" s="55" t="s">
        <v>3372</v>
      </c>
      <c r="G809" s="56">
        <v>43053</v>
      </c>
      <c r="H809" s="54" t="s">
        <v>3373</v>
      </c>
      <c r="I809" s="57">
        <v>43066</v>
      </c>
      <c r="J809" s="54" t="s">
        <v>965</v>
      </c>
      <c r="K809" s="54" t="s">
        <v>81</v>
      </c>
      <c r="L809" s="56"/>
      <c r="M809" s="56"/>
      <c r="N809" s="54"/>
      <c r="O809" s="54"/>
      <c r="P809" s="54"/>
      <c r="Q809" s="54"/>
      <c r="R809" s="54"/>
      <c r="S809" s="54"/>
      <c r="T809" s="54" t="s">
        <v>56</v>
      </c>
      <c r="U809" s="54" t="s">
        <v>56</v>
      </c>
    </row>
    <row r="810" spans="1:21" ht="137.5" x14ac:dyDescent="0.25">
      <c r="A810" s="53">
        <v>809</v>
      </c>
      <c r="B810" s="54" t="s">
        <v>3374</v>
      </c>
      <c r="C810" s="54" t="s">
        <v>3375</v>
      </c>
      <c r="D810" s="54" t="s">
        <v>59</v>
      </c>
      <c r="E810" s="54" t="s">
        <v>257</v>
      </c>
      <c r="F810" s="55" t="s">
        <v>3376</v>
      </c>
      <c r="G810" s="56">
        <v>43012</v>
      </c>
      <c r="H810" s="54" t="s">
        <v>3377</v>
      </c>
      <c r="I810" s="57">
        <v>43046</v>
      </c>
      <c r="J810" s="54" t="s">
        <v>965</v>
      </c>
      <c r="K810" s="54" t="s">
        <v>81</v>
      </c>
      <c r="L810" s="56"/>
      <c r="M810" s="56"/>
      <c r="N810" s="54"/>
      <c r="O810" s="54"/>
      <c r="P810" s="54"/>
      <c r="Q810" s="54"/>
      <c r="R810" s="54"/>
      <c r="S810" s="54"/>
      <c r="T810" s="54" t="s">
        <v>56</v>
      </c>
      <c r="U810" s="54" t="s">
        <v>56</v>
      </c>
    </row>
    <row r="811" spans="1:21" ht="125" x14ac:dyDescent="0.25">
      <c r="A811" s="53">
        <v>810</v>
      </c>
      <c r="B811" s="54" t="s">
        <v>3378</v>
      </c>
      <c r="C811" s="54" t="s">
        <v>3379</v>
      </c>
      <c r="D811" s="54" t="s">
        <v>59</v>
      </c>
      <c r="E811" s="54" t="s">
        <v>257</v>
      </c>
      <c r="F811" s="55" t="s">
        <v>3380</v>
      </c>
      <c r="G811" s="56">
        <v>42601.338912036997</v>
      </c>
      <c r="H811" s="54" t="s">
        <v>3381</v>
      </c>
      <c r="I811" s="57">
        <v>42640</v>
      </c>
      <c r="J811" s="54" t="s">
        <v>80</v>
      </c>
      <c r="K811" s="54" t="s">
        <v>55</v>
      </c>
      <c r="L811" s="56"/>
      <c r="M811" s="56"/>
      <c r="N811" s="58"/>
      <c r="O811" s="58"/>
      <c r="P811" s="58"/>
      <c r="Q811" s="59"/>
      <c r="R811" s="58"/>
      <c r="S811" s="58"/>
      <c r="T811" s="54" t="s">
        <v>56</v>
      </c>
      <c r="U811" s="54" t="s">
        <v>56</v>
      </c>
    </row>
    <row r="812" spans="1:21" ht="125" x14ac:dyDescent="0.25">
      <c r="A812" s="53">
        <v>811</v>
      </c>
      <c r="B812" s="54" t="s">
        <v>3382</v>
      </c>
      <c r="C812" s="54" t="s">
        <v>3383</v>
      </c>
      <c r="D812" s="54" t="s">
        <v>59</v>
      </c>
      <c r="E812" s="54" t="s">
        <v>257</v>
      </c>
      <c r="F812" s="55" t="s">
        <v>3384</v>
      </c>
      <c r="G812" s="56">
        <v>42600.755439814799</v>
      </c>
      <c r="H812" s="54" t="s">
        <v>3385</v>
      </c>
      <c r="I812" s="57">
        <v>42628</v>
      </c>
      <c r="J812" s="54" t="s">
        <v>80</v>
      </c>
      <c r="K812" s="54" t="s">
        <v>55</v>
      </c>
      <c r="L812" s="56"/>
      <c r="M812" s="56"/>
      <c r="N812" s="58"/>
      <c r="O812" s="58"/>
      <c r="P812" s="58"/>
      <c r="Q812" s="59"/>
      <c r="R812" s="58"/>
      <c r="S812" s="58"/>
      <c r="T812" s="54" t="s">
        <v>56</v>
      </c>
      <c r="U812" s="54" t="s">
        <v>56</v>
      </c>
    </row>
    <row r="813" spans="1:21" ht="50" x14ac:dyDescent="0.25">
      <c r="A813" s="53">
        <v>812</v>
      </c>
      <c r="B813" s="54" t="s">
        <v>3386</v>
      </c>
      <c r="C813" s="54" t="s">
        <v>3387</v>
      </c>
      <c r="D813" s="54" t="s">
        <v>59</v>
      </c>
      <c r="E813" s="54" t="s">
        <v>257</v>
      </c>
      <c r="F813" s="55" t="s">
        <v>3388</v>
      </c>
      <c r="G813" s="56">
        <v>43019</v>
      </c>
      <c r="H813" s="54" t="s">
        <v>3389</v>
      </c>
      <c r="I813" s="57">
        <v>43046</v>
      </c>
      <c r="J813" s="54" t="s">
        <v>986</v>
      </c>
      <c r="K813" s="54" t="s">
        <v>81</v>
      </c>
      <c r="L813" s="56"/>
      <c r="M813" s="56"/>
      <c r="N813" s="54"/>
      <c r="O813" s="54"/>
      <c r="P813" s="54"/>
      <c r="Q813" s="54"/>
      <c r="R813" s="54"/>
      <c r="S813" s="54"/>
      <c r="T813" s="54" t="s">
        <v>56</v>
      </c>
      <c r="U813" s="54" t="s">
        <v>56</v>
      </c>
    </row>
    <row r="814" spans="1:21" ht="100" x14ac:dyDescent="0.25">
      <c r="A814" s="53">
        <v>813</v>
      </c>
      <c r="B814" s="54" t="s">
        <v>3390</v>
      </c>
      <c r="C814" s="54" t="s">
        <v>3391</v>
      </c>
      <c r="D814" s="54" t="s">
        <v>59</v>
      </c>
      <c r="E814" s="54" t="s">
        <v>257</v>
      </c>
      <c r="F814" s="55" t="s">
        <v>3392</v>
      </c>
      <c r="G814" s="56">
        <v>42601.338935185202</v>
      </c>
      <c r="H814" s="54" t="s">
        <v>3393</v>
      </c>
      <c r="I814" s="57">
        <v>42657</v>
      </c>
      <c r="J814" s="54" t="s">
        <v>999</v>
      </c>
      <c r="K814" s="54" t="s">
        <v>55</v>
      </c>
      <c r="L814" s="56"/>
      <c r="M814" s="56"/>
      <c r="N814" s="58"/>
      <c r="O814" s="58"/>
      <c r="P814" s="58"/>
      <c r="Q814" s="59"/>
      <c r="R814" s="58"/>
      <c r="S814" s="58"/>
      <c r="T814" s="54" t="s">
        <v>56</v>
      </c>
      <c r="U814" s="54" t="s">
        <v>56</v>
      </c>
    </row>
    <row r="815" spans="1:21" ht="125" x14ac:dyDescent="0.25">
      <c r="A815" s="53">
        <v>814</v>
      </c>
      <c r="B815" s="54" t="s">
        <v>3394</v>
      </c>
      <c r="C815" s="54" t="s">
        <v>3395</v>
      </c>
      <c r="D815" s="54" t="s">
        <v>59</v>
      </c>
      <c r="E815" s="54" t="s">
        <v>257</v>
      </c>
      <c r="F815" s="55" t="s">
        <v>3396</v>
      </c>
      <c r="G815" s="56">
        <v>42601.338877314804</v>
      </c>
      <c r="H815" s="54" t="s">
        <v>3397</v>
      </c>
      <c r="I815" s="57">
        <v>42640</v>
      </c>
      <c r="J815" s="54" t="s">
        <v>80</v>
      </c>
      <c r="K815" s="54" t="s">
        <v>55</v>
      </c>
      <c r="L815" s="56"/>
      <c r="M815" s="56"/>
      <c r="N815" s="58"/>
      <c r="O815" s="58"/>
      <c r="P815" s="58"/>
      <c r="Q815" s="59"/>
      <c r="R815" s="58"/>
      <c r="S815" s="58"/>
      <c r="T815" s="54" t="s">
        <v>56</v>
      </c>
      <c r="U815" s="54" t="s">
        <v>56</v>
      </c>
    </row>
    <row r="816" spans="1:21" ht="37.5" x14ac:dyDescent="0.25">
      <c r="A816" s="53">
        <v>815</v>
      </c>
      <c r="B816" s="54" t="s">
        <v>3398</v>
      </c>
      <c r="C816" s="64" t="s">
        <v>3399</v>
      </c>
      <c r="D816" s="54" t="s">
        <v>59</v>
      </c>
      <c r="E816" s="54" t="s">
        <v>257</v>
      </c>
      <c r="F816" s="65" t="s">
        <v>3400</v>
      </c>
      <c r="G816" s="66">
        <v>43539</v>
      </c>
      <c r="H816" s="64" t="s">
        <v>3401</v>
      </c>
      <c r="I816" s="67">
        <v>43697</v>
      </c>
      <c r="J816" s="54" t="s">
        <v>986</v>
      </c>
      <c r="K816" s="54" t="s">
        <v>55</v>
      </c>
      <c r="L816" s="56"/>
      <c r="M816" s="56"/>
      <c r="N816" s="54"/>
      <c r="O816" s="54"/>
      <c r="P816" s="54"/>
      <c r="Q816" s="54"/>
      <c r="R816" s="54"/>
      <c r="S816" s="54"/>
      <c r="T816" s="54" t="s">
        <v>56</v>
      </c>
      <c r="U816" s="54" t="s">
        <v>56</v>
      </c>
    </row>
    <row r="817" spans="1:21" ht="125" x14ac:dyDescent="0.25">
      <c r="A817" s="53">
        <v>816</v>
      </c>
      <c r="B817" s="54" t="s">
        <v>3402</v>
      </c>
      <c r="C817" s="54" t="s">
        <v>3403</v>
      </c>
      <c r="D817" s="54" t="s">
        <v>59</v>
      </c>
      <c r="E817" s="54" t="s">
        <v>257</v>
      </c>
      <c r="F817" s="55" t="s">
        <v>3404</v>
      </c>
      <c r="G817" s="56">
        <v>42601.338865740698</v>
      </c>
      <c r="H817" s="54" t="s">
        <v>3405</v>
      </c>
      <c r="I817" s="57">
        <v>42628</v>
      </c>
      <c r="J817" s="54" t="s">
        <v>80</v>
      </c>
      <c r="K817" s="54" t="s">
        <v>55</v>
      </c>
      <c r="L817" s="56"/>
      <c r="M817" s="56"/>
      <c r="N817" s="58"/>
      <c r="O817" s="58"/>
      <c r="P817" s="58"/>
      <c r="Q817" s="59"/>
      <c r="R817" s="58"/>
      <c r="S817" s="58"/>
      <c r="T817" s="54" t="s">
        <v>56</v>
      </c>
      <c r="U817" s="54" t="s">
        <v>56</v>
      </c>
    </row>
    <row r="818" spans="1:21" ht="125" x14ac:dyDescent="0.25">
      <c r="A818" s="53">
        <v>817</v>
      </c>
      <c r="B818" s="54" t="s">
        <v>3406</v>
      </c>
      <c r="C818" s="54" t="s">
        <v>3407</v>
      </c>
      <c r="D818" s="54" t="s">
        <v>59</v>
      </c>
      <c r="E818" s="54" t="s">
        <v>257</v>
      </c>
      <c r="F818" s="55" t="s">
        <v>3408</v>
      </c>
      <c r="G818" s="56">
        <v>42600.755532407398</v>
      </c>
      <c r="H818" s="54" t="s">
        <v>3409</v>
      </c>
      <c r="I818" s="57">
        <v>42640</v>
      </c>
      <c r="J818" s="54" t="s">
        <v>80</v>
      </c>
      <c r="K818" s="54" t="s">
        <v>55</v>
      </c>
      <c r="L818" s="56"/>
      <c r="M818" s="56"/>
      <c r="N818" s="58"/>
      <c r="O818" s="58"/>
      <c r="P818" s="58"/>
      <c r="Q818" s="59"/>
      <c r="R818" s="58"/>
      <c r="S818" s="58"/>
      <c r="T818" s="54" t="s">
        <v>56</v>
      </c>
      <c r="U818" s="54" t="s">
        <v>56</v>
      </c>
    </row>
    <row r="819" spans="1:21" ht="125" x14ac:dyDescent="0.25">
      <c r="A819" s="53">
        <v>818</v>
      </c>
      <c r="B819" s="54" t="s">
        <v>3410</v>
      </c>
      <c r="C819" s="54" t="s">
        <v>3411</v>
      </c>
      <c r="D819" s="54" t="s">
        <v>59</v>
      </c>
      <c r="E819" s="54" t="s">
        <v>257</v>
      </c>
      <c r="F819" s="55" t="s">
        <v>3412</v>
      </c>
      <c r="G819" s="56">
        <v>42600.755486111098</v>
      </c>
      <c r="H819" s="54" t="s">
        <v>3413</v>
      </c>
      <c r="I819" s="57">
        <v>42640</v>
      </c>
      <c r="J819" s="54" t="s">
        <v>80</v>
      </c>
      <c r="K819" s="54" t="s">
        <v>55</v>
      </c>
      <c r="L819" s="56"/>
      <c r="M819" s="56"/>
      <c r="N819" s="58"/>
      <c r="O819" s="58"/>
      <c r="P819" s="58"/>
      <c r="Q819" s="59"/>
      <c r="R819" s="58"/>
      <c r="S819" s="58"/>
      <c r="T819" s="54" t="s">
        <v>56</v>
      </c>
      <c r="U819" s="54" t="s">
        <v>56</v>
      </c>
    </row>
    <row r="820" spans="1:21" ht="125" x14ac:dyDescent="0.25">
      <c r="A820" s="53">
        <v>819</v>
      </c>
      <c r="B820" s="54" t="s">
        <v>3414</v>
      </c>
      <c r="C820" s="54" t="s">
        <v>3415</v>
      </c>
      <c r="D820" s="54" t="s">
        <v>59</v>
      </c>
      <c r="E820" s="54" t="s">
        <v>257</v>
      </c>
      <c r="F820" s="55" t="s">
        <v>3416</v>
      </c>
      <c r="G820" s="56">
        <v>42601.338865740698</v>
      </c>
      <c r="H820" s="54" t="s">
        <v>3417</v>
      </c>
      <c r="I820" s="57">
        <v>42640</v>
      </c>
      <c r="J820" s="54" t="s">
        <v>80</v>
      </c>
      <c r="K820" s="54" t="s">
        <v>81</v>
      </c>
      <c r="L820" s="56"/>
      <c r="M820" s="56"/>
      <c r="N820" s="58"/>
      <c r="O820" s="58"/>
      <c r="P820" s="58"/>
      <c r="Q820" s="59"/>
      <c r="R820" s="58"/>
      <c r="S820" s="58"/>
      <c r="T820" s="54" t="s">
        <v>56</v>
      </c>
      <c r="U820" s="54" t="s">
        <v>56</v>
      </c>
    </row>
    <row r="821" spans="1:21" ht="125" x14ac:dyDescent="0.25">
      <c r="A821" s="53">
        <v>820</v>
      </c>
      <c r="B821" s="54" t="s">
        <v>3418</v>
      </c>
      <c r="C821" s="54" t="s">
        <v>3419</v>
      </c>
      <c r="D821" s="54" t="s">
        <v>59</v>
      </c>
      <c r="E821" s="54" t="s">
        <v>257</v>
      </c>
      <c r="F821" s="55" t="s">
        <v>3420</v>
      </c>
      <c r="G821" s="56">
        <v>42601.338935185202</v>
      </c>
      <c r="H821" s="54" t="s">
        <v>3421</v>
      </c>
      <c r="I821" s="57">
        <v>42640</v>
      </c>
      <c r="J821" s="54" t="s">
        <v>80</v>
      </c>
      <c r="K821" s="54" t="s">
        <v>55</v>
      </c>
      <c r="L821" s="56"/>
      <c r="M821" s="56"/>
      <c r="N821" s="58"/>
      <c r="O821" s="58"/>
      <c r="P821" s="58"/>
      <c r="Q821" s="59"/>
      <c r="R821" s="58"/>
      <c r="S821" s="58"/>
      <c r="T821" s="54" t="s">
        <v>56</v>
      </c>
      <c r="U821" s="54" t="s">
        <v>56</v>
      </c>
    </row>
    <row r="822" spans="1:21" ht="37.5" x14ac:dyDescent="0.25">
      <c r="A822" s="53">
        <v>821</v>
      </c>
      <c r="B822" s="54" t="s">
        <v>3422</v>
      </c>
      <c r="C822" s="54" t="s">
        <v>3423</v>
      </c>
      <c r="D822" s="54" t="s">
        <v>59</v>
      </c>
      <c r="E822" s="54" t="s">
        <v>257</v>
      </c>
      <c r="F822" s="65" t="s">
        <v>3424</v>
      </c>
      <c r="G822" s="66">
        <v>43539</v>
      </c>
      <c r="H822" s="64" t="s">
        <v>3425</v>
      </c>
      <c r="I822" s="67">
        <v>43655</v>
      </c>
      <c r="J822" s="54" t="s">
        <v>986</v>
      </c>
      <c r="K822" s="54" t="s">
        <v>81</v>
      </c>
      <c r="L822" s="56"/>
      <c r="M822" s="56"/>
      <c r="N822" s="54"/>
      <c r="O822" s="54"/>
      <c r="P822" s="54"/>
      <c r="Q822" s="54"/>
      <c r="R822" s="54"/>
      <c r="S822" s="54"/>
      <c r="T822" s="54" t="s">
        <v>56</v>
      </c>
      <c r="U822" s="54" t="s">
        <v>56</v>
      </c>
    </row>
    <row r="823" spans="1:21" ht="125" x14ac:dyDescent="0.25">
      <c r="A823" s="53">
        <v>822</v>
      </c>
      <c r="B823" s="54" t="s">
        <v>3426</v>
      </c>
      <c r="C823" s="54" t="s">
        <v>3427</v>
      </c>
      <c r="D823" s="54" t="s">
        <v>59</v>
      </c>
      <c r="E823" s="54" t="s">
        <v>257</v>
      </c>
      <c r="F823" s="55" t="s">
        <v>3428</v>
      </c>
      <c r="G823" s="56">
        <v>42600.755497685197</v>
      </c>
      <c r="H823" s="54" t="s">
        <v>3429</v>
      </c>
      <c r="I823" s="57">
        <v>42640</v>
      </c>
      <c r="J823" s="54" t="s">
        <v>80</v>
      </c>
      <c r="K823" s="54" t="s">
        <v>55</v>
      </c>
      <c r="L823" s="56"/>
      <c r="M823" s="56"/>
      <c r="N823" s="58"/>
      <c r="O823" s="58"/>
      <c r="P823" s="58"/>
      <c r="Q823" s="59"/>
      <c r="R823" s="58"/>
      <c r="S823" s="58"/>
      <c r="T823" s="54" t="s">
        <v>56</v>
      </c>
      <c r="U823" s="54" t="s">
        <v>56</v>
      </c>
    </row>
    <row r="824" spans="1:21" ht="125" x14ac:dyDescent="0.25">
      <c r="A824" s="53">
        <v>823</v>
      </c>
      <c r="B824" s="54" t="s">
        <v>3430</v>
      </c>
      <c r="C824" s="54" t="s">
        <v>3431</v>
      </c>
      <c r="D824" s="54" t="s">
        <v>59</v>
      </c>
      <c r="E824" s="54" t="s">
        <v>257</v>
      </c>
      <c r="F824" s="55" t="s">
        <v>3432</v>
      </c>
      <c r="G824" s="56">
        <v>42601.338842592602</v>
      </c>
      <c r="H824" s="54" t="s">
        <v>3433</v>
      </c>
      <c r="I824" s="57">
        <v>42640</v>
      </c>
      <c r="J824" s="54" t="s">
        <v>80</v>
      </c>
      <c r="K824" s="54" t="s">
        <v>55</v>
      </c>
      <c r="L824" s="56"/>
      <c r="M824" s="56"/>
      <c r="N824" s="58"/>
      <c r="O824" s="58"/>
      <c r="P824" s="58"/>
      <c r="Q824" s="59"/>
      <c r="R824" s="58"/>
      <c r="S824" s="58"/>
      <c r="T824" s="54" t="s">
        <v>56</v>
      </c>
      <c r="U824" s="54" t="s">
        <v>56</v>
      </c>
    </row>
    <row r="825" spans="1:21" ht="125" x14ac:dyDescent="0.25">
      <c r="A825" s="53">
        <v>824</v>
      </c>
      <c r="B825" s="54" t="s">
        <v>3434</v>
      </c>
      <c r="C825" s="54" t="s">
        <v>3435</v>
      </c>
      <c r="D825" s="54" t="s">
        <v>59</v>
      </c>
      <c r="E825" s="54" t="s">
        <v>257</v>
      </c>
      <c r="F825" s="55" t="s">
        <v>3436</v>
      </c>
      <c r="G825" s="56">
        <v>42605.041712963</v>
      </c>
      <c r="H825" s="54" t="s">
        <v>3437</v>
      </c>
      <c r="I825" s="57">
        <v>42640</v>
      </c>
      <c r="J825" s="54" t="s">
        <v>80</v>
      </c>
      <c r="K825" s="54" t="s">
        <v>55</v>
      </c>
      <c r="L825" s="56"/>
      <c r="M825" s="56"/>
      <c r="N825" s="58"/>
      <c r="O825" s="58"/>
      <c r="P825" s="58"/>
      <c r="Q825" s="59"/>
      <c r="R825" s="58"/>
      <c r="S825" s="58"/>
      <c r="T825" s="54" t="s">
        <v>56</v>
      </c>
      <c r="U825" s="54" t="s">
        <v>56</v>
      </c>
    </row>
    <row r="826" spans="1:21" ht="112.5" x14ac:dyDescent="0.25">
      <c r="A826" s="53">
        <v>825</v>
      </c>
      <c r="B826" s="54" t="s">
        <v>3438</v>
      </c>
      <c r="C826" s="54" t="s">
        <v>3439</v>
      </c>
      <c r="D826" s="54" t="s">
        <v>59</v>
      </c>
      <c r="E826" s="54" t="s">
        <v>257</v>
      </c>
      <c r="F826" s="55" t="s">
        <v>3440</v>
      </c>
      <c r="G826" s="56">
        <v>42685</v>
      </c>
      <c r="H826" s="54" t="s">
        <v>3441</v>
      </c>
      <c r="I826" s="57">
        <v>42725</v>
      </c>
      <c r="J826" s="54" t="s">
        <v>3018</v>
      </c>
      <c r="K826" s="54" t="s">
        <v>55</v>
      </c>
      <c r="L826" s="56"/>
      <c r="M826" s="56"/>
      <c r="N826" s="58"/>
      <c r="O826" s="58"/>
      <c r="P826" s="58"/>
      <c r="Q826" s="59"/>
      <c r="R826" s="58"/>
      <c r="S826" s="58"/>
      <c r="T826" s="54" t="s">
        <v>56</v>
      </c>
      <c r="U826" s="54" t="s">
        <v>56</v>
      </c>
    </row>
    <row r="827" spans="1:21" ht="112.5" x14ac:dyDescent="0.25">
      <c r="A827" s="53">
        <v>826</v>
      </c>
      <c r="B827" s="54" t="s">
        <v>3442</v>
      </c>
      <c r="C827" s="54" t="s">
        <v>3443</v>
      </c>
      <c r="D827" s="54" t="s">
        <v>59</v>
      </c>
      <c r="E827" s="54" t="s">
        <v>257</v>
      </c>
      <c r="F827" s="55" t="s">
        <v>3444</v>
      </c>
      <c r="G827" s="56">
        <v>42601.338900463001</v>
      </c>
      <c r="H827" s="54" t="s">
        <v>3445</v>
      </c>
      <c r="I827" s="57">
        <v>42657</v>
      </c>
      <c r="J827" s="54" t="s">
        <v>3018</v>
      </c>
      <c r="K827" s="54" t="s">
        <v>55</v>
      </c>
      <c r="L827" s="56"/>
      <c r="M827" s="56"/>
      <c r="N827" s="58"/>
      <c r="O827" s="58"/>
      <c r="P827" s="58"/>
      <c r="Q827" s="59"/>
      <c r="R827" s="58"/>
      <c r="S827" s="58"/>
      <c r="T827" s="54" t="s">
        <v>56</v>
      </c>
      <c r="U827" s="54" t="s">
        <v>56</v>
      </c>
    </row>
    <row r="828" spans="1:21" ht="137.5" x14ac:dyDescent="0.25">
      <c r="A828" s="53">
        <v>827</v>
      </c>
      <c r="B828" s="54" t="s">
        <v>3446</v>
      </c>
      <c r="C828" s="54" t="s">
        <v>3447</v>
      </c>
      <c r="D828" s="54" t="s">
        <v>59</v>
      </c>
      <c r="E828" s="54" t="s">
        <v>257</v>
      </c>
      <c r="F828" s="55" t="s">
        <v>3448</v>
      </c>
      <c r="G828" s="56">
        <v>42601.338819444398</v>
      </c>
      <c r="H828" s="54" t="s">
        <v>3449</v>
      </c>
      <c r="I828" s="57">
        <v>42657</v>
      </c>
      <c r="J828" s="54" t="s">
        <v>920</v>
      </c>
      <c r="K828" s="54" t="s">
        <v>55</v>
      </c>
      <c r="L828" s="56"/>
      <c r="M828" s="56"/>
      <c r="N828" s="58"/>
      <c r="O828" s="58"/>
      <c r="P828" s="58"/>
      <c r="Q828" s="59"/>
      <c r="R828" s="58"/>
      <c r="S828" s="58"/>
      <c r="T828" s="54" t="s">
        <v>56</v>
      </c>
      <c r="U828" s="54" t="s">
        <v>56</v>
      </c>
    </row>
    <row r="829" spans="1:21" ht="125" x14ac:dyDescent="0.25">
      <c r="A829" s="53">
        <v>828</v>
      </c>
      <c r="B829" s="54" t="s">
        <v>3450</v>
      </c>
      <c r="C829" s="54" t="s">
        <v>3451</v>
      </c>
      <c r="D829" s="54" t="s">
        <v>59</v>
      </c>
      <c r="E829" s="54" t="s">
        <v>257</v>
      </c>
      <c r="F829" s="55" t="s">
        <v>3452</v>
      </c>
      <c r="G829" s="56">
        <v>42600.755532407398</v>
      </c>
      <c r="H829" s="54" t="s">
        <v>3453</v>
      </c>
      <c r="I829" s="57">
        <v>42634</v>
      </c>
      <c r="J829" s="54" t="s">
        <v>80</v>
      </c>
      <c r="K829" s="54" t="s">
        <v>55</v>
      </c>
      <c r="L829" s="56"/>
      <c r="M829" s="56"/>
      <c r="N829" s="58"/>
      <c r="O829" s="58"/>
      <c r="P829" s="58"/>
      <c r="Q829" s="59"/>
      <c r="R829" s="58"/>
      <c r="S829" s="58"/>
      <c r="T829" s="54" t="s">
        <v>56</v>
      </c>
      <c r="U829" s="54" t="s">
        <v>56</v>
      </c>
    </row>
    <row r="830" spans="1:21" ht="137.5" x14ac:dyDescent="0.25">
      <c r="A830" s="53">
        <v>829</v>
      </c>
      <c r="B830" s="54" t="s">
        <v>3454</v>
      </c>
      <c r="C830" s="54" t="s">
        <v>3455</v>
      </c>
      <c r="D830" s="54" t="s">
        <v>59</v>
      </c>
      <c r="E830" s="54" t="s">
        <v>257</v>
      </c>
      <c r="F830" s="55" t="s">
        <v>3456</v>
      </c>
      <c r="G830" s="56">
        <v>43019</v>
      </c>
      <c r="H830" s="54" t="s">
        <v>3457</v>
      </c>
      <c r="I830" s="57">
        <v>43046</v>
      </c>
      <c r="J830" s="54" t="s">
        <v>920</v>
      </c>
      <c r="K830" s="54" t="s">
        <v>55</v>
      </c>
      <c r="L830" s="56"/>
      <c r="M830" s="56"/>
      <c r="N830" s="54"/>
      <c r="O830" s="54"/>
      <c r="P830" s="54"/>
      <c r="Q830" s="54"/>
      <c r="R830" s="54"/>
      <c r="S830" s="54"/>
      <c r="T830" s="54" t="s">
        <v>56</v>
      </c>
      <c r="U830" s="54" t="s">
        <v>56</v>
      </c>
    </row>
    <row r="831" spans="1:21" ht="37.5" x14ac:dyDescent="0.25">
      <c r="A831" s="53">
        <v>830</v>
      </c>
      <c r="B831" s="54" t="s">
        <v>3458</v>
      </c>
      <c r="C831" s="64" t="s">
        <v>3459</v>
      </c>
      <c r="D831" s="54" t="s">
        <v>59</v>
      </c>
      <c r="E831" s="54" t="s">
        <v>257</v>
      </c>
      <c r="F831" s="65" t="s">
        <v>3460</v>
      </c>
      <c r="G831" s="66">
        <v>43511</v>
      </c>
      <c r="H831" s="64" t="s">
        <v>3461</v>
      </c>
      <c r="I831" s="67">
        <v>43690</v>
      </c>
      <c r="J831" s="54" t="s">
        <v>986</v>
      </c>
      <c r="K831" s="54" t="s">
        <v>55</v>
      </c>
      <c r="L831" s="56"/>
      <c r="M831" s="56"/>
      <c r="N831" s="54"/>
      <c r="O831" s="54"/>
      <c r="P831" s="54"/>
      <c r="Q831" s="54"/>
      <c r="R831" s="54"/>
      <c r="S831" s="54"/>
      <c r="T831" s="54" t="s">
        <v>56</v>
      </c>
      <c r="U831" s="54" t="s">
        <v>56</v>
      </c>
    </row>
    <row r="832" spans="1:21" ht="137.5" x14ac:dyDescent="0.25">
      <c r="A832" s="53">
        <v>831</v>
      </c>
      <c r="B832" s="54" t="s">
        <v>3462</v>
      </c>
      <c r="C832" s="54" t="s">
        <v>3463</v>
      </c>
      <c r="D832" s="54" t="s">
        <v>59</v>
      </c>
      <c r="E832" s="54" t="s">
        <v>257</v>
      </c>
      <c r="F832" s="55" t="s">
        <v>3464</v>
      </c>
      <c r="G832" s="56">
        <v>43053</v>
      </c>
      <c r="H832" s="54" t="s">
        <v>3465</v>
      </c>
      <c r="I832" s="57">
        <v>43066</v>
      </c>
      <c r="J832" s="54" t="s">
        <v>965</v>
      </c>
      <c r="K832" s="54" t="s">
        <v>81</v>
      </c>
      <c r="L832" s="56"/>
      <c r="M832" s="56"/>
      <c r="N832" s="54"/>
      <c r="O832" s="54"/>
      <c r="P832" s="54"/>
      <c r="Q832" s="54"/>
      <c r="R832" s="54"/>
      <c r="S832" s="54"/>
      <c r="T832" s="54" t="s">
        <v>56</v>
      </c>
      <c r="U832" s="54" t="s">
        <v>56</v>
      </c>
    </row>
    <row r="833" spans="1:21" ht="100" x14ac:dyDescent="0.25">
      <c r="A833" s="53">
        <v>832</v>
      </c>
      <c r="B833" s="54" t="s">
        <v>3466</v>
      </c>
      <c r="C833" s="54" t="s">
        <v>3467</v>
      </c>
      <c r="D833" s="54" t="s">
        <v>50</v>
      </c>
      <c r="E833" s="54" t="s">
        <v>257</v>
      </c>
      <c r="F833" s="55" t="s">
        <v>3468</v>
      </c>
      <c r="G833" s="56">
        <v>43312</v>
      </c>
      <c r="H833" s="54" t="s">
        <v>3469</v>
      </c>
      <c r="I833" s="57">
        <v>43445</v>
      </c>
      <c r="J833" s="54" t="s">
        <v>54</v>
      </c>
      <c r="K833" s="54" t="s">
        <v>55</v>
      </c>
      <c r="L833" s="56"/>
      <c r="M833" s="56"/>
      <c r="N833" s="54"/>
      <c r="O833" s="54"/>
      <c r="P833" s="54"/>
      <c r="Q833" s="54"/>
      <c r="R833" s="54"/>
      <c r="S833" s="54"/>
      <c r="T833" s="54" t="s">
        <v>56</v>
      </c>
      <c r="U833" s="54" t="s">
        <v>56</v>
      </c>
    </row>
    <row r="834" spans="1:21" ht="100" x14ac:dyDescent="0.25">
      <c r="A834" s="53">
        <v>833</v>
      </c>
      <c r="B834" s="54" t="s">
        <v>3470</v>
      </c>
      <c r="C834" s="54" t="s">
        <v>3471</v>
      </c>
      <c r="D834" s="54" t="s">
        <v>50</v>
      </c>
      <c r="E834" s="54" t="s">
        <v>257</v>
      </c>
      <c r="F834" s="55" t="s">
        <v>3472</v>
      </c>
      <c r="G834" s="56">
        <v>43532</v>
      </c>
      <c r="H834" s="54" t="s">
        <v>3473</v>
      </c>
      <c r="I834" s="57">
        <v>43557</v>
      </c>
      <c r="J834" s="54" t="s">
        <v>54</v>
      </c>
      <c r="K834" s="54" t="s">
        <v>55</v>
      </c>
      <c r="L834" s="56"/>
      <c r="M834" s="56"/>
      <c r="N834" s="54"/>
      <c r="O834" s="54"/>
      <c r="P834" s="54"/>
      <c r="Q834" s="54"/>
      <c r="R834" s="54"/>
      <c r="S834" s="54"/>
      <c r="T834" s="54" t="s">
        <v>56</v>
      </c>
      <c r="U834" s="54" t="s">
        <v>56</v>
      </c>
    </row>
    <row r="835" spans="1:21" ht="100" x14ac:dyDescent="0.25">
      <c r="A835" s="53">
        <v>834</v>
      </c>
      <c r="B835" s="54" t="s">
        <v>3474</v>
      </c>
      <c r="C835" s="54" t="s">
        <v>3475</v>
      </c>
      <c r="D835" s="54" t="s">
        <v>50</v>
      </c>
      <c r="E835" s="54" t="s">
        <v>257</v>
      </c>
      <c r="F835" s="55" t="s">
        <v>3476</v>
      </c>
      <c r="G835" s="56">
        <v>43011</v>
      </c>
      <c r="H835" s="54" t="s">
        <v>3477</v>
      </c>
      <c r="I835" s="57">
        <v>43046</v>
      </c>
      <c r="J835" s="54" t="s">
        <v>54</v>
      </c>
      <c r="K835" s="54" t="s">
        <v>55</v>
      </c>
      <c r="L835" s="56"/>
      <c r="M835" s="56"/>
      <c r="N835" s="54"/>
      <c r="O835" s="54"/>
      <c r="P835" s="54"/>
      <c r="Q835" s="54"/>
      <c r="R835" s="54"/>
      <c r="S835" s="54"/>
      <c r="T835" s="54" t="s">
        <v>56</v>
      </c>
      <c r="U835" s="54" t="s">
        <v>56</v>
      </c>
    </row>
    <row r="836" spans="1:21" ht="37.5" x14ac:dyDescent="0.25">
      <c r="A836" s="53">
        <v>835</v>
      </c>
      <c r="B836" s="54" t="s">
        <v>3478</v>
      </c>
      <c r="C836" s="54" t="s">
        <v>3479</v>
      </c>
      <c r="D836" s="54" t="s">
        <v>59</v>
      </c>
      <c r="E836" s="54" t="s">
        <v>257</v>
      </c>
      <c r="F836" s="65" t="s">
        <v>3480</v>
      </c>
      <c r="G836" s="66">
        <v>43539</v>
      </c>
      <c r="H836" s="64" t="s">
        <v>3481</v>
      </c>
      <c r="I836" s="67">
        <v>43641</v>
      </c>
      <c r="J836" s="54" t="s">
        <v>986</v>
      </c>
      <c r="K836" s="54" t="s">
        <v>81</v>
      </c>
      <c r="L836" s="56"/>
      <c r="M836" s="56"/>
      <c r="N836" s="54"/>
      <c r="O836" s="54"/>
      <c r="P836" s="54"/>
      <c r="Q836" s="54"/>
      <c r="R836" s="54"/>
      <c r="S836" s="54"/>
      <c r="T836" s="54" t="s">
        <v>56</v>
      </c>
      <c r="U836" s="54" t="s">
        <v>56</v>
      </c>
    </row>
    <row r="837" spans="1:21" ht="125" x14ac:dyDescent="0.25">
      <c r="A837" s="53">
        <v>836</v>
      </c>
      <c r="B837" s="54" t="s">
        <v>3482</v>
      </c>
      <c r="C837" s="54" t="s">
        <v>3483</v>
      </c>
      <c r="D837" s="54" t="s">
        <v>59</v>
      </c>
      <c r="E837" s="54" t="s">
        <v>257</v>
      </c>
      <c r="F837" s="55" t="s">
        <v>3484</v>
      </c>
      <c r="G837" s="56">
        <v>42600.7555208333</v>
      </c>
      <c r="H837" s="54" t="s">
        <v>3485</v>
      </c>
      <c r="I837" s="57">
        <v>42641</v>
      </c>
      <c r="J837" s="54" t="s">
        <v>80</v>
      </c>
      <c r="K837" s="54" t="s">
        <v>55</v>
      </c>
      <c r="L837" s="56"/>
      <c r="M837" s="56"/>
      <c r="N837" s="58"/>
      <c r="O837" s="58"/>
      <c r="P837" s="58"/>
      <c r="Q837" s="59"/>
      <c r="R837" s="58"/>
      <c r="S837" s="58"/>
      <c r="T837" s="54" t="s">
        <v>56</v>
      </c>
      <c r="U837" s="54" t="s">
        <v>56</v>
      </c>
    </row>
    <row r="838" spans="1:21" ht="137.5" x14ac:dyDescent="0.25">
      <c r="A838" s="53">
        <v>837</v>
      </c>
      <c r="B838" s="54" t="s">
        <v>3486</v>
      </c>
      <c r="C838" s="54" t="s">
        <v>3487</v>
      </c>
      <c r="D838" s="54" t="s">
        <v>59</v>
      </c>
      <c r="E838" s="54" t="s">
        <v>257</v>
      </c>
      <c r="F838" s="55" t="s">
        <v>3488</v>
      </c>
      <c r="G838" s="56">
        <v>43012</v>
      </c>
      <c r="H838" s="54" t="s">
        <v>3489</v>
      </c>
      <c r="I838" s="57">
        <v>43067</v>
      </c>
      <c r="J838" s="54" t="s">
        <v>965</v>
      </c>
      <c r="K838" s="54" t="s">
        <v>81</v>
      </c>
      <c r="L838" s="56"/>
      <c r="M838" s="56"/>
      <c r="N838" s="54"/>
      <c r="O838" s="54"/>
      <c r="P838" s="54"/>
      <c r="Q838" s="54"/>
      <c r="R838" s="54"/>
      <c r="S838" s="54"/>
      <c r="T838" s="54" t="s">
        <v>56</v>
      </c>
      <c r="U838" s="54" t="s">
        <v>56</v>
      </c>
    </row>
    <row r="839" spans="1:21" ht="137.5" x14ac:dyDescent="0.25">
      <c r="A839" s="53">
        <v>838</v>
      </c>
      <c r="B839" s="54" t="s">
        <v>3490</v>
      </c>
      <c r="C839" s="54" t="s">
        <v>3491</v>
      </c>
      <c r="D839" s="54" t="s">
        <v>59</v>
      </c>
      <c r="E839" s="54" t="s">
        <v>257</v>
      </c>
      <c r="F839" s="55" t="s">
        <v>3492</v>
      </c>
      <c r="G839" s="56">
        <v>43053</v>
      </c>
      <c r="H839" s="54" t="s">
        <v>3493</v>
      </c>
      <c r="I839" s="57">
        <v>43066</v>
      </c>
      <c r="J839" s="54" t="s">
        <v>965</v>
      </c>
      <c r="K839" s="54" t="s">
        <v>81</v>
      </c>
      <c r="L839" s="56"/>
      <c r="M839" s="56"/>
      <c r="N839" s="54"/>
      <c r="O839" s="54"/>
      <c r="P839" s="54"/>
      <c r="Q839" s="54"/>
      <c r="R839" s="54"/>
      <c r="S839" s="54"/>
      <c r="T839" s="54" t="s">
        <v>56</v>
      </c>
      <c r="U839" s="54" t="s">
        <v>56</v>
      </c>
    </row>
    <row r="840" spans="1:21" ht="137.5" x14ac:dyDescent="0.25">
      <c r="A840" s="53">
        <v>839</v>
      </c>
      <c r="B840" s="54" t="s">
        <v>3494</v>
      </c>
      <c r="C840" s="54" t="s">
        <v>3495</v>
      </c>
      <c r="D840" s="54" t="s">
        <v>59</v>
      </c>
      <c r="E840" s="54" t="s">
        <v>257</v>
      </c>
      <c r="F840" s="55" t="s">
        <v>3496</v>
      </c>
      <c r="G840" s="56">
        <v>42600.755497685197</v>
      </c>
      <c r="H840" s="54" t="s">
        <v>3497</v>
      </c>
      <c r="I840" s="57">
        <v>42640</v>
      </c>
      <c r="J840" s="54" t="s">
        <v>3498</v>
      </c>
      <c r="K840" s="54" t="s">
        <v>55</v>
      </c>
      <c r="L840" s="56"/>
      <c r="M840" s="56"/>
      <c r="N840" s="58"/>
      <c r="O840" s="58"/>
      <c r="P840" s="58"/>
      <c r="Q840" s="59"/>
      <c r="R840" s="58"/>
      <c r="S840" s="58"/>
      <c r="T840" s="54" t="s">
        <v>56</v>
      </c>
      <c r="U840" s="54" t="s">
        <v>56</v>
      </c>
    </row>
    <row r="841" spans="1:21" ht="137.5" x14ac:dyDescent="0.25">
      <c r="A841" s="53">
        <v>840</v>
      </c>
      <c r="B841" s="54" t="s">
        <v>3499</v>
      </c>
      <c r="C841" s="54" t="s">
        <v>3500</v>
      </c>
      <c r="D841" s="54" t="s">
        <v>59</v>
      </c>
      <c r="E841" s="54" t="s">
        <v>257</v>
      </c>
      <c r="F841" s="55" t="s">
        <v>3501</v>
      </c>
      <c r="G841" s="56">
        <v>42600.755405092597</v>
      </c>
      <c r="H841" s="54" t="s">
        <v>3502</v>
      </c>
      <c r="I841" s="57">
        <v>42647</v>
      </c>
      <c r="J841" s="54" t="s">
        <v>3498</v>
      </c>
      <c r="K841" s="54" t="s">
        <v>55</v>
      </c>
      <c r="L841" s="56"/>
      <c r="M841" s="56"/>
      <c r="N841" s="58"/>
      <c r="O841" s="58"/>
      <c r="P841" s="58"/>
      <c r="Q841" s="59"/>
      <c r="R841" s="58"/>
      <c r="S841" s="58"/>
      <c r="T841" s="54" t="s">
        <v>56</v>
      </c>
      <c r="U841" s="54" t="s">
        <v>56</v>
      </c>
    </row>
    <row r="842" spans="1:21" ht="137.5" x14ac:dyDescent="0.25">
      <c r="A842" s="53">
        <v>841</v>
      </c>
      <c r="B842" s="54" t="s">
        <v>3503</v>
      </c>
      <c r="C842" s="54" t="s">
        <v>3504</v>
      </c>
      <c r="D842" s="54" t="s">
        <v>59</v>
      </c>
      <c r="E842" s="54" t="s">
        <v>257</v>
      </c>
      <c r="F842" s="55" t="s">
        <v>3505</v>
      </c>
      <c r="G842" s="56">
        <v>42601.338923611103</v>
      </c>
      <c r="H842" s="54" t="s">
        <v>3506</v>
      </c>
      <c r="I842" s="57">
        <v>42640</v>
      </c>
      <c r="J842" s="54" t="s">
        <v>3498</v>
      </c>
      <c r="K842" s="54" t="s">
        <v>55</v>
      </c>
      <c r="L842" s="56"/>
      <c r="M842" s="56"/>
      <c r="N842" s="58"/>
      <c r="O842" s="58"/>
      <c r="P842" s="58"/>
      <c r="Q842" s="59"/>
      <c r="R842" s="58"/>
      <c r="S842" s="58"/>
      <c r="T842" s="54" t="s">
        <v>56</v>
      </c>
      <c r="U842" s="54" t="s">
        <v>56</v>
      </c>
    </row>
    <row r="843" spans="1:21" ht="137.5" x14ac:dyDescent="0.25">
      <c r="A843" s="53">
        <v>842</v>
      </c>
      <c r="B843" s="54" t="s">
        <v>3507</v>
      </c>
      <c r="C843" s="54" t="s">
        <v>3508</v>
      </c>
      <c r="D843" s="54" t="s">
        <v>59</v>
      </c>
      <c r="E843" s="54" t="s">
        <v>257</v>
      </c>
      <c r="F843" s="55" t="s">
        <v>3509</v>
      </c>
      <c r="G843" s="56">
        <v>43012</v>
      </c>
      <c r="H843" s="54" t="s">
        <v>3510</v>
      </c>
      <c r="I843" s="57">
        <v>43046</v>
      </c>
      <c r="J843" s="54" t="s">
        <v>3498</v>
      </c>
      <c r="K843" s="54" t="s">
        <v>81</v>
      </c>
      <c r="L843" s="56"/>
      <c r="M843" s="56"/>
      <c r="N843" s="54"/>
      <c r="O843" s="54"/>
      <c r="P843" s="54"/>
      <c r="Q843" s="54"/>
      <c r="R843" s="54"/>
      <c r="S843" s="54"/>
      <c r="T843" s="54" t="s">
        <v>56</v>
      </c>
      <c r="U843" s="54" t="s">
        <v>56</v>
      </c>
    </row>
    <row r="844" spans="1:21" ht="137.5" x14ac:dyDescent="0.25">
      <c r="A844" s="53">
        <v>843</v>
      </c>
      <c r="B844" s="54" t="s">
        <v>3511</v>
      </c>
      <c r="C844" s="54" t="s">
        <v>3512</v>
      </c>
      <c r="D844" s="54" t="s">
        <v>59</v>
      </c>
      <c r="E844" s="54" t="s">
        <v>257</v>
      </c>
      <c r="F844" s="55" t="s">
        <v>3513</v>
      </c>
      <c r="G844" s="56">
        <v>42601.338888888902</v>
      </c>
      <c r="H844" s="54" t="s">
        <v>3514</v>
      </c>
      <c r="I844" s="57">
        <v>42640</v>
      </c>
      <c r="J844" s="54" t="s">
        <v>3498</v>
      </c>
      <c r="K844" s="54" t="s">
        <v>55</v>
      </c>
      <c r="L844" s="56"/>
      <c r="M844" s="56"/>
      <c r="N844" s="58"/>
      <c r="O844" s="58"/>
      <c r="P844" s="58"/>
      <c r="Q844" s="59"/>
      <c r="R844" s="58"/>
      <c r="S844" s="58"/>
      <c r="T844" s="54" t="s">
        <v>56</v>
      </c>
      <c r="U844" s="54" t="s">
        <v>56</v>
      </c>
    </row>
    <row r="845" spans="1:21" ht="37.5" x14ac:dyDescent="0.25">
      <c r="A845" s="53">
        <v>844</v>
      </c>
      <c r="B845" s="54" t="s">
        <v>3515</v>
      </c>
      <c r="C845" s="54" t="s">
        <v>3516</v>
      </c>
      <c r="D845" s="54" t="s">
        <v>59</v>
      </c>
      <c r="E845" s="54" t="s">
        <v>257</v>
      </c>
      <c r="F845" s="55" t="s">
        <v>3517</v>
      </c>
      <c r="G845" s="56">
        <v>43000</v>
      </c>
      <c r="H845" s="54" t="s">
        <v>3518</v>
      </c>
      <c r="I845" s="57">
        <v>43020</v>
      </c>
      <c r="J845" s="54" t="s">
        <v>986</v>
      </c>
      <c r="K845" s="54" t="s">
        <v>81</v>
      </c>
      <c r="L845" s="56"/>
      <c r="M845" s="56"/>
      <c r="N845" s="54"/>
      <c r="O845" s="54"/>
      <c r="P845" s="54"/>
      <c r="Q845" s="54"/>
      <c r="R845" s="54"/>
      <c r="S845" s="54"/>
      <c r="T845" s="54" t="s">
        <v>56</v>
      </c>
      <c r="U845" s="54" t="s">
        <v>56</v>
      </c>
    </row>
    <row r="846" spans="1:21" ht="137.5" x14ac:dyDescent="0.25">
      <c r="A846" s="53">
        <v>845</v>
      </c>
      <c r="B846" s="54" t="s">
        <v>3519</v>
      </c>
      <c r="C846" s="54" t="s">
        <v>3520</v>
      </c>
      <c r="D846" s="54" t="s">
        <v>59</v>
      </c>
      <c r="E846" s="54" t="s">
        <v>257</v>
      </c>
      <c r="F846" s="55" t="s">
        <v>3521</v>
      </c>
      <c r="G846" s="56">
        <v>42601.338923611103</v>
      </c>
      <c r="H846" s="54" t="s">
        <v>3522</v>
      </c>
      <c r="I846" s="57">
        <v>42628</v>
      </c>
      <c r="J846" s="54" t="s">
        <v>3498</v>
      </c>
      <c r="K846" s="54" t="s">
        <v>55</v>
      </c>
      <c r="L846" s="56"/>
      <c r="M846" s="56"/>
      <c r="N846" s="58"/>
      <c r="O846" s="58"/>
      <c r="P846" s="58"/>
      <c r="Q846" s="59"/>
      <c r="R846" s="58"/>
      <c r="S846" s="58"/>
      <c r="T846" s="54" t="s">
        <v>56</v>
      </c>
      <c r="U846" s="54" t="s">
        <v>56</v>
      </c>
    </row>
    <row r="847" spans="1:21" ht="100" x14ac:dyDescent="0.25">
      <c r="A847" s="53">
        <v>846</v>
      </c>
      <c r="B847" s="54" t="s">
        <v>3523</v>
      </c>
      <c r="C847" s="64" t="s">
        <v>3524</v>
      </c>
      <c r="D847" s="54" t="s">
        <v>50</v>
      </c>
      <c r="E847" s="54" t="s">
        <v>257</v>
      </c>
      <c r="F847" s="65" t="s">
        <v>3525</v>
      </c>
      <c r="G847" s="66">
        <v>43696</v>
      </c>
      <c r="H847" s="64" t="s">
        <v>3526</v>
      </c>
      <c r="I847" s="67">
        <v>43707</v>
      </c>
      <c r="J847" s="54" t="s">
        <v>54</v>
      </c>
      <c r="K847" s="54" t="s">
        <v>55</v>
      </c>
      <c r="L847" s="56"/>
      <c r="M847" s="56"/>
      <c r="N847" s="54"/>
      <c r="O847" s="54"/>
      <c r="P847" s="54"/>
      <c r="Q847" s="54"/>
      <c r="R847" s="54"/>
      <c r="S847" s="54"/>
      <c r="T847" s="54" t="s">
        <v>56</v>
      </c>
      <c r="U847" s="54" t="s">
        <v>56</v>
      </c>
    </row>
    <row r="848" spans="1:21" ht="100" x14ac:dyDescent="0.25">
      <c r="A848" s="53">
        <v>847</v>
      </c>
      <c r="B848" s="54" t="s">
        <v>3527</v>
      </c>
      <c r="C848" s="54" t="s">
        <v>3528</v>
      </c>
      <c r="D848" s="54" t="s">
        <v>50</v>
      </c>
      <c r="E848" s="54" t="s">
        <v>257</v>
      </c>
      <c r="F848" s="55" t="s">
        <v>3529</v>
      </c>
      <c r="G848" s="56">
        <v>43005</v>
      </c>
      <c r="H848" s="54" t="s">
        <v>3530</v>
      </c>
      <c r="I848" s="57">
        <v>43038</v>
      </c>
      <c r="J848" s="54" t="s">
        <v>54</v>
      </c>
      <c r="K848" s="54" t="s">
        <v>55</v>
      </c>
      <c r="L848" s="56"/>
      <c r="M848" s="56"/>
      <c r="N848" s="54"/>
      <c r="O848" s="54"/>
      <c r="P848" s="54"/>
      <c r="Q848" s="54"/>
      <c r="R848" s="54"/>
      <c r="S848" s="54"/>
      <c r="T848" s="54" t="s">
        <v>56</v>
      </c>
      <c r="U848" s="54" t="s">
        <v>56</v>
      </c>
    </row>
    <row r="849" spans="1:21" ht="137.5" x14ac:dyDescent="0.25">
      <c r="A849" s="53">
        <v>848</v>
      </c>
      <c r="B849" s="54" t="s">
        <v>3531</v>
      </c>
      <c r="C849" s="54" t="s">
        <v>3532</v>
      </c>
      <c r="D849" s="54" t="s">
        <v>59</v>
      </c>
      <c r="E849" s="54" t="s">
        <v>257</v>
      </c>
      <c r="F849" s="55" t="s">
        <v>3533</v>
      </c>
      <c r="G849" s="56">
        <v>42686</v>
      </c>
      <c r="H849" s="54" t="s">
        <v>3534</v>
      </c>
      <c r="I849" s="57">
        <v>42754</v>
      </c>
      <c r="J849" s="54" t="s">
        <v>3498</v>
      </c>
      <c r="K849" s="54" t="s">
        <v>55</v>
      </c>
      <c r="L849" s="56"/>
      <c r="M849" s="56"/>
      <c r="N849" s="58"/>
      <c r="O849" s="58"/>
      <c r="P849" s="58"/>
      <c r="Q849" s="59"/>
      <c r="R849" s="58"/>
      <c r="S849" s="58"/>
      <c r="T849" s="54" t="s">
        <v>56</v>
      </c>
      <c r="U849" s="54" t="s">
        <v>56</v>
      </c>
    </row>
    <row r="850" spans="1:21" ht="137.5" x14ac:dyDescent="0.25">
      <c r="A850" s="53">
        <v>849</v>
      </c>
      <c r="B850" s="54" t="s">
        <v>3535</v>
      </c>
      <c r="C850" s="54" t="s">
        <v>3536</v>
      </c>
      <c r="D850" s="54" t="s">
        <v>59</v>
      </c>
      <c r="E850" s="54" t="s">
        <v>257</v>
      </c>
      <c r="F850" s="55" t="s">
        <v>3537</v>
      </c>
      <c r="G850" s="56">
        <v>42600.755462963003</v>
      </c>
      <c r="H850" s="54" t="s">
        <v>3538</v>
      </c>
      <c r="I850" s="57">
        <v>42640</v>
      </c>
      <c r="J850" s="54" t="s">
        <v>3498</v>
      </c>
      <c r="K850" s="54" t="s">
        <v>55</v>
      </c>
      <c r="L850" s="56"/>
      <c r="M850" s="56"/>
      <c r="N850" s="58"/>
      <c r="O850" s="58"/>
      <c r="P850" s="58"/>
      <c r="Q850" s="59"/>
      <c r="R850" s="58"/>
      <c r="S850" s="58"/>
      <c r="T850" s="54" t="s">
        <v>56</v>
      </c>
      <c r="U850" s="54" t="s">
        <v>56</v>
      </c>
    </row>
    <row r="851" spans="1:21" ht="137.5" x14ac:dyDescent="0.25">
      <c r="A851" s="53">
        <v>850</v>
      </c>
      <c r="B851" s="54" t="s">
        <v>3539</v>
      </c>
      <c r="C851" s="54" t="s">
        <v>3540</v>
      </c>
      <c r="D851" s="54" t="s">
        <v>59</v>
      </c>
      <c r="E851" s="54" t="s">
        <v>257</v>
      </c>
      <c r="F851" s="55" t="s">
        <v>3541</v>
      </c>
      <c r="G851" s="56">
        <v>42601.338888888902</v>
      </c>
      <c r="H851" s="54" t="s">
        <v>3542</v>
      </c>
      <c r="I851" s="57">
        <v>42640</v>
      </c>
      <c r="J851" s="54" t="s">
        <v>3498</v>
      </c>
      <c r="K851" s="54" t="s">
        <v>55</v>
      </c>
      <c r="L851" s="56"/>
      <c r="M851" s="56"/>
      <c r="N851" s="58"/>
      <c r="O851" s="58"/>
      <c r="P851" s="58"/>
      <c r="Q851" s="59"/>
      <c r="R851" s="58"/>
      <c r="S851" s="58"/>
      <c r="T851" s="54" t="s">
        <v>56</v>
      </c>
      <c r="U851" s="54" t="s">
        <v>56</v>
      </c>
    </row>
    <row r="852" spans="1:21" ht="137.5" x14ac:dyDescent="0.25">
      <c r="A852" s="53">
        <v>851</v>
      </c>
      <c r="B852" s="54" t="s">
        <v>3543</v>
      </c>
      <c r="C852" s="54" t="s">
        <v>3544</v>
      </c>
      <c r="D852" s="54" t="s">
        <v>59</v>
      </c>
      <c r="E852" s="54" t="s">
        <v>257</v>
      </c>
      <c r="F852" s="55" t="s">
        <v>3545</v>
      </c>
      <c r="G852" s="56">
        <v>42600.755405092597</v>
      </c>
      <c r="H852" s="54" t="s">
        <v>3546</v>
      </c>
      <c r="I852" s="57">
        <v>42646</v>
      </c>
      <c r="J852" s="54" t="s">
        <v>3498</v>
      </c>
      <c r="K852" s="54" t="s">
        <v>55</v>
      </c>
      <c r="L852" s="56"/>
      <c r="M852" s="56"/>
      <c r="N852" s="58"/>
      <c r="O852" s="58"/>
      <c r="P852" s="58"/>
      <c r="Q852" s="59"/>
      <c r="R852" s="58"/>
      <c r="S852" s="58"/>
      <c r="T852" s="54" t="s">
        <v>56</v>
      </c>
      <c r="U852" s="54" t="s">
        <v>56</v>
      </c>
    </row>
    <row r="853" spans="1:21" ht="37.5" x14ac:dyDescent="0.25">
      <c r="A853" s="53">
        <v>852</v>
      </c>
      <c r="B853" s="54" t="s">
        <v>3547</v>
      </c>
      <c r="C853" s="54" t="s">
        <v>3548</v>
      </c>
      <c r="D853" s="54" t="s">
        <v>59</v>
      </c>
      <c r="E853" s="54" t="s">
        <v>257</v>
      </c>
      <c r="F853" s="55" t="s">
        <v>3549</v>
      </c>
      <c r="G853" s="56">
        <v>43307</v>
      </c>
      <c r="H853" s="54" t="s">
        <v>3550</v>
      </c>
      <c r="I853" s="57">
        <v>43438</v>
      </c>
      <c r="J853" s="54" t="s">
        <v>986</v>
      </c>
      <c r="K853" s="54" t="s">
        <v>81</v>
      </c>
      <c r="L853" s="56"/>
      <c r="M853" s="56"/>
      <c r="N853" s="54"/>
      <c r="O853" s="54"/>
      <c r="P853" s="54"/>
      <c r="Q853" s="54"/>
      <c r="R853" s="54"/>
      <c r="S853" s="54"/>
      <c r="T853" s="54" t="s">
        <v>56</v>
      </c>
      <c r="U853" s="54" t="s">
        <v>56</v>
      </c>
    </row>
    <row r="854" spans="1:21" ht="137.5" x14ac:dyDescent="0.25">
      <c r="A854" s="53">
        <v>853</v>
      </c>
      <c r="B854" s="54" t="s">
        <v>3551</v>
      </c>
      <c r="C854" s="54" t="s">
        <v>3552</v>
      </c>
      <c r="D854" s="54" t="s">
        <v>59</v>
      </c>
      <c r="E854" s="54" t="s">
        <v>257</v>
      </c>
      <c r="F854" s="55" t="s">
        <v>3553</v>
      </c>
      <c r="G854" s="56">
        <v>42600.755509259303</v>
      </c>
      <c r="H854" s="54" t="s">
        <v>3554</v>
      </c>
      <c r="I854" s="57">
        <v>42640</v>
      </c>
      <c r="J854" s="54" t="s">
        <v>3498</v>
      </c>
      <c r="K854" s="54" t="s">
        <v>55</v>
      </c>
      <c r="L854" s="56"/>
      <c r="M854" s="56"/>
      <c r="N854" s="58"/>
      <c r="O854" s="58"/>
      <c r="P854" s="58"/>
      <c r="Q854" s="59"/>
      <c r="R854" s="58"/>
      <c r="S854" s="58"/>
      <c r="T854" s="54" t="s">
        <v>56</v>
      </c>
      <c r="U854" s="54" t="s">
        <v>56</v>
      </c>
    </row>
    <row r="855" spans="1:21" ht="100" x14ac:dyDescent="0.25">
      <c r="A855" s="53">
        <v>854</v>
      </c>
      <c r="B855" s="54" t="s">
        <v>3555</v>
      </c>
      <c r="C855" s="54" t="s">
        <v>3556</v>
      </c>
      <c r="D855" s="54" t="s">
        <v>50</v>
      </c>
      <c r="E855" s="54" t="s">
        <v>257</v>
      </c>
      <c r="F855" s="55" t="s">
        <v>3557</v>
      </c>
      <c r="G855" s="56">
        <v>43005</v>
      </c>
      <c r="H855" s="54" t="s">
        <v>3558</v>
      </c>
      <c r="I855" s="57">
        <v>43038</v>
      </c>
      <c r="J855" s="54" t="s">
        <v>54</v>
      </c>
      <c r="K855" s="54" t="s">
        <v>55</v>
      </c>
      <c r="L855" s="56"/>
      <c r="M855" s="56"/>
      <c r="N855" s="54"/>
      <c r="O855" s="54"/>
      <c r="P855" s="54"/>
      <c r="Q855" s="54"/>
      <c r="R855" s="54"/>
      <c r="S855" s="54"/>
      <c r="T855" s="54" t="s">
        <v>56</v>
      </c>
      <c r="U855" s="54" t="s">
        <v>56</v>
      </c>
    </row>
    <row r="856" spans="1:21" ht="100" x14ac:dyDescent="0.25">
      <c r="A856" s="53">
        <v>855</v>
      </c>
      <c r="B856" s="54" t="s">
        <v>3559</v>
      </c>
      <c r="C856" s="54" t="s">
        <v>3560</v>
      </c>
      <c r="D856" s="54" t="s">
        <v>50</v>
      </c>
      <c r="E856" s="54" t="s">
        <v>257</v>
      </c>
      <c r="F856" s="55" t="s">
        <v>3561</v>
      </c>
      <c r="G856" s="56">
        <v>43010</v>
      </c>
      <c r="H856" s="54" t="s">
        <v>3562</v>
      </c>
      <c r="I856" s="57">
        <v>43038</v>
      </c>
      <c r="J856" s="54" t="s">
        <v>54</v>
      </c>
      <c r="K856" s="54" t="s">
        <v>55</v>
      </c>
      <c r="L856" s="56"/>
      <c r="M856" s="56"/>
      <c r="N856" s="54"/>
      <c r="O856" s="54"/>
      <c r="P856" s="54"/>
      <c r="Q856" s="54"/>
      <c r="R856" s="54"/>
      <c r="S856" s="54"/>
      <c r="T856" s="54" t="s">
        <v>56</v>
      </c>
      <c r="U856" s="54" t="s">
        <v>56</v>
      </c>
    </row>
    <row r="857" spans="1:21" ht="100" x14ac:dyDescent="0.25">
      <c r="A857" s="53">
        <v>856</v>
      </c>
      <c r="B857" s="54" t="s">
        <v>3563</v>
      </c>
      <c r="C857" s="54" t="s">
        <v>3564</v>
      </c>
      <c r="D857" s="54" t="s">
        <v>50</v>
      </c>
      <c r="E857" s="54" t="s">
        <v>257</v>
      </c>
      <c r="F857" s="55" t="s">
        <v>3565</v>
      </c>
      <c r="G857" s="56">
        <v>43000</v>
      </c>
      <c r="H857" s="54" t="s">
        <v>3566</v>
      </c>
      <c r="I857" s="57">
        <v>43020</v>
      </c>
      <c r="J857" s="54" t="s">
        <v>54</v>
      </c>
      <c r="K857" s="54" t="s">
        <v>55</v>
      </c>
      <c r="L857" s="56"/>
      <c r="M857" s="56"/>
      <c r="N857" s="54"/>
      <c r="O857" s="54"/>
      <c r="P857" s="54"/>
      <c r="Q857" s="54"/>
      <c r="R857" s="54"/>
      <c r="S857" s="54"/>
      <c r="T857" s="54" t="s">
        <v>56</v>
      </c>
      <c r="U857" s="54" t="s">
        <v>56</v>
      </c>
    </row>
    <row r="858" spans="1:21" ht="100" x14ac:dyDescent="0.25">
      <c r="A858" s="53">
        <v>857</v>
      </c>
      <c r="B858" s="54" t="s">
        <v>3567</v>
      </c>
      <c r="C858" s="54" t="s">
        <v>3568</v>
      </c>
      <c r="D858" s="54" t="s">
        <v>50</v>
      </c>
      <c r="E858" s="54" t="s">
        <v>257</v>
      </c>
      <c r="F858" s="55" t="s">
        <v>3569</v>
      </c>
      <c r="G858" s="56">
        <v>42689</v>
      </c>
      <c r="H858" s="54" t="s">
        <v>3570</v>
      </c>
      <c r="I858" s="57">
        <v>42754</v>
      </c>
      <c r="J858" s="54" t="s">
        <v>54</v>
      </c>
      <c r="K858" s="54" t="s">
        <v>55</v>
      </c>
      <c r="L858" s="56"/>
      <c r="M858" s="56"/>
      <c r="N858" s="58"/>
      <c r="O858" s="58"/>
      <c r="P858" s="58"/>
      <c r="Q858" s="59"/>
      <c r="R858" s="58"/>
      <c r="S858" s="58"/>
      <c r="T858" s="54" t="s">
        <v>56</v>
      </c>
      <c r="U858" s="54" t="s">
        <v>56</v>
      </c>
    </row>
    <row r="859" spans="1:21" ht="137.5" x14ac:dyDescent="0.25">
      <c r="A859" s="53">
        <v>858</v>
      </c>
      <c r="B859" s="54" t="s">
        <v>3571</v>
      </c>
      <c r="C859" s="54" t="s">
        <v>3572</v>
      </c>
      <c r="D859" s="54" t="s">
        <v>59</v>
      </c>
      <c r="E859" s="54" t="s">
        <v>257</v>
      </c>
      <c r="F859" s="55" t="s">
        <v>3573</v>
      </c>
      <c r="G859" s="56">
        <v>42600.755474537</v>
      </c>
      <c r="H859" s="54" t="s">
        <v>3574</v>
      </c>
      <c r="I859" s="57">
        <v>42646</v>
      </c>
      <c r="J859" s="54" t="s">
        <v>3498</v>
      </c>
      <c r="K859" s="54" t="s">
        <v>55</v>
      </c>
      <c r="L859" s="56"/>
      <c r="M859" s="56"/>
      <c r="N859" s="58"/>
      <c r="O859" s="58"/>
      <c r="P859" s="58"/>
      <c r="Q859" s="59"/>
      <c r="R859" s="58"/>
      <c r="S859" s="58"/>
      <c r="T859" s="54" t="s">
        <v>56</v>
      </c>
      <c r="U859" s="54" t="s">
        <v>56</v>
      </c>
    </row>
    <row r="860" spans="1:21" ht="137.5" x14ac:dyDescent="0.25">
      <c r="A860" s="53">
        <v>859</v>
      </c>
      <c r="B860" s="54" t="s">
        <v>3575</v>
      </c>
      <c r="C860" s="54" t="s">
        <v>3576</v>
      </c>
      <c r="D860" s="54" t="s">
        <v>59</v>
      </c>
      <c r="E860" s="54" t="s">
        <v>257</v>
      </c>
      <c r="F860" s="55" t="s">
        <v>3577</v>
      </c>
      <c r="G860" s="56">
        <v>42600.755486111098</v>
      </c>
      <c r="H860" s="54" t="s">
        <v>3578</v>
      </c>
      <c r="I860" s="57">
        <v>42640</v>
      </c>
      <c r="J860" s="54" t="s">
        <v>3498</v>
      </c>
      <c r="K860" s="54" t="s">
        <v>55</v>
      </c>
      <c r="L860" s="56"/>
      <c r="M860" s="56"/>
      <c r="N860" s="58"/>
      <c r="O860" s="58"/>
      <c r="P860" s="58"/>
      <c r="Q860" s="59"/>
      <c r="R860" s="58"/>
      <c r="S860" s="58"/>
      <c r="T860" s="54" t="s">
        <v>56</v>
      </c>
      <c r="U860" s="54" t="s">
        <v>56</v>
      </c>
    </row>
    <row r="861" spans="1:21" ht="37.5" x14ac:dyDescent="0.25">
      <c r="A861" s="53">
        <v>860</v>
      </c>
      <c r="B861" s="54" t="s">
        <v>3579</v>
      </c>
      <c r="C861" s="64" t="s">
        <v>3580</v>
      </c>
      <c r="D861" s="54" t="s">
        <v>59</v>
      </c>
      <c r="E861" s="54" t="s">
        <v>257</v>
      </c>
      <c r="F861" s="65" t="s">
        <v>3581</v>
      </c>
      <c r="G861" s="66">
        <v>43524</v>
      </c>
      <c r="H861" s="64" t="s">
        <v>3582</v>
      </c>
      <c r="I861" s="67">
        <v>43626</v>
      </c>
      <c r="J861" s="54" t="s">
        <v>986</v>
      </c>
      <c r="K861" s="54" t="s">
        <v>81</v>
      </c>
      <c r="L861" s="56"/>
      <c r="M861" s="56"/>
      <c r="N861" s="54"/>
      <c r="O861" s="54"/>
      <c r="P861" s="54"/>
      <c r="Q861" s="54"/>
      <c r="R861" s="54"/>
      <c r="S861" s="54"/>
      <c r="T861" s="54" t="s">
        <v>56</v>
      </c>
      <c r="U861" s="54" t="s">
        <v>56</v>
      </c>
    </row>
    <row r="862" spans="1:21" ht="112.5" x14ac:dyDescent="0.25">
      <c r="A862" s="53">
        <v>861</v>
      </c>
      <c r="B862" s="54" t="s">
        <v>3583</v>
      </c>
      <c r="C862" s="54" t="s">
        <v>3584</v>
      </c>
      <c r="D862" s="54" t="s">
        <v>59</v>
      </c>
      <c r="E862" s="54" t="s">
        <v>257</v>
      </c>
      <c r="F862" s="55" t="s">
        <v>3585</v>
      </c>
      <c r="G862" s="56">
        <v>42600.755532407398</v>
      </c>
      <c r="H862" s="54" t="s">
        <v>3586</v>
      </c>
      <c r="I862" s="57">
        <v>42657</v>
      </c>
      <c r="J862" s="54" t="s">
        <v>3018</v>
      </c>
      <c r="K862" s="54" t="s">
        <v>55</v>
      </c>
      <c r="L862" s="56"/>
      <c r="M862" s="56"/>
      <c r="N862" s="58"/>
      <c r="O862" s="58"/>
      <c r="P862" s="58"/>
      <c r="Q862" s="59"/>
      <c r="R862" s="58"/>
      <c r="S862" s="58"/>
      <c r="T862" s="54" t="s">
        <v>56</v>
      </c>
      <c r="U862" s="54" t="s">
        <v>56</v>
      </c>
    </row>
    <row r="863" spans="1:21" ht="100" x14ac:dyDescent="0.25">
      <c r="A863" s="53">
        <v>862</v>
      </c>
      <c r="B863" s="54" t="s">
        <v>3587</v>
      </c>
      <c r="C863" s="54" t="s">
        <v>3588</v>
      </c>
      <c r="D863" s="54" t="s">
        <v>50</v>
      </c>
      <c r="E863" s="54" t="s">
        <v>257</v>
      </c>
      <c r="F863" s="65" t="s">
        <v>3589</v>
      </c>
      <c r="G863" s="66">
        <v>43332</v>
      </c>
      <c r="H863" s="64" t="s">
        <v>3590</v>
      </c>
      <c r="I863" s="67">
        <v>43696</v>
      </c>
      <c r="J863" s="54" t="s">
        <v>54</v>
      </c>
      <c r="K863" s="54" t="s">
        <v>55</v>
      </c>
      <c r="L863" s="56"/>
      <c r="M863" s="56"/>
      <c r="N863" s="54"/>
      <c r="O863" s="54"/>
      <c r="P863" s="54"/>
      <c r="Q863" s="54"/>
      <c r="R863" s="54"/>
      <c r="S863" s="54"/>
      <c r="T863" s="54" t="s">
        <v>56</v>
      </c>
      <c r="U863" s="54" t="s">
        <v>56</v>
      </c>
    </row>
    <row r="864" spans="1:21" ht="137.5" x14ac:dyDescent="0.25">
      <c r="A864" s="53">
        <v>863</v>
      </c>
      <c r="B864" s="54" t="s">
        <v>3591</v>
      </c>
      <c r="C864" s="54" t="s">
        <v>3592</v>
      </c>
      <c r="D864" s="54" t="s">
        <v>59</v>
      </c>
      <c r="E864" s="54" t="s">
        <v>257</v>
      </c>
      <c r="F864" s="55" t="s">
        <v>3593</v>
      </c>
      <c r="G864" s="56">
        <v>42600.755497685197</v>
      </c>
      <c r="H864" s="54" t="s">
        <v>3594</v>
      </c>
      <c r="I864" s="57">
        <v>42640</v>
      </c>
      <c r="J864" s="54" t="s">
        <v>3498</v>
      </c>
      <c r="K864" s="54" t="s">
        <v>55</v>
      </c>
      <c r="L864" s="56"/>
      <c r="M864" s="56"/>
      <c r="N864" s="58"/>
      <c r="O864" s="58"/>
      <c r="P864" s="58"/>
      <c r="Q864" s="59"/>
      <c r="R864" s="58"/>
      <c r="S864" s="58"/>
      <c r="T864" s="54" t="s">
        <v>56</v>
      </c>
      <c r="U864" s="54" t="s">
        <v>56</v>
      </c>
    </row>
    <row r="865" spans="1:21" ht="137.5" x14ac:dyDescent="0.25">
      <c r="A865" s="53">
        <v>864</v>
      </c>
      <c r="B865" s="54" t="s">
        <v>3595</v>
      </c>
      <c r="C865" s="54" t="s">
        <v>3596</v>
      </c>
      <c r="D865" s="54" t="s">
        <v>59</v>
      </c>
      <c r="E865" s="54" t="s">
        <v>257</v>
      </c>
      <c r="F865" s="55" t="s">
        <v>3597</v>
      </c>
      <c r="G865" s="56">
        <v>42601.338912036997</v>
      </c>
      <c r="H865" s="54" t="s">
        <v>3598</v>
      </c>
      <c r="I865" s="57">
        <v>42640</v>
      </c>
      <c r="J865" s="54" t="s">
        <v>3498</v>
      </c>
      <c r="K865" s="54" t="s">
        <v>55</v>
      </c>
      <c r="L865" s="56"/>
      <c r="M865" s="56"/>
      <c r="N865" s="58"/>
      <c r="O865" s="58"/>
      <c r="P865" s="58"/>
      <c r="Q865" s="59"/>
      <c r="R865" s="58"/>
      <c r="S865" s="58"/>
      <c r="T865" s="54" t="s">
        <v>56</v>
      </c>
      <c r="U865" s="54" t="s">
        <v>56</v>
      </c>
    </row>
    <row r="866" spans="1:21" ht="100" x14ac:dyDescent="0.25">
      <c r="A866" s="53">
        <v>865</v>
      </c>
      <c r="B866" s="54" t="s">
        <v>3599</v>
      </c>
      <c r="C866" s="54" t="s">
        <v>3600</v>
      </c>
      <c r="D866" s="54" t="s">
        <v>50</v>
      </c>
      <c r="E866" s="54" t="s">
        <v>257</v>
      </c>
      <c r="F866" s="55" t="s">
        <v>3601</v>
      </c>
      <c r="G866" s="56">
        <v>43532</v>
      </c>
      <c r="H866" s="54" t="s">
        <v>3602</v>
      </c>
      <c r="I866" s="57">
        <v>43557</v>
      </c>
      <c r="J866" s="54" t="s">
        <v>54</v>
      </c>
      <c r="K866" s="54" t="s">
        <v>55</v>
      </c>
      <c r="L866" s="56"/>
      <c r="M866" s="56"/>
      <c r="N866" s="54"/>
      <c r="O866" s="54"/>
      <c r="P866" s="54"/>
      <c r="Q866" s="54"/>
      <c r="R866" s="54"/>
      <c r="S866" s="54"/>
      <c r="T866" s="54" t="s">
        <v>56</v>
      </c>
      <c r="U866" s="54" t="s">
        <v>56</v>
      </c>
    </row>
    <row r="867" spans="1:21" ht="100" x14ac:dyDescent="0.25">
      <c r="A867" s="53">
        <v>866</v>
      </c>
      <c r="B867" s="54" t="s">
        <v>3603</v>
      </c>
      <c r="C867" s="54" t="s">
        <v>3604</v>
      </c>
      <c r="D867" s="54" t="s">
        <v>50</v>
      </c>
      <c r="E867" s="54" t="s">
        <v>257</v>
      </c>
      <c r="F867" s="55" t="s">
        <v>3605</v>
      </c>
      <c r="G867" s="56">
        <v>43053</v>
      </c>
      <c r="H867" s="54" t="s">
        <v>3606</v>
      </c>
      <c r="I867" s="57">
        <v>43066</v>
      </c>
      <c r="J867" s="54" t="s">
        <v>54</v>
      </c>
      <c r="K867" s="54" t="s">
        <v>55</v>
      </c>
      <c r="L867" s="56"/>
      <c r="M867" s="56"/>
      <c r="N867" s="54"/>
      <c r="O867" s="54"/>
      <c r="P867" s="54"/>
      <c r="Q867" s="54"/>
      <c r="R867" s="54"/>
      <c r="S867" s="54"/>
      <c r="T867" s="54" t="s">
        <v>56</v>
      </c>
      <c r="U867" s="54" t="s">
        <v>56</v>
      </c>
    </row>
    <row r="868" spans="1:21" ht="100" x14ac:dyDescent="0.25">
      <c r="A868" s="53">
        <v>867</v>
      </c>
      <c r="B868" s="54" t="s">
        <v>3607</v>
      </c>
      <c r="C868" s="54" t="s">
        <v>3608</v>
      </c>
      <c r="D868" s="54" t="s">
        <v>50</v>
      </c>
      <c r="E868" s="54" t="s">
        <v>257</v>
      </c>
      <c r="F868" s="55" t="s">
        <v>3609</v>
      </c>
      <c r="G868" s="56">
        <v>42685</v>
      </c>
      <c r="H868" s="54" t="s">
        <v>3610</v>
      </c>
      <c r="I868" s="57">
        <v>42754</v>
      </c>
      <c r="J868" s="54" t="s">
        <v>54</v>
      </c>
      <c r="K868" s="54" t="s">
        <v>55</v>
      </c>
      <c r="L868" s="56"/>
      <c r="M868" s="56"/>
      <c r="N868" s="58"/>
      <c r="O868" s="58"/>
      <c r="P868" s="58"/>
      <c r="Q868" s="59"/>
      <c r="R868" s="58"/>
      <c r="S868" s="58"/>
      <c r="T868" s="54" t="s">
        <v>104</v>
      </c>
      <c r="U868" s="54" t="s">
        <v>105</v>
      </c>
    </row>
    <row r="869" spans="1:21" ht="100" x14ac:dyDescent="0.25">
      <c r="A869" s="53">
        <v>868</v>
      </c>
      <c r="B869" s="54" t="s">
        <v>3611</v>
      </c>
      <c r="C869" s="54" t="s">
        <v>3612</v>
      </c>
      <c r="D869" s="54" t="s">
        <v>50</v>
      </c>
      <c r="E869" s="54" t="s">
        <v>257</v>
      </c>
      <c r="F869" s="55" t="s">
        <v>3613</v>
      </c>
      <c r="G869" s="56">
        <v>43053</v>
      </c>
      <c r="H869" s="54" t="s">
        <v>3614</v>
      </c>
      <c r="I869" s="57">
        <v>43066</v>
      </c>
      <c r="J869" s="54" t="s">
        <v>54</v>
      </c>
      <c r="K869" s="54" t="s">
        <v>55</v>
      </c>
      <c r="L869" s="56"/>
      <c r="M869" s="56"/>
      <c r="N869" s="54"/>
      <c r="O869" s="54"/>
      <c r="P869" s="54"/>
      <c r="Q869" s="54"/>
      <c r="R869" s="54"/>
      <c r="S869" s="54"/>
      <c r="T869" s="54" t="s">
        <v>56</v>
      </c>
      <c r="U869" s="54" t="s">
        <v>56</v>
      </c>
    </row>
    <row r="870" spans="1:21" ht="100" x14ac:dyDescent="0.25">
      <c r="A870" s="53">
        <v>869</v>
      </c>
      <c r="B870" s="54" t="s">
        <v>3615</v>
      </c>
      <c r="C870" s="54" t="s">
        <v>3616</v>
      </c>
      <c r="D870" s="54" t="s">
        <v>50</v>
      </c>
      <c r="E870" s="54" t="s">
        <v>257</v>
      </c>
      <c r="F870" s="55" t="s">
        <v>3617</v>
      </c>
      <c r="G870" s="56">
        <v>43053</v>
      </c>
      <c r="H870" s="54" t="s">
        <v>3618</v>
      </c>
      <c r="I870" s="57">
        <v>43066</v>
      </c>
      <c r="J870" s="54" t="s">
        <v>54</v>
      </c>
      <c r="K870" s="54" t="s">
        <v>55</v>
      </c>
      <c r="L870" s="56"/>
      <c r="M870" s="56"/>
      <c r="N870" s="54"/>
      <c r="O870" s="54"/>
      <c r="P870" s="54"/>
      <c r="Q870" s="54"/>
      <c r="R870" s="54"/>
      <c r="S870" s="54"/>
      <c r="T870" s="54" t="s">
        <v>104</v>
      </c>
      <c r="U870" s="54" t="s">
        <v>105</v>
      </c>
    </row>
    <row r="871" spans="1:21" ht="137.5" x14ac:dyDescent="0.25">
      <c r="A871" s="53">
        <v>870</v>
      </c>
      <c r="B871" s="79" t="s">
        <v>3619</v>
      </c>
      <c r="C871" s="54" t="s">
        <v>3620</v>
      </c>
      <c r="D871" s="54" t="s">
        <v>59</v>
      </c>
      <c r="E871" s="54" t="s">
        <v>257</v>
      </c>
      <c r="F871" s="55" t="s">
        <v>3621</v>
      </c>
      <c r="G871" s="56">
        <v>43000</v>
      </c>
      <c r="H871" s="54" t="s">
        <v>3622</v>
      </c>
      <c r="I871" s="57">
        <v>43021</v>
      </c>
      <c r="J871" s="54" t="s">
        <v>3498</v>
      </c>
      <c r="K871" s="54" t="s">
        <v>55</v>
      </c>
      <c r="L871" s="56"/>
      <c r="M871" s="56"/>
      <c r="N871" s="54"/>
      <c r="O871" s="54"/>
      <c r="P871" s="54"/>
      <c r="Q871" s="54"/>
      <c r="R871" s="54"/>
      <c r="S871" s="54"/>
      <c r="T871" s="54" t="s">
        <v>1146</v>
      </c>
      <c r="U871" s="54" t="s">
        <v>105</v>
      </c>
    </row>
    <row r="872" spans="1:21" ht="137.5" x14ac:dyDescent="0.25">
      <c r="A872" s="53">
        <v>871</v>
      </c>
      <c r="B872" s="54" t="s">
        <v>3623</v>
      </c>
      <c r="C872" s="54" t="s">
        <v>3624</v>
      </c>
      <c r="D872" s="54" t="s">
        <v>59</v>
      </c>
      <c r="E872" s="54" t="s">
        <v>257</v>
      </c>
      <c r="F872" s="55" t="s">
        <v>3625</v>
      </c>
      <c r="G872" s="56">
        <v>42997</v>
      </c>
      <c r="H872" s="54" t="s">
        <v>3626</v>
      </c>
      <c r="I872" s="57">
        <v>43038</v>
      </c>
      <c r="J872" s="54" t="s">
        <v>3498</v>
      </c>
      <c r="K872" s="54" t="s">
        <v>81</v>
      </c>
      <c r="L872" s="56"/>
      <c r="M872" s="56"/>
      <c r="N872" s="54"/>
      <c r="O872" s="54"/>
      <c r="P872" s="54"/>
      <c r="Q872" s="54"/>
      <c r="R872" s="54"/>
      <c r="S872" s="54"/>
      <c r="T872" s="54" t="s">
        <v>56</v>
      </c>
      <c r="U872" s="54" t="s">
        <v>56</v>
      </c>
    </row>
    <row r="873" spans="1:21" ht="137.5" x14ac:dyDescent="0.25">
      <c r="A873" s="53">
        <v>872</v>
      </c>
      <c r="B873" s="54" t="s">
        <v>3627</v>
      </c>
      <c r="C873" s="54" t="s">
        <v>3628</v>
      </c>
      <c r="D873" s="54" t="s">
        <v>59</v>
      </c>
      <c r="E873" s="54" t="s">
        <v>257</v>
      </c>
      <c r="F873" s="55" t="s">
        <v>3629</v>
      </c>
      <c r="G873" s="56">
        <v>43012</v>
      </c>
      <c r="H873" s="54" t="s">
        <v>3630</v>
      </c>
      <c r="I873" s="57">
        <v>43046</v>
      </c>
      <c r="J873" s="54" t="s">
        <v>3498</v>
      </c>
      <c r="K873" s="54" t="s">
        <v>81</v>
      </c>
      <c r="L873" s="56"/>
      <c r="M873" s="56"/>
      <c r="N873" s="54"/>
      <c r="O873" s="54"/>
      <c r="P873" s="54"/>
      <c r="Q873" s="54"/>
      <c r="R873" s="54"/>
      <c r="S873" s="54"/>
      <c r="T873" s="54" t="s">
        <v>56</v>
      </c>
      <c r="U873" s="54" t="s">
        <v>56</v>
      </c>
    </row>
    <row r="874" spans="1:21" ht="137.5" x14ac:dyDescent="0.25">
      <c r="A874" s="53">
        <v>873</v>
      </c>
      <c r="B874" s="54" t="s">
        <v>3631</v>
      </c>
      <c r="C874" s="54" t="s">
        <v>3632</v>
      </c>
      <c r="D874" s="54" t="s">
        <v>59</v>
      </c>
      <c r="E874" s="54" t="s">
        <v>257</v>
      </c>
      <c r="F874" s="55" t="s">
        <v>3633</v>
      </c>
      <c r="G874" s="56">
        <v>42600.755509259303</v>
      </c>
      <c r="H874" s="54" t="s">
        <v>3634</v>
      </c>
      <c r="I874" s="57">
        <v>42640</v>
      </c>
      <c r="J874" s="54" t="s">
        <v>3498</v>
      </c>
      <c r="K874" s="54" t="s">
        <v>55</v>
      </c>
      <c r="L874" s="56"/>
      <c r="M874" s="56"/>
      <c r="N874" s="58"/>
      <c r="O874" s="58"/>
      <c r="P874" s="58"/>
      <c r="Q874" s="59"/>
      <c r="R874" s="58"/>
      <c r="S874" s="58"/>
      <c r="T874" s="54" t="s">
        <v>56</v>
      </c>
      <c r="U874" s="54" t="s">
        <v>56</v>
      </c>
    </row>
    <row r="875" spans="1:21" ht="37.5" x14ac:dyDescent="0.25">
      <c r="A875" s="53">
        <v>874</v>
      </c>
      <c r="B875" s="54" t="s">
        <v>3635</v>
      </c>
      <c r="C875" s="54" t="s">
        <v>3636</v>
      </c>
      <c r="D875" s="54" t="s">
        <v>59</v>
      </c>
      <c r="E875" s="54" t="s">
        <v>257</v>
      </c>
      <c r="F875" s="55" t="s">
        <v>3637</v>
      </c>
      <c r="G875" s="56">
        <v>43000</v>
      </c>
      <c r="H875" s="54" t="s">
        <v>3638</v>
      </c>
      <c r="I875" s="57">
        <v>43020</v>
      </c>
      <c r="J875" s="54" t="s">
        <v>986</v>
      </c>
      <c r="K875" s="54" t="s">
        <v>81</v>
      </c>
      <c r="L875" s="56"/>
      <c r="M875" s="56"/>
      <c r="N875" s="54"/>
      <c r="O875" s="54"/>
      <c r="P875" s="54"/>
      <c r="Q875" s="54"/>
      <c r="R875" s="54"/>
      <c r="S875" s="54"/>
      <c r="T875" s="54" t="s">
        <v>56</v>
      </c>
      <c r="U875" s="54" t="s">
        <v>56</v>
      </c>
    </row>
    <row r="876" spans="1:21" ht="50" x14ac:dyDescent="0.25">
      <c r="A876" s="53">
        <v>875</v>
      </c>
      <c r="B876" s="54" t="s">
        <v>3639</v>
      </c>
      <c r="C876" s="54" t="s">
        <v>3640</v>
      </c>
      <c r="D876" s="54" t="s">
        <v>59</v>
      </c>
      <c r="E876" s="54" t="s">
        <v>257</v>
      </c>
      <c r="F876" s="55" t="s">
        <v>3641</v>
      </c>
      <c r="G876" s="56">
        <v>43025</v>
      </c>
      <c r="H876" s="59" t="s">
        <v>3642</v>
      </c>
      <c r="I876" s="57">
        <v>43038</v>
      </c>
      <c r="J876" s="54" t="s">
        <v>2797</v>
      </c>
      <c r="K876" s="54" t="s">
        <v>55</v>
      </c>
      <c r="L876" s="56"/>
      <c r="M876" s="56"/>
      <c r="N876" s="54"/>
      <c r="O876" s="54"/>
      <c r="P876" s="54"/>
      <c r="Q876" s="54"/>
      <c r="R876" s="54"/>
      <c r="S876" s="54"/>
      <c r="T876" s="54" t="s">
        <v>56</v>
      </c>
      <c r="U876" s="54" t="s">
        <v>56</v>
      </c>
    </row>
    <row r="877" spans="1:21" ht="137.5" x14ac:dyDescent="0.25">
      <c r="A877" s="53">
        <v>876</v>
      </c>
      <c r="B877" s="54" t="s">
        <v>3643</v>
      </c>
      <c r="C877" s="54" t="s">
        <v>3644</v>
      </c>
      <c r="D877" s="54" t="s">
        <v>59</v>
      </c>
      <c r="E877" s="54" t="s">
        <v>257</v>
      </c>
      <c r="F877" s="55" t="s">
        <v>3645</v>
      </c>
      <c r="G877" s="56">
        <v>43000.7137268519</v>
      </c>
      <c r="H877" s="54" t="s">
        <v>3646</v>
      </c>
      <c r="I877" s="57">
        <v>43046</v>
      </c>
      <c r="J877" s="54" t="s">
        <v>3498</v>
      </c>
      <c r="K877" s="54" t="s">
        <v>81</v>
      </c>
      <c r="L877" s="56"/>
      <c r="M877" s="56"/>
      <c r="N877" s="54"/>
      <c r="O877" s="54"/>
      <c r="P877" s="54"/>
      <c r="Q877" s="54"/>
      <c r="R877" s="54"/>
      <c r="S877" s="54"/>
      <c r="T877" s="54" t="s">
        <v>56</v>
      </c>
      <c r="U877" s="54" t="s">
        <v>56</v>
      </c>
    </row>
    <row r="878" spans="1:21" ht="137.5" x14ac:dyDescent="0.25">
      <c r="A878" s="53">
        <v>877</v>
      </c>
      <c r="B878" s="79" t="s">
        <v>3647</v>
      </c>
      <c r="C878" s="54" t="s">
        <v>3648</v>
      </c>
      <c r="D878" s="54" t="s">
        <v>59</v>
      </c>
      <c r="E878" s="54" t="s">
        <v>257</v>
      </c>
      <c r="F878" s="55" t="s">
        <v>3649</v>
      </c>
      <c r="G878" s="56">
        <v>42601.338877314804</v>
      </c>
      <c r="H878" s="54" t="s">
        <v>3650</v>
      </c>
      <c r="I878" s="57">
        <v>42640</v>
      </c>
      <c r="J878" s="54" t="s">
        <v>3498</v>
      </c>
      <c r="K878" s="54" t="s">
        <v>55</v>
      </c>
      <c r="L878" s="56"/>
      <c r="M878" s="56"/>
      <c r="N878" s="58"/>
      <c r="O878" s="58"/>
      <c r="P878" s="58"/>
      <c r="Q878" s="59"/>
      <c r="R878" s="58"/>
      <c r="S878" s="58"/>
      <c r="T878" s="54" t="s">
        <v>56</v>
      </c>
      <c r="U878" s="54" t="s">
        <v>56</v>
      </c>
    </row>
    <row r="879" spans="1:21" ht="112.5" x14ac:dyDescent="0.25">
      <c r="A879" s="53">
        <v>878</v>
      </c>
      <c r="B879" s="54" t="s">
        <v>3651</v>
      </c>
      <c r="C879" s="54" t="s">
        <v>3652</v>
      </c>
      <c r="D879" s="54" t="s">
        <v>59</v>
      </c>
      <c r="E879" s="54" t="s">
        <v>257</v>
      </c>
      <c r="F879" s="55" t="s">
        <v>3653</v>
      </c>
      <c r="G879" s="56">
        <v>42600.755439814799</v>
      </c>
      <c r="H879" s="54" t="s">
        <v>3654</v>
      </c>
      <c r="I879" s="57">
        <v>42657</v>
      </c>
      <c r="J879" s="54" t="s">
        <v>3018</v>
      </c>
      <c r="K879" s="54" t="s">
        <v>55</v>
      </c>
      <c r="L879" s="56"/>
      <c r="M879" s="56"/>
      <c r="N879" s="58"/>
      <c r="O879" s="58"/>
      <c r="P879" s="58"/>
      <c r="Q879" s="59"/>
      <c r="R879" s="58"/>
      <c r="S879" s="58"/>
      <c r="T879" s="54" t="s">
        <v>56</v>
      </c>
      <c r="U879" s="54" t="s">
        <v>56</v>
      </c>
    </row>
    <row r="880" spans="1:21" ht="137.5" x14ac:dyDescent="0.25">
      <c r="A880" s="53">
        <v>879</v>
      </c>
      <c r="B880" s="54" t="s">
        <v>3655</v>
      </c>
      <c r="C880" s="54" t="s">
        <v>3656</v>
      </c>
      <c r="D880" s="54" t="s">
        <v>59</v>
      </c>
      <c r="E880" s="54" t="s">
        <v>257</v>
      </c>
      <c r="F880" s="55" t="s">
        <v>3657</v>
      </c>
      <c r="G880" s="56">
        <v>42997</v>
      </c>
      <c r="H880" s="54" t="s">
        <v>3658</v>
      </c>
      <c r="I880" s="57">
        <v>43038</v>
      </c>
      <c r="J880" s="54" t="s">
        <v>3498</v>
      </c>
      <c r="K880" s="54" t="s">
        <v>81</v>
      </c>
      <c r="L880" s="56"/>
      <c r="M880" s="56"/>
      <c r="N880" s="54"/>
      <c r="O880" s="54"/>
      <c r="P880" s="54"/>
      <c r="Q880" s="54"/>
      <c r="R880" s="54"/>
      <c r="S880" s="54"/>
      <c r="T880" s="54" t="s">
        <v>56</v>
      </c>
      <c r="U880" s="54" t="s">
        <v>56</v>
      </c>
    </row>
    <row r="881" spans="1:21" ht="137.5" x14ac:dyDescent="0.25">
      <c r="A881" s="53">
        <v>880</v>
      </c>
      <c r="B881" s="54" t="s">
        <v>3659</v>
      </c>
      <c r="C881" s="54" t="s">
        <v>3660</v>
      </c>
      <c r="D881" s="54" t="s">
        <v>59</v>
      </c>
      <c r="E881" s="54" t="s">
        <v>257</v>
      </c>
      <c r="F881" s="55" t="s">
        <v>3661</v>
      </c>
      <c r="G881" s="56">
        <v>42600.7554282407</v>
      </c>
      <c r="H881" s="54" t="s">
        <v>3662</v>
      </c>
      <c r="I881" s="57">
        <v>42640</v>
      </c>
      <c r="J881" s="54" t="s">
        <v>3498</v>
      </c>
      <c r="K881" s="54" t="s">
        <v>55</v>
      </c>
      <c r="L881" s="56"/>
      <c r="M881" s="56"/>
      <c r="N881" s="58"/>
      <c r="O881" s="58"/>
      <c r="P881" s="58"/>
      <c r="Q881" s="59"/>
      <c r="R881" s="58"/>
      <c r="S881" s="58"/>
      <c r="T881" s="54" t="s">
        <v>56</v>
      </c>
      <c r="U881" s="54" t="s">
        <v>56</v>
      </c>
    </row>
    <row r="882" spans="1:21" ht="112.5" x14ac:dyDescent="0.25">
      <c r="A882" s="53">
        <v>881</v>
      </c>
      <c r="B882" s="54" t="s">
        <v>3663</v>
      </c>
      <c r="C882" s="54" t="s">
        <v>3664</v>
      </c>
      <c r="D882" s="54" t="s">
        <v>59</v>
      </c>
      <c r="E882" s="54" t="s">
        <v>257</v>
      </c>
      <c r="F882" s="55" t="s">
        <v>3665</v>
      </c>
      <c r="G882" s="56">
        <v>42600.7554282407</v>
      </c>
      <c r="H882" s="54" t="s">
        <v>3666</v>
      </c>
      <c r="I882" s="57">
        <v>42657</v>
      </c>
      <c r="J882" s="54" t="s">
        <v>3018</v>
      </c>
      <c r="K882" s="54" t="s">
        <v>55</v>
      </c>
      <c r="L882" s="56"/>
      <c r="M882" s="56"/>
      <c r="N882" s="58"/>
      <c r="O882" s="58"/>
      <c r="P882" s="58"/>
      <c r="Q882" s="59"/>
      <c r="R882" s="58"/>
      <c r="S882" s="58"/>
      <c r="T882" s="54" t="s">
        <v>56</v>
      </c>
      <c r="U882" s="54" t="s">
        <v>56</v>
      </c>
    </row>
    <row r="883" spans="1:21" ht="137.5" x14ac:dyDescent="0.25">
      <c r="A883" s="53">
        <v>882</v>
      </c>
      <c r="B883" s="54" t="s">
        <v>3667</v>
      </c>
      <c r="C883" s="54" t="s">
        <v>3668</v>
      </c>
      <c r="D883" s="54" t="s">
        <v>59</v>
      </c>
      <c r="E883" s="54" t="s">
        <v>257</v>
      </c>
      <c r="F883" s="55" t="s">
        <v>3669</v>
      </c>
      <c r="G883" s="56">
        <v>42600.755509259303</v>
      </c>
      <c r="H883" s="54" t="s">
        <v>3670</v>
      </c>
      <c r="I883" s="57">
        <v>42640</v>
      </c>
      <c r="J883" s="54" t="s">
        <v>3498</v>
      </c>
      <c r="K883" s="54" t="s">
        <v>55</v>
      </c>
      <c r="L883" s="56"/>
      <c r="M883" s="56"/>
      <c r="N883" s="58"/>
      <c r="O883" s="58"/>
      <c r="P883" s="58"/>
      <c r="Q883" s="59"/>
      <c r="R883" s="58"/>
      <c r="S883" s="58"/>
      <c r="T883" s="54" t="s">
        <v>56</v>
      </c>
      <c r="U883" s="54" t="s">
        <v>56</v>
      </c>
    </row>
    <row r="884" spans="1:21" ht="112.5" x14ac:dyDescent="0.25">
      <c r="A884" s="53">
        <v>883</v>
      </c>
      <c r="B884" s="54" t="s">
        <v>3671</v>
      </c>
      <c r="C884" s="54" t="s">
        <v>3672</v>
      </c>
      <c r="D884" s="54" t="s">
        <v>59</v>
      </c>
      <c r="E884" s="54" t="s">
        <v>257</v>
      </c>
      <c r="F884" s="55" t="s">
        <v>3673</v>
      </c>
      <c r="G884" s="56">
        <v>42600.755439814799</v>
      </c>
      <c r="H884" s="54" t="s">
        <v>3674</v>
      </c>
      <c r="I884" s="57">
        <v>42657</v>
      </c>
      <c r="J884" s="54" t="s">
        <v>3018</v>
      </c>
      <c r="K884" s="54" t="s">
        <v>55</v>
      </c>
      <c r="L884" s="56"/>
      <c r="M884" s="56"/>
      <c r="N884" s="58"/>
      <c r="O884" s="58"/>
      <c r="P884" s="58"/>
      <c r="Q884" s="59"/>
      <c r="R884" s="58"/>
      <c r="S884" s="58"/>
      <c r="T884" s="54" t="s">
        <v>56</v>
      </c>
      <c r="U884" s="54" t="s">
        <v>56</v>
      </c>
    </row>
    <row r="885" spans="1:21" ht="137.5" x14ac:dyDescent="0.25">
      <c r="A885" s="53">
        <v>884</v>
      </c>
      <c r="B885" s="54" t="s">
        <v>3675</v>
      </c>
      <c r="C885" s="54" t="s">
        <v>3676</v>
      </c>
      <c r="D885" s="54" t="s">
        <v>59</v>
      </c>
      <c r="E885" s="54" t="s">
        <v>257</v>
      </c>
      <c r="F885" s="55" t="s">
        <v>3677</v>
      </c>
      <c r="G885" s="56">
        <v>42601.338912036997</v>
      </c>
      <c r="H885" s="54" t="s">
        <v>3678</v>
      </c>
      <c r="I885" s="57">
        <v>42640</v>
      </c>
      <c r="J885" s="54" t="s">
        <v>3498</v>
      </c>
      <c r="K885" s="54" t="s">
        <v>55</v>
      </c>
      <c r="L885" s="56"/>
      <c r="M885" s="56"/>
      <c r="N885" s="58"/>
      <c r="O885" s="58"/>
      <c r="P885" s="58"/>
      <c r="Q885" s="59"/>
      <c r="R885" s="58"/>
      <c r="S885" s="58"/>
      <c r="T885" s="54" t="s">
        <v>56</v>
      </c>
      <c r="U885" s="54" t="s">
        <v>56</v>
      </c>
    </row>
    <row r="886" spans="1:21" ht="137.5" x14ac:dyDescent="0.25">
      <c r="A886" s="53">
        <v>885</v>
      </c>
      <c r="B886" s="54" t="s">
        <v>3679</v>
      </c>
      <c r="C886" s="54" t="s">
        <v>3680</v>
      </c>
      <c r="D886" s="54" t="s">
        <v>59</v>
      </c>
      <c r="E886" s="54" t="s">
        <v>257</v>
      </c>
      <c r="F886" s="55" t="s">
        <v>3681</v>
      </c>
      <c r="G886" s="56">
        <v>42605.041747685202</v>
      </c>
      <c r="H886" s="54" t="s">
        <v>3682</v>
      </c>
      <c r="I886" s="57">
        <v>42640</v>
      </c>
      <c r="J886" s="54" t="s">
        <v>3498</v>
      </c>
      <c r="K886" s="54" t="s">
        <v>55</v>
      </c>
      <c r="L886" s="56"/>
      <c r="M886" s="56"/>
      <c r="N886" s="58"/>
      <c r="O886" s="58"/>
      <c r="P886" s="58"/>
      <c r="Q886" s="59"/>
      <c r="R886" s="58"/>
      <c r="S886" s="58"/>
      <c r="T886" s="54" t="s">
        <v>56</v>
      </c>
      <c r="U886" s="54" t="s">
        <v>56</v>
      </c>
    </row>
    <row r="887" spans="1:21" ht="137.5" x14ac:dyDescent="0.25">
      <c r="A887" s="53">
        <v>886</v>
      </c>
      <c r="B887" s="54" t="s">
        <v>3683</v>
      </c>
      <c r="C887" s="54" t="s">
        <v>3684</v>
      </c>
      <c r="D887" s="54" t="s">
        <v>59</v>
      </c>
      <c r="E887" s="54" t="s">
        <v>257</v>
      </c>
      <c r="F887" s="55" t="s">
        <v>3685</v>
      </c>
      <c r="G887" s="56">
        <v>42600.755486111098</v>
      </c>
      <c r="H887" s="54" t="s">
        <v>3686</v>
      </c>
      <c r="I887" s="57">
        <v>42647</v>
      </c>
      <c r="J887" s="54" t="s">
        <v>3498</v>
      </c>
      <c r="K887" s="54" t="s">
        <v>55</v>
      </c>
      <c r="L887" s="56"/>
      <c r="M887" s="56"/>
      <c r="N887" s="58"/>
      <c r="O887" s="58"/>
      <c r="P887" s="58"/>
      <c r="Q887" s="59"/>
      <c r="R887" s="58"/>
      <c r="S887" s="58"/>
      <c r="T887" s="54" t="s">
        <v>56</v>
      </c>
      <c r="U887" s="54" t="s">
        <v>56</v>
      </c>
    </row>
    <row r="888" spans="1:21" ht="100" x14ac:dyDescent="0.25">
      <c r="A888" s="53">
        <v>887</v>
      </c>
      <c r="B888" s="54" t="s">
        <v>3687</v>
      </c>
      <c r="C888" s="54" t="s">
        <v>3688</v>
      </c>
      <c r="D888" s="54" t="s">
        <v>50</v>
      </c>
      <c r="E888" s="54" t="s">
        <v>257</v>
      </c>
      <c r="F888" s="65" t="s">
        <v>3689</v>
      </c>
      <c r="G888" s="66">
        <v>43307</v>
      </c>
      <c r="H888" s="64" t="s">
        <v>3690</v>
      </c>
      <c r="I888" s="67">
        <v>43725</v>
      </c>
      <c r="J888" s="54" t="s">
        <v>54</v>
      </c>
      <c r="K888" s="54" t="s">
        <v>55</v>
      </c>
      <c r="L888" s="56"/>
      <c r="M888" s="56"/>
      <c r="N888" s="54"/>
      <c r="O888" s="54"/>
      <c r="P888" s="54"/>
      <c r="Q888" s="54"/>
      <c r="R888" s="54"/>
      <c r="S888" s="54"/>
      <c r="T888" s="54" t="s">
        <v>56</v>
      </c>
      <c r="U888" s="54" t="s">
        <v>56</v>
      </c>
    </row>
    <row r="889" spans="1:21" ht="100" x14ac:dyDescent="0.25">
      <c r="A889" s="53">
        <v>888</v>
      </c>
      <c r="B889" s="54" t="s">
        <v>3691</v>
      </c>
      <c r="C889" s="64" t="s">
        <v>3692</v>
      </c>
      <c r="D889" s="54" t="s">
        <v>50</v>
      </c>
      <c r="E889" s="54" t="s">
        <v>257</v>
      </c>
      <c r="F889" s="65" t="s">
        <v>3693</v>
      </c>
      <c r="G889" s="66">
        <v>43448</v>
      </c>
      <c r="H889" s="64" t="s">
        <v>3694</v>
      </c>
      <c r="I889" s="67">
        <v>43510</v>
      </c>
      <c r="J889" s="54" t="s">
        <v>54</v>
      </c>
      <c r="K889" s="54" t="s">
        <v>55</v>
      </c>
      <c r="L889" s="56"/>
      <c r="M889" s="56"/>
      <c r="N889" s="54"/>
      <c r="O889" s="54"/>
      <c r="P889" s="54"/>
      <c r="Q889" s="54"/>
      <c r="R889" s="54"/>
      <c r="S889" s="54"/>
      <c r="T889" s="54" t="s">
        <v>56</v>
      </c>
      <c r="U889" s="54" t="s">
        <v>56</v>
      </c>
    </row>
    <row r="890" spans="1:21" ht="100" x14ac:dyDescent="0.25">
      <c r="A890" s="53">
        <v>889</v>
      </c>
      <c r="B890" s="54" t="s">
        <v>3695</v>
      </c>
      <c r="C890" s="54" t="s">
        <v>3696</v>
      </c>
      <c r="D890" s="54" t="s">
        <v>50</v>
      </c>
      <c r="E890" s="54" t="s">
        <v>257</v>
      </c>
      <c r="F890" s="55" t="s">
        <v>3697</v>
      </c>
      <c r="G890" s="56">
        <v>42685</v>
      </c>
      <c r="H890" s="54" t="s">
        <v>3698</v>
      </c>
      <c r="I890" s="57">
        <v>42754</v>
      </c>
      <c r="J890" s="54" t="s">
        <v>54</v>
      </c>
      <c r="K890" s="54" t="s">
        <v>55</v>
      </c>
      <c r="L890" s="56"/>
      <c r="M890" s="56"/>
      <c r="N890" s="58"/>
      <c r="O890" s="58"/>
      <c r="P890" s="58"/>
      <c r="Q890" s="59"/>
      <c r="R890" s="58"/>
      <c r="S890" s="58"/>
      <c r="T890" s="54" t="s">
        <v>56</v>
      </c>
      <c r="U890" s="54" t="s">
        <v>56</v>
      </c>
    </row>
    <row r="891" spans="1:21" ht="100" x14ac:dyDescent="0.25">
      <c r="A891" s="53">
        <v>890</v>
      </c>
      <c r="B891" s="54" t="s">
        <v>3699</v>
      </c>
      <c r="C891" s="54" t="s">
        <v>3700</v>
      </c>
      <c r="D891" s="54" t="s">
        <v>50</v>
      </c>
      <c r="E891" s="54" t="s">
        <v>257</v>
      </c>
      <c r="F891" s="65" t="s">
        <v>3701</v>
      </c>
      <c r="G891" s="66">
        <v>43307</v>
      </c>
      <c r="H891" s="64" t="s">
        <v>3702</v>
      </c>
      <c r="I891" s="67">
        <v>43697</v>
      </c>
      <c r="J891" s="54" t="s">
        <v>54</v>
      </c>
      <c r="K891" s="54" t="s">
        <v>55</v>
      </c>
      <c r="L891" s="56"/>
      <c r="M891" s="56">
        <v>43830</v>
      </c>
      <c r="N891" s="54" t="s">
        <v>3703</v>
      </c>
      <c r="O891" s="59">
        <v>44680</v>
      </c>
      <c r="P891" s="54"/>
      <c r="Q891" s="54"/>
      <c r="R891" s="54"/>
      <c r="S891" s="54"/>
      <c r="T891" s="54" t="s">
        <v>87</v>
      </c>
      <c r="U891" s="58" t="s">
        <v>88</v>
      </c>
    </row>
    <row r="892" spans="1:21" ht="137.5" x14ac:dyDescent="0.25">
      <c r="A892" s="53">
        <v>891</v>
      </c>
      <c r="B892" s="54" t="s">
        <v>3704</v>
      </c>
      <c r="C892" s="54" t="s">
        <v>3705</v>
      </c>
      <c r="D892" s="54" t="s">
        <v>59</v>
      </c>
      <c r="E892" s="54" t="s">
        <v>257</v>
      </c>
      <c r="F892" s="55" t="s">
        <v>3706</v>
      </c>
      <c r="G892" s="56">
        <v>42601.338923611103</v>
      </c>
      <c r="H892" s="54" t="s">
        <v>3707</v>
      </c>
      <c r="I892" s="57">
        <v>42640</v>
      </c>
      <c r="J892" s="54" t="s">
        <v>3498</v>
      </c>
      <c r="K892" s="54" t="s">
        <v>55</v>
      </c>
      <c r="L892" s="56"/>
      <c r="M892" s="56"/>
      <c r="N892" s="58"/>
      <c r="O892" s="58"/>
      <c r="P892" s="58"/>
      <c r="Q892" s="59"/>
      <c r="R892" s="58"/>
      <c r="S892" s="58"/>
      <c r="T892" s="54" t="s">
        <v>56</v>
      </c>
      <c r="U892" s="54" t="s">
        <v>56</v>
      </c>
    </row>
    <row r="893" spans="1:21" ht="75" x14ac:dyDescent="0.25">
      <c r="A893" s="53">
        <v>892</v>
      </c>
      <c r="B893" s="54" t="s">
        <v>3708</v>
      </c>
      <c r="C893" s="54" t="s">
        <v>3709</v>
      </c>
      <c r="D893" s="54" t="s">
        <v>59</v>
      </c>
      <c r="E893" s="54" t="s">
        <v>3710</v>
      </c>
      <c r="F893" s="55" t="s">
        <v>3711</v>
      </c>
      <c r="G893" s="56">
        <v>43853</v>
      </c>
      <c r="H893" s="54" t="s">
        <v>3712</v>
      </c>
      <c r="I893" s="57">
        <v>43929</v>
      </c>
      <c r="J893" s="54" t="s">
        <v>3713</v>
      </c>
      <c r="K893" s="54" t="s">
        <v>81</v>
      </c>
      <c r="L893" s="56"/>
      <c r="M893" s="56"/>
      <c r="N893" s="54"/>
      <c r="O893" s="54"/>
      <c r="P893" s="54"/>
      <c r="Q893" s="54"/>
      <c r="R893" s="54"/>
      <c r="S893" s="54"/>
      <c r="T893" s="54" t="s">
        <v>56</v>
      </c>
      <c r="U893" s="54" t="s">
        <v>56</v>
      </c>
    </row>
    <row r="894" spans="1:21" ht="100" x14ac:dyDescent="0.25">
      <c r="A894" s="53">
        <v>893</v>
      </c>
      <c r="B894" s="54" t="s">
        <v>3714</v>
      </c>
      <c r="C894" s="54" t="s">
        <v>3715</v>
      </c>
      <c r="D894" s="54" t="s">
        <v>50</v>
      </c>
      <c r="E894" s="54" t="s">
        <v>3710</v>
      </c>
      <c r="F894" s="55" t="s">
        <v>3716</v>
      </c>
      <c r="G894" s="56">
        <v>43305</v>
      </c>
      <c r="H894" s="54" t="s">
        <v>3717</v>
      </c>
      <c r="I894" s="57">
        <v>43412</v>
      </c>
      <c r="J894" s="54" t="s">
        <v>54</v>
      </c>
      <c r="K894" s="54" t="s">
        <v>55</v>
      </c>
      <c r="L894" s="56"/>
      <c r="M894" s="56"/>
      <c r="N894" s="54"/>
      <c r="O894" s="54"/>
      <c r="P894" s="54"/>
      <c r="Q894" s="54"/>
      <c r="R894" s="54"/>
      <c r="S894" s="54"/>
      <c r="T894" s="54" t="s">
        <v>56</v>
      </c>
      <c r="U894" s="54" t="s">
        <v>56</v>
      </c>
    </row>
    <row r="895" spans="1:21" ht="75" x14ac:dyDescent="0.25">
      <c r="A895" s="53">
        <v>894</v>
      </c>
      <c r="B895" s="54" t="s">
        <v>3718</v>
      </c>
      <c r="C895" s="54" t="s">
        <v>3719</v>
      </c>
      <c r="D895" s="54" t="s">
        <v>59</v>
      </c>
      <c r="E895" s="54" t="s">
        <v>3710</v>
      </c>
      <c r="F895" s="55" t="s">
        <v>3720</v>
      </c>
      <c r="G895" s="56">
        <v>43305</v>
      </c>
      <c r="H895" s="54" t="s">
        <v>3721</v>
      </c>
      <c r="I895" s="57">
        <v>43413</v>
      </c>
      <c r="J895" s="54" t="s">
        <v>1</v>
      </c>
      <c r="K895" s="54" t="s">
        <v>55</v>
      </c>
      <c r="L895" s="56"/>
      <c r="M895" s="56"/>
      <c r="N895" s="54"/>
      <c r="O895" s="54"/>
      <c r="P895" s="54"/>
      <c r="Q895" s="54"/>
      <c r="R895" s="54"/>
      <c r="S895" s="54"/>
      <c r="T895" s="54" t="s">
        <v>56</v>
      </c>
      <c r="U895" s="54" t="s">
        <v>56</v>
      </c>
    </row>
    <row r="896" spans="1:21" ht="75" x14ac:dyDescent="0.25">
      <c r="A896" s="53">
        <v>895</v>
      </c>
      <c r="B896" s="54" t="s">
        <v>3722</v>
      </c>
      <c r="C896" s="54" t="s">
        <v>3723</v>
      </c>
      <c r="D896" s="54" t="s">
        <v>59</v>
      </c>
      <c r="E896" s="54" t="s">
        <v>3710</v>
      </c>
      <c r="F896" s="55" t="s">
        <v>3724</v>
      </c>
      <c r="G896" s="56">
        <v>43677</v>
      </c>
      <c r="H896" s="54" t="s">
        <v>3725</v>
      </c>
      <c r="I896" s="57">
        <v>43762</v>
      </c>
      <c r="J896" s="54" t="s">
        <v>3713</v>
      </c>
      <c r="K896" s="54" t="s">
        <v>81</v>
      </c>
      <c r="L896" s="56"/>
      <c r="M896" s="56"/>
      <c r="N896" s="54"/>
      <c r="O896" s="54"/>
      <c r="P896" s="54"/>
      <c r="Q896" s="54"/>
      <c r="R896" s="54"/>
      <c r="S896" s="54"/>
      <c r="T896" s="54" t="s">
        <v>56</v>
      </c>
      <c r="U896" s="54" t="s">
        <v>56</v>
      </c>
    </row>
    <row r="897" spans="1:21" ht="112.5" x14ac:dyDescent="0.25">
      <c r="A897" s="53">
        <v>896</v>
      </c>
      <c r="B897" s="54" t="s">
        <v>3726</v>
      </c>
      <c r="C897" s="59" t="s">
        <v>3727</v>
      </c>
      <c r="D897" s="54" t="s">
        <v>59</v>
      </c>
      <c r="E897" s="54" t="s">
        <v>3710</v>
      </c>
      <c r="F897" s="55" t="s">
        <v>3728</v>
      </c>
      <c r="G897" s="56">
        <v>43794</v>
      </c>
      <c r="H897" s="54" t="s">
        <v>3729</v>
      </c>
      <c r="I897" s="57">
        <v>43902</v>
      </c>
      <c r="J897" s="54" t="s">
        <v>557</v>
      </c>
      <c r="K897" s="54" t="s">
        <v>81</v>
      </c>
      <c r="L897" s="56"/>
      <c r="M897" s="56"/>
      <c r="N897" s="54"/>
      <c r="O897" s="54"/>
      <c r="P897" s="54"/>
      <c r="Q897" s="54"/>
      <c r="R897" s="54"/>
      <c r="S897" s="54"/>
      <c r="T897" s="54" t="s">
        <v>56</v>
      </c>
      <c r="U897" s="54" t="s">
        <v>56</v>
      </c>
    </row>
    <row r="898" spans="1:21" ht="112.5" x14ac:dyDescent="0.25">
      <c r="A898" s="53">
        <v>897</v>
      </c>
      <c r="B898" s="54" t="s">
        <v>3730</v>
      </c>
      <c r="C898" s="59" t="s">
        <v>3731</v>
      </c>
      <c r="D898" s="54" t="s">
        <v>59</v>
      </c>
      <c r="E898" s="54" t="s">
        <v>3710</v>
      </c>
      <c r="F898" s="55" t="s">
        <v>3732</v>
      </c>
      <c r="G898" s="56" t="s">
        <v>3733</v>
      </c>
      <c r="H898" s="54" t="s">
        <v>3734</v>
      </c>
      <c r="I898" s="57">
        <v>43853</v>
      </c>
      <c r="J898" s="54" t="s">
        <v>557</v>
      </c>
      <c r="K898" s="54" t="s">
        <v>81</v>
      </c>
      <c r="L898" s="56"/>
      <c r="M898" s="56"/>
      <c r="N898" s="54"/>
      <c r="O898" s="54"/>
      <c r="P898" s="54"/>
      <c r="Q898" s="54"/>
      <c r="R898" s="54"/>
      <c r="S898" s="54"/>
      <c r="T898" s="54" t="s">
        <v>56</v>
      </c>
      <c r="U898" s="54" t="s">
        <v>56</v>
      </c>
    </row>
    <row r="899" spans="1:21" ht="100" x14ac:dyDescent="0.25">
      <c r="A899" s="53">
        <v>898</v>
      </c>
      <c r="B899" s="79" t="s">
        <v>3735</v>
      </c>
      <c r="C899" s="54" t="s">
        <v>3736</v>
      </c>
      <c r="D899" s="54" t="s">
        <v>50</v>
      </c>
      <c r="E899" s="54" t="s">
        <v>3710</v>
      </c>
      <c r="F899" s="55" t="s">
        <v>3737</v>
      </c>
      <c r="G899" s="56">
        <v>43305</v>
      </c>
      <c r="H899" s="54" t="s">
        <v>3738</v>
      </c>
      <c r="I899" s="57">
        <v>43431</v>
      </c>
      <c r="J899" s="54" t="s">
        <v>54</v>
      </c>
      <c r="K899" s="54" t="s">
        <v>55</v>
      </c>
      <c r="L899" s="56"/>
      <c r="M899" s="56">
        <v>42369</v>
      </c>
      <c r="N899" s="54" t="s">
        <v>260</v>
      </c>
      <c r="O899" s="59">
        <v>44414</v>
      </c>
      <c r="P899" s="54"/>
      <c r="Q899" s="54"/>
      <c r="R899" s="54"/>
      <c r="S899" s="54"/>
      <c r="T899" s="58" t="s">
        <v>87</v>
      </c>
      <c r="U899" s="54" t="s">
        <v>88</v>
      </c>
    </row>
    <row r="900" spans="1:21" ht="100" x14ac:dyDescent="0.25">
      <c r="A900" s="53">
        <v>899</v>
      </c>
      <c r="B900" s="54" t="s">
        <v>3739</v>
      </c>
      <c r="C900" s="54" t="s">
        <v>3740</v>
      </c>
      <c r="D900" s="54" t="s">
        <v>50</v>
      </c>
      <c r="E900" s="54" t="s">
        <v>3710</v>
      </c>
      <c r="F900" s="55" t="s">
        <v>3741</v>
      </c>
      <c r="G900" s="56">
        <v>42685</v>
      </c>
      <c r="H900" s="54" t="s">
        <v>3742</v>
      </c>
      <c r="I900" s="57">
        <v>42752</v>
      </c>
      <c r="J900" s="54" t="s">
        <v>54</v>
      </c>
      <c r="K900" s="54" t="s">
        <v>55</v>
      </c>
      <c r="L900" s="56"/>
      <c r="M900" s="56"/>
      <c r="N900" s="58"/>
      <c r="O900" s="58"/>
      <c r="P900" s="58"/>
      <c r="Q900" s="59"/>
      <c r="R900" s="58"/>
      <c r="S900" s="58"/>
      <c r="T900" s="54" t="s">
        <v>56</v>
      </c>
      <c r="U900" s="54" t="s">
        <v>56</v>
      </c>
    </row>
    <row r="901" spans="1:21" ht="100" x14ac:dyDescent="0.25">
      <c r="A901" s="53">
        <v>900</v>
      </c>
      <c r="B901" s="54" t="s">
        <v>3743</v>
      </c>
      <c r="C901" s="54" t="s">
        <v>3744</v>
      </c>
      <c r="D901" s="54" t="s">
        <v>50</v>
      </c>
      <c r="E901" s="54" t="s">
        <v>3710</v>
      </c>
      <c r="F901" s="55" t="s">
        <v>3745</v>
      </c>
      <c r="G901" s="56">
        <v>43003</v>
      </c>
      <c r="H901" s="54" t="s">
        <v>3746</v>
      </c>
      <c r="I901" s="57">
        <v>43014</v>
      </c>
      <c r="J901" s="54" t="s">
        <v>54</v>
      </c>
      <c r="K901" s="54" t="s">
        <v>55</v>
      </c>
      <c r="L901" s="56"/>
      <c r="M901" s="56"/>
      <c r="N901" s="54"/>
      <c r="O901" s="54"/>
      <c r="P901" s="54"/>
      <c r="Q901" s="54"/>
      <c r="R901" s="54"/>
      <c r="S901" s="54"/>
      <c r="T901" s="54" t="s">
        <v>56</v>
      </c>
      <c r="U901" s="54" t="s">
        <v>56</v>
      </c>
    </row>
    <row r="902" spans="1:21" ht="100" x14ac:dyDescent="0.25">
      <c r="A902" s="53">
        <v>901</v>
      </c>
      <c r="B902" s="54" t="s">
        <v>3747</v>
      </c>
      <c r="C902" s="54" t="s">
        <v>3748</v>
      </c>
      <c r="D902" s="54" t="s">
        <v>50</v>
      </c>
      <c r="E902" s="54" t="s">
        <v>3710</v>
      </c>
      <c r="F902" s="55" t="s">
        <v>3749</v>
      </c>
      <c r="G902" s="56">
        <v>43003</v>
      </c>
      <c r="H902" s="54" t="s">
        <v>3750</v>
      </c>
      <c r="I902" s="57">
        <v>43014</v>
      </c>
      <c r="J902" s="54" t="s">
        <v>54</v>
      </c>
      <c r="K902" s="54" t="s">
        <v>55</v>
      </c>
      <c r="L902" s="56"/>
      <c r="M902" s="56"/>
      <c r="N902" s="54"/>
      <c r="O902" s="54"/>
      <c r="P902" s="54"/>
      <c r="Q902" s="54"/>
      <c r="R902" s="54"/>
      <c r="S902" s="54"/>
      <c r="T902" s="54" t="s">
        <v>56</v>
      </c>
      <c r="U902" s="54" t="s">
        <v>56</v>
      </c>
    </row>
    <row r="903" spans="1:21" ht="100" x14ac:dyDescent="0.25">
      <c r="A903" s="53">
        <v>902</v>
      </c>
      <c r="B903" s="54" t="s">
        <v>3751</v>
      </c>
      <c r="C903" s="54" t="s">
        <v>3752</v>
      </c>
      <c r="D903" s="54" t="s">
        <v>50</v>
      </c>
      <c r="E903" s="54" t="s">
        <v>3710</v>
      </c>
      <c r="F903" s="55" t="s">
        <v>3753</v>
      </c>
      <c r="G903" s="56">
        <v>42685</v>
      </c>
      <c r="H903" s="54" t="s">
        <v>3754</v>
      </c>
      <c r="I903" s="57">
        <v>42706</v>
      </c>
      <c r="J903" s="54" t="s">
        <v>54</v>
      </c>
      <c r="K903" s="54" t="s">
        <v>55</v>
      </c>
      <c r="L903" s="56"/>
      <c r="M903" s="56"/>
      <c r="N903" s="58"/>
      <c r="O903" s="58"/>
      <c r="P903" s="58"/>
      <c r="Q903" s="59"/>
      <c r="R903" s="58"/>
      <c r="S903" s="58"/>
      <c r="T903" s="54" t="s">
        <v>56</v>
      </c>
      <c r="U903" s="54" t="s">
        <v>56</v>
      </c>
    </row>
    <row r="904" spans="1:21" ht="62.5" x14ac:dyDescent="0.25">
      <c r="A904" s="53">
        <v>903</v>
      </c>
      <c r="B904" s="54" t="s">
        <v>3755</v>
      </c>
      <c r="C904" s="54" t="s">
        <v>3756</v>
      </c>
      <c r="D904" s="54" t="s">
        <v>59</v>
      </c>
      <c r="E904" s="54" t="s">
        <v>3710</v>
      </c>
      <c r="F904" s="55" t="s">
        <v>3757</v>
      </c>
      <c r="G904" s="56">
        <v>43003</v>
      </c>
      <c r="H904" s="54" t="s">
        <v>3758</v>
      </c>
      <c r="I904" s="57">
        <v>43020</v>
      </c>
      <c r="J904" s="54" t="s">
        <v>3759</v>
      </c>
      <c r="K904" s="54" t="s">
        <v>81</v>
      </c>
      <c r="L904" s="56"/>
      <c r="M904" s="56"/>
      <c r="N904" s="54"/>
      <c r="O904" s="54"/>
      <c r="P904" s="54"/>
      <c r="Q904" s="54"/>
      <c r="R904" s="54"/>
      <c r="S904" s="54"/>
      <c r="T904" s="54" t="s">
        <v>56</v>
      </c>
      <c r="U904" s="54" t="s">
        <v>56</v>
      </c>
    </row>
    <row r="905" spans="1:21" ht="100" x14ac:dyDescent="0.25">
      <c r="A905" s="53">
        <v>904</v>
      </c>
      <c r="B905" s="54" t="s">
        <v>3760</v>
      </c>
      <c r="C905" s="54" t="s">
        <v>3761</v>
      </c>
      <c r="D905" s="54" t="s">
        <v>50</v>
      </c>
      <c r="E905" s="54" t="s">
        <v>3710</v>
      </c>
      <c r="F905" s="55" t="s">
        <v>3762</v>
      </c>
      <c r="G905" s="56">
        <v>43131</v>
      </c>
      <c r="H905" s="54" t="s">
        <v>3763</v>
      </c>
      <c r="I905" s="57">
        <v>43217</v>
      </c>
      <c r="J905" s="54" t="s">
        <v>54</v>
      </c>
      <c r="K905" s="54" t="s">
        <v>55</v>
      </c>
      <c r="L905" s="56"/>
      <c r="M905" s="56"/>
      <c r="N905" s="54"/>
      <c r="O905" s="54"/>
      <c r="P905" s="54"/>
      <c r="Q905" s="54"/>
      <c r="R905" s="54"/>
      <c r="S905" s="54"/>
      <c r="T905" s="54" t="s">
        <v>56</v>
      </c>
      <c r="U905" s="54" t="s">
        <v>56</v>
      </c>
    </row>
    <row r="906" spans="1:21" ht="100" x14ac:dyDescent="0.25">
      <c r="A906" s="53">
        <v>905</v>
      </c>
      <c r="B906" s="54" t="s">
        <v>3764</v>
      </c>
      <c r="C906" s="54" t="s">
        <v>3765</v>
      </c>
      <c r="D906" s="54" t="s">
        <v>50</v>
      </c>
      <c r="E906" s="54" t="s">
        <v>3710</v>
      </c>
      <c r="F906" s="55" t="s">
        <v>3766</v>
      </c>
      <c r="G906" s="56">
        <v>43003</v>
      </c>
      <c r="H906" s="54" t="s">
        <v>3767</v>
      </c>
      <c r="I906" s="57">
        <v>43014</v>
      </c>
      <c r="J906" s="54" t="s">
        <v>54</v>
      </c>
      <c r="K906" s="54" t="s">
        <v>55</v>
      </c>
      <c r="L906" s="56"/>
      <c r="M906" s="56"/>
      <c r="N906" s="54"/>
      <c r="O906" s="54"/>
      <c r="P906" s="54"/>
      <c r="Q906" s="54"/>
      <c r="R906" s="54"/>
      <c r="S906" s="54"/>
      <c r="T906" s="54" t="s">
        <v>56</v>
      </c>
      <c r="U906" s="54" t="s">
        <v>56</v>
      </c>
    </row>
    <row r="907" spans="1:21" ht="137.5" x14ac:dyDescent="0.25">
      <c r="A907" s="53">
        <v>906</v>
      </c>
      <c r="B907" s="54" t="s">
        <v>3768</v>
      </c>
      <c r="C907" s="54" t="s">
        <v>3769</v>
      </c>
      <c r="D907" s="54" t="s">
        <v>59</v>
      </c>
      <c r="E907" s="54" t="s">
        <v>3710</v>
      </c>
      <c r="F907" s="55" t="s">
        <v>3770</v>
      </c>
      <c r="G907" s="56">
        <v>42685</v>
      </c>
      <c r="H907" s="54" t="s">
        <v>3771</v>
      </c>
      <c r="I907" s="57">
        <v>42733</v>
      </c>
      <c r="J907" s="54" t="s">
        <v>3498</v>
      </c>
      <c r="K907" s="54" t="s">
        <v>55</v>
      </c>
      <c r="L907" s="56"/>
      <c r="M907" s="56"/>
      <c r="N907" s="58"/>
      <c r="O907" s="58"/>
      <c r="P907" s="58"/>
      <c r="Q907" s="59"/>
      <c r="R907" s="58"/>
      <c r="S907" s="58"/>
      <c r="T907" s="54" t="s">
        <v>56</v>
      </c>
      <c r="U907" s="54" t="s">
        <v>56</v>
      </c>
    </row>
    <row r="908" spans="1:21" ht="100" x14ac:dyDescent="0.25">
      <c r="A908" s="53">
        <v>907</v>
      </c>
      <c r="B908" s="54" t="s">
        <v>3772</v>
      </c>
      <c r="C908" s="54" t="s">
        <v>3773</v>
      </c>
      <c r="D908" s="54" t="s">
        <v>50</v>
      </c>
      <c r="E908" s="54" t="s">
        <v>3710</v>
      </c>
      <c r="F908" s="55" t="s">
        <v>3774</v>
      </c>
      <c r="G908" s="56">
        <v>42685</v>
      </c>
      <c r="H908" s="54" t="s">
        <v>3775</v>
      </c>
      <c r="I908" s="57">
        <v>42705</v>
      </c>
      <c r="J908" s="54" t="s">
        <v>54</v>
      </c>
      <c r="K908" s="54" t="s">
        <v>55</v>
      </c>
      <c r="L908" s="56"/>
      <c r="M908" s="56"/>
      <c r="N908" s="58"/>
      <c r="O908" s="58"/>
      <c r="P908" s="58"/>
      <c r="Q908" s="59"/>
      <c r="R908" s="58"/>
      <c r="S908" s="58"/>
      <c r="T908" s="54" t="s">
        <v>104</v>
      </c>
      <c r="U908" s="54" t="s">
        <v>105</v>
      </c>
    </row>
    <row r="909" spans="1:21" ht="62.5" x14ac:dyDescent="0.25">
      <c r="A909" s="53">
        <v>908</v>
      </c>
      <c r="B909" s="54" t="s">
        <v>3776</v>
      </c>
      <c r="C909" s="54" t="s">
        <v>3777</v>
      </c>
      <c r="D909" s="54" t="s">
        <v>59</v>
      </c>
      <c r="E909" s="54" t="s">
        <v>3710</v>
      </c>
      <c r="F909" s="55" t="s">
        <v>3778</v>
      </c>
      <c r="G909" s="56">
        <v>43003</v>
      </c>
      <c r="H909" s="54" t="s">
        <v>3779</v>
      </c>
      <c r="I909" s="57">
        <v>43014</v>
      </c>
      <c r="J909" s="54" t="s">
        <v>3759</v>
      </c>
      <c r="K909" s="54" t="s">
        <v>81</v>
      </c>
      <c r="L909" s="56"/>
      <c r="M909" s="56"/>
      <c r="N909" s="54"/>
      <c r="O909" s="54"/>
      <c r="P909" s="54"/>
      <c r="Q909" s="54"/>
      <c r="R909" s="54"/>
      <c r="S909" s="54"/>
      <c r="T909" s="54" t="s">
        <v>56</v>
      </c>
      <c r="U909" s="54" t="s">
        <v>56</v>
      </c>
    </row>
    <row r="910" spans="1:21" ht="62.5" x14ac:dyDescent="0.25">
      <c r="A910" s="53">
        <v>909</v>
      </c>
      <c r="B910" s="54" t="s">
        <v>3780</v>
      </c>
      <c r="C910" s="54" t="s">
        <v>3781</v>
      </c>
      <c r="D910" s="54" t="s">
        <v>59</v>
      </c>
      <c r="E910" s="54" t="s">
        <v>3710</v>
      </c>
      <c r="F910" s="55" t="s">
        <v>3782</v>
      </c>
      <c r="G910" s="56">
        <v>43305</v>
      </c>
      <c r="H910" s="54" t="s">
        <v>3783</v>
      </c>
      <c r="I910" s="57">
        <v>43368</v>
      </c>
      <c r="J910" s="54" t="s">
        <v>196</v>
      </c>
      <c r="K910" s="54" t="s">
        <v>81</v>
      </c>
      <c r="L910" s="56"/>
      <c r="M910" s="56"/>
      <c r="N910" s="54"/>
      <c r="O910" s="54"/>
      <c r="P910" s="54"/>
      <c r="Q910" s="54"/>
      <c r="R910" s="54"/>
      <c r="S910" s="54"/>
      <c r="T910" s="58" t="s">
        <v>87</v>
      </c>
      <c r="U910" s="54" t="s">
        <v>105</v>
      </c>
    </row>
    <row r="911" spans="1:21" ht="100" x14ac:dyDescent="0.25">
      <c r="A911" s="53">
        <v>910</v>
      </c>
      <c r="B911" s="54" t="s">
        <v>3784</v>
      </c>
      <c r="C911" s="54" t="s">
        <v>3785</v>
      </c>
      <c r="D911" s="54" t="s">
        <v>1326</v>
      </c>
      <c r="E911" s="54" t="s">
        <v>3710</v>
      </c>
      <c r="F911" s="55" t="s">
        <v>3786</v>
      </c>
      <c r="G911" s="56">
        <v>43003</v>
      </c>
      <c r="H911" s="79" t="s">
        <v>3787</v>
      </c>
      <c r="I911" s="57">
        <v>43014</v>
      </c>
      <c r="J911" s="54" t="s">
        <v>3788</v>
      </c>
      <c r="K911" s="54" t="s">
        <v>81</v>
      </c>
      <c r="L911" s="56"/>
      <c r="M911" s="56"/>
      <c r="N911" s="54"/>
      <c r="O911" s="54"/>
      <c r="P911" s="54" t="s">
        <v>3789</v>
      </c>
      <c r="Q911" s="56">
        <v>43307</v>
      </c>
      <c r="R911" s="54" t="s">
        <v>179</v>
      </c>
      <c r="S911" s="59"/>
      <c r="T911" s="54" t="s">
        <v>104</v>
      </c>
      <c r="U911" s="54" t="s">
        <v>105</v>
      </c>
    </row>
    <row r="912" spans="1:21" ht="100" x14ac:dyDescent="0.25">
      <c r="A912" s="53">
        <v>911</v>
      </c>
      <c r="B912" s="54" t="s">
        <v>3790</v>
      </c>
      <c r="C912" s="54" t="s">
        <v>3791</v>
      </c>
      <c r="D912" s="54" t="s">
        <v>50</v>
      </c>
      <c r="E912" s="54" t="s">
        <v>3710</v>
      </c>
      <c r="F912" s="55" t="s">
        <v>3792</v>
      </c>
      <c r="G912" s="56">
        <v>42689</v>
      </c>
      <c r="H912" s="54" t="s">
        <v>3793</v>
      </c>
      <c r="I912" s="57">
        <v>42752</v>
      </c>
      <c r="J912" s="54" t="s">
        <v>54</v>
      </c>
      <c r="K912" s="54" t="s">
        <v>55</v>
      </c>
      <c r="L912" s="56"/>
      <c r="M912" s="56"/>
      <c r="N912" s="58"/>
      <c r="O912" s="58"/>
      <c r="P912" s="58"/>
      <c r="Q912" s="59"/>
      <c r="R912" s="58"/>
      <c r="S912" s="58"/>
      <c r="T912" s="54" t="s">
        <v>56</v>
      </c>
      <c r="U912" s="54" t="s">
        <v>56</v>
      </c>
    </row>
    <row r="913" spans="1:21" ht="100" x14ac:dyDescent="0.25">
      <c r="A913" s="53">
        <v>912</v>
      </c>
      <c r="B913" s="54" t="s">
        <v>3794</v>
      </c>
      <c r="C913" s="88" t="s">
        <v>3795</v>
      </c>
      <c r="D913" s="54" t="s">
        <v>50</v>
      </c>
      <c r="E913" s="54" t="s">
        <v>3710</v>
      </c>
      <c r="F913" s="89" t="s">
        <v>3796</v>
      </c>
      <c r="G913" s="56">
        <v>43031</v>
      </c>
      <c r="H913" s="54" t="s">
        <v>3797</v>
      </c>
      <c r="I913" s="57">
        <v>43103</v>
      </c>
      <c r="J913" s="54" t="s">
        <v>54</v>
      </c>
      <c r="K913" s="54" t="s">
        <v>55</v>
      </c>
      <c r="L913" s="56"/>
      <c r="M913" s="56"/>
      <c r="N913" s="54"/>
      <c r="O913" s="54"/>
      <c r="P913" s="54"/>
      <c r="Q913" s="54"/>
      <c r="R913" s="54"/>
      <c r="S913" s="54"/>
      <c r="T913" s="54" t="s">
        <v>56</v>
      </c>
      <c r="U913" s="54" t="s">
        <v>56</v>
      </c>
    </row>
    <row r="914" spans="1:21" ht="100" x14ac:dyDescent="0.25">
      <c r="A914" s="53">
        <v>913</v>
      </c>
      <c r="B914" s="54" t="s">
        <v>3798</v>
      </c>
      <c r="C914" s="54" t="s">
        <v>3799</v>
      </c>
      <c r="D914" s="54" t="s">
        <v>173</v>
      </c>
      <c r="E914" s="54" t="s">
        <v>3710</v>
      </c>
      <c r="F914" s="55" t="s">
        <v>3800</v>
      </c>
      <c r="G914" s="56">
        <v>43003</v>
      </c>
      <c r="H914" s="54" t="s">
        <v>3801</v>
      </c>
      <c r="I914" s="57">
        <v>43028</v>
      </c>
      <c r="J914" s="54" t="s">
        <v>54</v>
      </c>
      <c r="K914" s="54" t="s">
        <v>176</v>
      </c>
      <c r="L914" s="56"/>
      <c r="M914" s="56"/>
      <c r="N914" s="54"/>
      <c r="O914" s="54"/>
      <c r="P914" s="54" t="s">
        <v>3802</v>
      </c>
      <c r="Q914" s="59">
        <v>43608</v>
      </c>
      <c r="R914" s="54" t="s">
        <v>179</v>
      </c>
      <c r="S914" s="68">
        <v>43675</v>
      </c>
      <c r="T914" s="54" t="s">
        <v>87</v>
      </c>
      <c r="U914" s="54" t="s">
        <v>105</v>
      </c>
    </row>
    <row r="915" spans="1:21" ht="62.5" x14ac:dyDescent="0.25">
      <c r="A915" s="53">
        <v>914</v>
      </c>
      <c r="B915" s="54" t="s">
        <v>3803</v>
      </c>
      <c r="C915" s="54" t="s">
        <v>3804</v>
      </c>
      <c r="D915" s="54" t="s">
        <v>173</v>
      </c>
      <c r="E915" s="54" t="s">
        <v>3710</v>
      </c>
      <c r="F915" s="55" t="s">
        <v>3805</v>
      </c>
      <c r="G915" s="56">
        <v>43305</v>
      </c>
      <c r="H915" s="54" t="s">
        <v>3806</v>
      </c>
      <c r="I915" s="57">
        <v>43389</v>
      </c>
      <c r="J915" s="54" t="s">
        <v>598</v>
      </c>
      <c r="K915" s="54" t="s">
        <v>176</v>
      </c>
      <c r="L915" s="56"/>
      <c r="M915" s="56">
        <v>43100</v>
      </c>
      <c r="N915" s="54" t="s">
        <v>3807</v>
      </c>
      <c r="O915" s="59">
        <v>44439</v>
      </c>
      <c r="P915" s="54" t="s">
        <v>3808</v>
      </c>
      <c r="Q915" s="59">
        <v>43608</v>
      </c>
      <c r="R915" s="54" t="s">
        <v>179</v>
      </c>
      <c r="S915" s="68">
        <v>43619</v>
      </c>
      <c r="T915" s="58" t="s">
        <v>87</v>
      </c>
      <c r="U915" s="54" t="s">
        <v>88</v>
      </c>
    </row>
    <row r="916" spans="1:21" ht="50" x14ac:dyDescent="0.25">
      <c r="A916" s="53">
        <v>915</v>
      </c>
      <c r="B916" s="54" t="s">
        <v>3809</v>
      </c>
      <c r="C916" s="54" t="s">
        <v>3810</v>
      </c>
      <c r="D916" s="54" t="s">
        <v>59</v>
      </c>
      <c r="E916" s="54" t="s">
        <v>3710</v>
      </c>
      <c r="F916" s="55" t="s">
        <v>3811</v>
      </c>
      <c r="G916" s="56">
        <v>43003</v>
      </c>
      <c r="H916" s="54" t="s">
        <v>3812</v>
      </c>
      <c r="I916" s="57">
        <v>43014</v>
      </c>
      <c r="J916" s="54" t="s">
        <v>3759</v>
      </c>
      <c r="K916" s="54" t="s">
        <v>81</v>
      </c>
      <c r="L916" s="56"/>
      <c r="M916" s="56"/>
      <c r="N916" s="54"/>
      <c r="O916" s="54"/>
      <c r="P916" s="54"/>
      <c r="Q916" s="54"/>
      <c r="R916" s="54"/>
      <c r="S916" s="54"/>
      <c r="T916" s="54" t="s">
        <v>56</v>
      </c>
      <c r="U916" s="54" t="s">
        <v>56</v>
      </c>
    </row>
    <row r="917" spans="1:21" ht="100" x14ac:dyDescent="0.25">
      <c r="A917" s="53">
        <v>916</v>
      </c>
      <c r="B917" s="54" t="s">
        <v>3813</v>
      </c>
      <c r="C917" s="54" t="s">
        <v>3814</v>
      </c>
      <c r="D917" s="54" t="s">
        <v>50</v>
      </c>
      <c r="E917" s="54" t="s">
        <v>3710</v>
      </c>
      <c r="F917" s="55" t="s">
        <v>3815</v>
      </c>
      <c r="G917" s="56">
        <v>43131</v>
      </c>
      <c r="H917" s="54" t="s">
        <v>3816</v>
      </c>
      <c r="I917" s="57">
        <v>43188</v>
      </c>
      <c r="J917" s="54" t="s">
        <v>54</v>
      </c>
      <c r="K917" s="54" t="s">
        <v>55</v>
      </c>
      <c r="L917" s="56"/>
      <c r="M917" s="56"/>
      <c r="N917" s="54"/>
      <c r="O917" s="54"/>
      <c r="P917" s="54"/>
      <c r="Q917" s="54"/>
      <c r="R917" s="54"/>
      <c r="S917" s="54"/>
      <c r="T917" s="54" t="s">
        <v>56</v>
      </c>
      <c r="U917" s="54" t="s">
        <v>56</v>
      </c>
    </row>
    <row r="918" spans="1:21" ht="50" x14ac:dyDescent="0.25">
      <c r="A918" s="53">
        <v>917</v>
      </c>
      <c r="B918" s="54" t="s">
        <v>3817</v>
      </c>
      <c r="C918" s="54" t="s">
        <v>3818</v>
      </c>
      <c r="D918" s="54" t="s">
        <v>59</v>
      </c>
      <c r="E918" s="54" t="s">
        <v>3710</v>
      </c>
      <c r="F918" s="55" t="s">
        <v>3819</v>
      </c>
      <c r="G918" s="56">
        <v>43003</v>
      </c>
      <c r="H918" s="54" t="s">
        <v>3820</v>
      </c>
      <c r="I918" s="57">
        <v>43014</v>
      </c>
      <c r="J918" s="54" t="s">
        <v>3759</v>
      </c>
      <c r="K918" s="54" t="s">
        <v>81</v>
      </c>
      <c r="L918" s="56"/>
      <c r="M918" s="56"/>
      <c r="N918" s="54"/>
      <c r="O918" s="59"/>
      <c r="P918" s="54"/>
      <c r="Q918" s="54"/>
      <c r="R918" s="54"/>
      <c r="S918" s="54"/>
      <c r="T918" s="54" t="s">
        <v>104</v>
      </c>
      <c r="U918" s="54" t="s">
        <v>105</v>
      </c>
    </row>
    <row r="919" spans="1:21" ht="137.5" x14ac:dyDescent="0.25">
      <c r="A919" s="53">
        <v>918</v>
      </c>
      <c r="B919" s="54" t="s">
        <v>3821</v>
      </c>
      <c r="C919" s="54" t="s">
        <v>3822</v>
      </c>
      <c r="D919" s="54" t="s">
        <v>59</v>
      </c>
      <c r="E919" s="54" t="s">
        <v>3710</v>
      </c>
      <c r="F919" s="55" t="s">
        <v>3823</v>
      </c>
      <c r="G919" s="56">
        <v>43003</v>
      </c>
      <c r="H919" s="54" t="s">
        <v>3824</v>
      </c>
      <c r="I919" s="57">
        <v>43020</v>
      </c>
      <c r="J919" s="54" t="s">
        <v>3498</v>
      </c>
      <c r="K919" s="54" t="s">
        <v>81</v>
      </c>
      <c r="L919" s="56"/>
      <c r="M919" s="56"/>
      <c r="N919" s="54"/>
      <c r="O919" s="54"/>
      <c r="P919" s="54"/>
      <c r="Q919" s="54"/>
      <c r="R919" s="54"/>
      <c r="S919" s="54"/>
      <c r="T919" s="54" t="s">
        <v>56</v>
      </c>
      <c r="U919" s="54" t="s">
        <v>56</v>
      </c>
    </row>
    <row r="920" spans="1:21" ht="100" x14ac:dyDescent="0.25">
      <c r="A920" s="53">
        <v>919</v>
      </c>
      <c r="B920" s="54" t="s">
        <v>3825</v>
      </c>
      <c r="C920" s="54" t="s">
        <v>3826</v>
      </c>
      <c r="D920" s="54" t="s">
        <v>50</v>
      </c>
      <c r="E920" s="54" t="s">
        <v>3710</v>
      </c>
      <c r="F920" s="55" t="s">
        <v>3827</v>
      </c>
      <c r="G920" s="56">
        <v>42689</v>
      </c>
      <c r="H920" s="54" t="s">
        <v>3828</v>
      </c>
      <c r="I920" s="57">
        <v>42706</v>
      </c>
      <c r="J920" s="54" t="s">
        <v>54</v>
      </c>
      <c r="K920" s="54" t="s">
        <v>55</v>
      </c>
      <c r="L920" s="56"/>
      <c r="M920" s="56"/>
      <c r="N920" s="58"/>
      <c r="O920" s="58"/>
      <c r="P920" s="58"/>
      <c r="Q920" s="59"/>
      <c r="R920" s="58"/>
      <c r="S920" s="58"/>
      <c r="T920" s="54" t="s">
        <v>56</v>
      </c>
      <c r="U920" s="54" t="s">
        <v>56</v>
      </c>
    </row>
    <row r="921" spans="1:21" ht="137.5" x14ac:dyDescent="0.25">
      <c r="A921" s="53">
        <v>920</v>
      </c>
      <c r="B921" s="54" t="s">
        <v>3829</v>
      </c>
      <c r="C921" s="54" t="s">
        <v>3830</v>
      </c>
      <c r="D921" s="54" t="s">
        <v>59</v>
      </c>
      <c r="E921" s="54" t="s">
        <v>3710</v>
      </c>
      <c r="F921" s="55" t="s">
        <v>3831</v>
      </c>
      <c r="G921" s="56">
        <v>42685</v>
      </c>
      <c r="H921" s="54" t="s">
        <v>3832</v>
      </c>
      <c r="I921" s="57">
        <v>42733</v>
      </c>
      <c r="J921" s="54" t="s">
        <v>3498</v>
      </c>
      <c r="K921" s="54" t="s">
        <v>55</v>
      </c>
      <c r="L921" s="56"/>
      <c r="M921" s="56"/>
      <c r="N921" s="58"/>
      <c r="O921" s="58"/>
      <c r="P921" s="58"/>
      <c r="Q921" s="59"/>
      <c r="R921" s="58"/>
      <c r="S921" s="58"/>
      <c r="T921" s="54" t="s">
        <v>56</v>
      </c>
      <c r="U921" s="54" t="s">
        <v>56</v>
      </c>
    </row>
    <row r="922" spans="1:21" ht="50" x14ac:dyDescent="0.25">
      <c r="A922" s="53">
        <v>921</v>
      </c>
      <c r="B922" s="54" t="s">
        <v>3833</v>
      </c>
      <c r="C922" s="54" t="s">
        <v>3834</v>
      </c>
      <c r="D922" s="54" t="s">
        <v>59</v>
      </c>
      <c r="E922" s="54" t="s">
        <v>3710</v>
      </c>
      <c r="F922" s="55" t="s">
        <v>3835</v>
      </c>
      <c r="G922" s="56">
        <v>43305</v>
      </c>
      <c r="H922" s="54" t="s">
        <v>3836</v>
      </c>
      <c r="I922" s="57">
        <v>43377</v>
      </c>
      <c r="J922" s="54" t="s">
        <v>1</v>
      </c>
      <c r="K922" s="54" t="s">
        <v>81</v>
      </c>
      <c r="L922" s="56"/>
      <c r="M922" s="56"/>
      <c r="N922" s="54"/>
      <c r="O922" s="54"/>
      <c r="P922" s="54"/>
      <c r="Q922" s="54"/>
      <c r="R922" s="54"/>
      <c r="S922" s="54"/>
      <c r="T922" s="54" t="s">
        <v>56</v>
      </c>
      <c r="U922" s="54" t="s">
        <v>56</v>
      </c>
    </row>
    <row r="923" spans="1:21" ht="100" x14ac:dyDescent="0.25">
      <c r="A923" s="53">
        <v>922</v>
      </c>
      <c r="B923" s="54" t="s">
        <v>3837</v>
      </c>
      <c r="C923" s="54" t="s">
        <v>3838</v>
      </c>
      <c r="D923" s="54" t="s">
        <v>50</v>
      </c>
      <c r="E923" s="54" t="s">
        <v>3710</v>
      </c>
      <c r="F923" s="55" t="s">
        <v>3839</v>
      </c>
      <c r="G923" s="56">
        <v>43007</v>
      </c>
      <c r="H923" s="54" t="s">
        <v>3840</v>
      </c>
      <c r="I923" s="57">
        <v>43039</v>
      </c>
      <c r="J923" s="54" t="s">
        <v>54</v>
      </c>
      <c r="K923" s="54" t="s">
        <v>55</v>
      </c>
      <c r="L923" s="56"/>
      <c r="M923" s="56"/>
      <c r="N923" s="54"/>
      <c r="O923" s="54"/>
      <c r="P923" s="54"/>
      <c r="Q923" s="54"/>
      <c r="R923" s="54"/>
      <c r="S923" s="54"/>
      <c r="T923" s="54" t="s">
        <v>56</v>
      </c>
      <c r="U923" s="54" t="s">
        <v>56</v>
      </c>
    </row>
    <row r="924" spans="1:21" ht="137.5" x14ac:dyDescent="0.25">
      <c r="A924" s="53">
        <v>923</v>
      </c>
      <c r="B924" s="54" t="s">
        <v>3841</v>
      </c>
      <c r="C924" s="54" t="s">
        <v>3842</v>
      </c>
      <c r="D924" s="54" t="s">
        <v>59</v>
      </c>
      <c r="E924" s="54" t="s">
        <v>3710</v>
      </c>
      <c r="F924" s="55" t="s">
        <v>3843</v>
      </c>
      <c r="G924" s="56">
        <v>42685</v>
      </c>
      <c r="H924" s="54" t="s">
        <v>3844</v>
      </c>
      <c r="I924" s="57">
        <v>42733</v>
      </c>
      <c r="J924" s="54" t="s">
        <v>3498</v>
      </c>
      <c r="K924" s="54" t="s">
        <v>55</v>
      </c>
      <c r="L924" s="56"/>
      <c r="M924" s="56"/>
      <c r="N924" s="58"/>
      <c r="O924" s="58"/>
      <c r="P924" s="58"/>
      <c r="Q924" s="59"/>
      <c r="R924" s="58"/>
      <c r="S924" s="58"/>
      <c r="T924" s="54" t="s">
        <v>56</v>
      </c>
      <c r="U924" s="54" t="s">
        <v>56</v>
      </c>
    </row>
    <row r="925" spans="1:21" ht="112.5" x14ac:dyDescent="0.25">
      <c r="A925" s="53">
        <v>924</v>
      </c>
      <c r="B925" s="54" t="s">
        <v>3845</v>
      </c>
      <c r="C925" s="54" t="s">
        <v>3846</v>
      </c>
      <c r="D925" s="54" t="s">
        <v>59</v>
      </c>
      <c r="E925" s="54" t="s">
        <v>3710</v>
      </c>
      <c r="F925" s="55" t="s">
        <v>3847</v>
      </c>
      <c r="G925" s="56">
        <v>43003</v>
      </c>
      <c r="H925" s="54" t="s">
        <v>3848</v>
      </c>
      <c r="I925" s="57">
        <v>43014</v>
      </c>
      <c r="J925" s="54" t="s">
        <v>3759</v>
      </c>
      <c r="K925" s="54" t="s">
        <v>81</v>
      </c>
      <c r="L925" s="56"/>
      <c r="M925" s="56"/>
      <c r="N925" s="54"/>
      <c r="O925" s="54"/>
      <c r="P925" s="54"/>
      <c r="Q925" s="54"/>
      <c r="R925" s="54"/>
      <c r="S925" s="54"/>
      <c r="T925" s="54" t="s">
        <v>87</v>
      </c>
      <c r="U925" s="58" t="s">
        <v>105</v>
      </c>
    </row>
    <row r="926" spans="1:21" ht="137.5" x14ac:dyDescent="0.25">
      <c r="A926" s="53">
        <v>925</v>
      </c>
      <c r="B926" s="54" t="s">
        <v>3849</v>
      </c>
      <c r="C926" s="54" t="s">
        <v>3850</v>
      </c>
      <c r="D926" s="54" t="s">
        <v>59</v>
      </c>
      <c r="E926" s="54" t="s">
        <v>3710</v>
      </c>
      <c r="F926" s="55" t="s">
        <v>3851</v>
      </c>
      <c r="G926" s="56">
        <v>42600.755486111098</v>
      </c>
      <c r="H926" s="54" t="s">
        <v>3852</v>
      </c>
      <c r="I926" s="57">
        <v>42635</v>
      </c>
      <c r="J926" s="54" t="s">
        <v>3498</v>
      </c>
      <c r="K926" s="54" t="s">
        <v>55</v>
      </c>
      <c r="L926" s="56"/>
      <c r="M926" s="56"/>
      <c r="N926" s="58"/>
      <c r="O926" s="58"/>
      <c r="P926" s="58"/>
      <c r="Q926" s="59"/>
      <c r="R926" s="58"/>
      <c r="S926" s="58"/>
      <c r="T926" s="54" t="s">
        <v>56</v>
      </c>
      <c r="U926" s="54" t="s">
        <v>56</v>
      </c>
    </row>
    <row r="927" spans="1:21" ht="50" x14ac:dyDescent="0.25">
      <c r="A927" s="53">
        <v>926</v>
      </c>
      <c r="B927" s="54" t="s">
        <v>3853</v>
      </c>
      <c r="C927" s="54" t="s">
        <v>3854</v>
      </c>
      <c r="D927" s="54" t="s">
        <v>59</v>
      </c>
      <c r="E927" s="54" t="s">
        <v>3710</v>
      </c>
      <c r="F927" s="55" t="s">
        <v>3855</v>
      </c>
      <c r="G927" s="56">
        <v>43003</v>
      </c>
      <c r="H927" s="54" t="s">
        <v>3856</v>
      </c>
      <c r="I927" s="57">
        <v>43020</v>
      </c>
      <c r="J927" s="54" t="s">
        <v>3759</v>
      </c>
      <c r="K927" s="54" t="s">
        <v>81</v>
      </c>
      <c r="L927" s="56"/>
      <c r="M927" s="56"/>
      <c r="N927" s="54"/>
      <c r="O927" s="54"/>
      <c r="P927" s="54"/>
      <c r="Q927" s="54"/>
      <c r="R927" s="54"/>
      <c r="S927" s="54"/>
      <c r="T927" s="54" t="s">
        <v>56</v>
      </c>
      <c r="U927" s="54" t="s">
        <v>56</v>
      </c>
    </row>
    <row r="928" spans="1:21" ht="137.5" x14ac:dyDescent="0.25">
      <c r="A928" s="53">
        <v>927</v>
      </c>
      <c r="B928" s="54" t="s">
        <v>3857</v>
      </c>
      <c r="C928" s="54" t="s">
        <v>3858</v>
      </c>
      <c r="D928" s="54" t="s">
        <v>59</v>
      </c>
      <c r="E928" s="54" t="s">
        <v>3710</v>
      </c>
      <c r="F928" s="55" t="s">
        <v>3859</v>
      </c>
      <c r="G928" s="56">
        <v>42600.755497685197</v>
      </c>
      <c r="H928" s="54" t="s">
        <v>3860</v>
      </c>
      <c r="I928" s="57">
        <v>42627</v>
      </c>
      <c r="J928" s="54" t="s">
        <v>3498</v>
      </c>
      <c r="K928" s="54" t="s">
        <v>55</v>
      </c>
      <c r="L928" s="56"/>
      <c r="M928" s="56"/>
      <c r="N928" s="58"/>
      <c r="O928" s="58"/>
      <c r="P928" s="58"/>
      <c r="Q928" s="59"/>
      <c r="R928" s="58"/>
      <c r="S928" s="58"/>
      <c r="T928" s="54" t="s">
        <v>56</v>
      </c>
      <c r="U928" s="54" t="s">
        <v>56</v>
      </c>
    </row>
    <row r="929" spans="1:21" ht="137.5" x14ac:dyDescent="0.25">
      <c r="A929" s="53">
        <v>928</v>
      </c>
      <c r="B929" s="54" t="s">
        <v>3861</v>
      </c>
      <c r="C929" s="54" t="s">
        <v>3862</v>
      </c>
      <c r="D929" s="54" t="s">
        <v>59</v>
      </c>
      <c r="E929" s="54" t="s">
        <v>3710</v>
      </c>
      <c r="F929" s="55" t="s">
        <v>3863</v>
      </c>
      <c r="G929" s="56">
        <v>42685</v>
      </c>
      <c r="H929" s="54" t="s">
        <v>3864</v>
      </c>
      <c r="I929" s="57">
        <v>42733</v>
      </c>
      <c r="J929" s="54" t="s">
        <v>3498</v>
      </c>
      <c r="K929" s="54" t="s">
        <v>55</v>
      </c>
      <c r="L929" s="56"/>
      <c r="M929" s="56"/>
      <c r="N929" s="58"/>
      <c r="O929" s="58"/>
      <c r="P929" s="58"/>
      <c r="Q929" s="59"/>
      <c r="R929" s="58"/>
      <c r="S929" s="58"/>
      <c r="T929" s="54" t="s">
        <v>56</v>
      </c>
      <c r="U929" s="54" t="s">
        <v>56</v>
      </c>
    </row>
    <row r="930" spans="1:21" ht="100" x14ac:dyDescent="0.25">
      <c r="A930" s="53">
        <v>929</v>
      </c>
      <c r="B930" s="54" t="s">
        <v>3865</v>
      </c>
      <c r="C930" s="54" t="s">
        <v>3866</v>
      </c>
      <c r="D930" s="54" t="s">
        <v>59</v>
      </c>
      <c r="E930" s="54" t="s">
        <v>3710</v>
      </c>
      <c r="F930" s="55" t="s">
        <v>3867</v>
      </c>
      <c r="G930" s="56">
        <v>43615</v>
      </c>
      <c r="H930" s="54" t="s">
        <v>3868</v>
      </c>
      <c r="I930" s="57">
        <v>43668</v>
      </c>
      <c r="J930" s="54" t="s">
        <v>2270</v>
      </c>
      <c r="K930" s="54" t="s">
        <v>81</v>
      </c>
      <c r="L930" s="56"/>
      <c r="M930" s="56"/>
      <c r="N930" s="54"/>
      <c r="O930" s="54"/>
      <c r="P930" s="54"/>
      <c r="Q930" s="54"/>
      <c r="R930" s="54"/>
      <c r="S930" s="54"/>
      <c r="T930" s="54" t="s">
        <v>56</v>
      </c>
      <c r="U930" s="54" t="s">
        <v>56</v>
      </c>
    </row>
    <row r="931" spans="1:21" ht="62.5" x14ac:dyDescent="0.25">
      <c r="A931" s="53">
        <v>930</v>
      </c>
      <c r="B931" s="54" t="s">
        <v>3869</v>
      </c>
      <c r="C931" s="54" t="s">
        <v>3870</v>
      </c>
      <c r="D931" s="54" t="s">
        <v>1326</v>
      </c>
      <c r="E931" s="54" t="s">
        <v>3710</v>
      </c>
      <c r="F931" s="55" t="s">
        <v>3871</v>
      </c>
      <c r="G931" s="56">
        <v>43003</v>
      </c>
      <c r="H931" s="54" t="s">
        <v>3872</v>
      </c>
      <c r="I931" s="57">
        <v>43014</v>
      </c>
      <c r="J931" s="54" t="s">
        <v>3759</v>
      </c>
      <c r="K931" s="54" t="s">
        <v>176</v>
      </c>
      <c r="L931" s="56"/>
      <c r="M931" s="56"/>
      <c r="N931" s="54"/>
      <c r="O931" s="54"/>
      <c r="P931" s="54" t="s">
        <v>3873</v>
      </c>
      <c r="Q931" s="59">
        <v>43195</v>
      </c>
      <c r="R931" s="54" t="s">
        <v>179</v>
      </c>
      <c r="S931" s="68">
        <v>43201</v>
      </c>
      <c r="T931" s="54" t="s">
        <v>56</v>
      </c>
      <c r="U931" s="54" t="s">
        <v>56</v>
      </c>
    </row>
    <row r="932" spans="1:21" ht="100" x14ac:dyDescent="0.25">
      <c r="A932" s="53">
        <v>931</v>
      </c>
      <c r="B932" s="54" t="s">
        <v>3874</v>
      </c>
      <c r="C932" s="62" t="s">
        <v>3875</v>
      </c>
      <c r="D932" s="54" t="s">
        <v>50</v>
      </c>
      <c r="E932" s="54" t="s">
        <v>3710</v>
      </c>
      <c r="F932" s="55" t="s">
        <v>3876</v>
      </c>
      <c r="G932" s="56">
        <v>42689</v>
      </c>
      <c r="H932" s="54" t="s">
        <v>3877</v>
      </c>
      <c r="I932" s="57">
        <v>42706</v>
      </c>
      <c r="J932" s="54" t="s">
        <v>54</v>
      </c>
      <c r="K932" s="54" t="s">
        <v>55</v>
      </c>
      <c r="L932" s="56"/>
      <c r="M932" s="56"/>
      <c r="N932" s="58"/>
      <c r="O932" s="58"/>
      <c r="P932" s="58"/>
      <c r="Q932" s="59"/>
      <c r="R932" s="58"/>
      <c r="S932" s="58"/>
      <c r="T932" s="54" t="s">
        <v>87</v>
      </c>
      <c r="U932" s="54" t="s">
        <v>105</v>
      </c>
    </row>
    <row r="933" spans="1:21" ht="100" x14ac:dyDescent="0.25">
      <c r="A933" s="53">
        <v>932</v>
      </c>
      <c r="B933" s="54" t="s">
        <v>3878</v>
      </c>
      <c r="C933" s="54" t="s">
        <v>3879</v>
      </c>
      <c r="D933" s="54" t="s">
        <v>50</v>
      </c>
      <c r="E933" s="54" t="s">
        <v>3710</v>
      </c>
      <c r="F933" s="55" t="s">
        <v>3880</v>
      </c>
      <c r="G933" s="56">
        <v>42685</v>
      </c>
      <c r="H933" s="54" t="s">
        <v>3881</v>
      </c>
      <c r="I933" s="57">
        <v>42706</v>
      </c>
      <c r="J933" s="54" t="s">
        <v>54</v>
      </c>
      <c r="K933" s="54" t="s">
        <v>55</v>
      </c>
      <c r="L933" s="56"/>
      <c r="M933" s="56"/>
      <c r="N933" s="58"/>
      <c r="O933" s="58"/>
      <c r="P933" s="58"/>
      <c r="Q933" s="59"/>
      <c r="R933" s="58"/>
      <c r="S933" s="58"/>
      <c r="T933" s="54" t="s">
        <v>87</v>
      </c>
      <c r="U933" s="54" t="s">
        <v>105</v>
      </c>
    </row>
    <row r="934" spans="1:21" ht="137.5" x14ac:dyDescent="0.25">
      <c r="A934" s="53">
        <v>933</v>
      </c>
      <c r="B934" s="54" t="s">
        <v>3882</v>
      </c>
      <c r="C934" s="54" t="s">
        <v>3883</v>
      </c>
      <c r="D934" s="54" t="s">
        <v>59</v>
      </c>
      <c r="E934" s="54" t="s">
        <v>3710</v>
      </c>
      <c r="F934" s="55" t="s">
        <v>3884</v>
      </c>
      <c r="G934" s="56">
        <v>42600.7554282407</v>
      </c>
      <c r="H934" s="54" t="s">
        <v>3885</v>
      </c>
      <c r="I934" s="57">
        <v>42635</v>
      </c>
      <c r="J934" s="54" t="s">
        <v>3498</v>
      </c>
      <c r="K934" s="54" t="s">
        <v>55</v>
      </c>
      <c r="L934" s="56"/>
      <c r="M934" s="56"/>
      <c r="N934" s="58"/>
      <c r="O934" s="58"/>
      <c r="P934" s="58"/>
      <c r="Q934" s="59"/>
      <c r="R934" s="58"/>
      <c r="S934" s="58"/>
      <c r="T934" s="54" t="s">
        <v>56</v>
      </c>
      <c r="U934" s="54" t="s">
        <v>56</v>
      </c>
    </row>
    <row r="935" spans="1:21" ht="62.5" x14ac:dyDescent="0.25">
      <c r="A935" s="53">
        <v>934</v>
      </c>
      <c r="B935" s="54" t="s">
        <v>3886</v>
      </c>
      <c r="C935" s="54" t="s">
        <v>3887</v>
      </c>
      <c r="D935" s="54" t="s">
        <v>59</v>
      </c>
      <c r="E935" s="54" t="s">
        <v>3710</v>
      </c>
      <c r="F935" s="55" t="s">
        <v>3888</v>
      </c>
      <c r="G935" s="56">
        <v>43305</v>
      </c>
      <c r="H935" s="54" t="s">
        <v>3889</v>
      </c>
      <c r="I935" s="57">
        <v>43402</v>
      </c>
      <c r="J935" s="54" t="s">
        <v>3890</v>
      </c>
      <c r="K935" s="54" t="s">
        <v>55</v>
      </c>
      <c r="L935" s="56"/>
      <c r="M935" s="56"/>
      <c r="N935" s="54"/>
      <c r="O935" s="54"/>
      <c r="P935" s="54"/>
      <c r="Q935" s="54"/>
      <c r="R935" s="54"/>
      <c r="S935" s="54"/>
      <c r="T935" s="54" t="s">
        <v>56</v>
      </c>
      <c r="U935" s="54" t="s">
        <v>56</v>
      </c>
    </row>
    <row r="936" spans="1:21" ht="137.5" x14ac:dyDescent="0.25">
      <c r="A936" s="53">
        <v>935</v>
      </c>
      <c r="B936" s="54" t="s">
        <v>3891</v>
      </c>
      <c r="C936" s="54" t="s">
        <v>3892</v>
      </c>
      <c r="D936" s="54" t="s">
        <v>59</v>
      </c>
      <c r="E936" s="54" t="s">
        <v>3710</v>
      </c>
      <c r="F936" s="55" t="s">
        <v>3893</v>
      </c>
      <c r="G936" s="56">
        <v>42601.338935185202</v>
      </c>
      <c r="H936" s="54" t="s">
        <v>3894</v>
      </c>
      <c r="I936" s="57">
        <v>42635</v>
      </c>
      <c r="J936" s="54" t="s">
        <v>3498</v>
      </c>
      <c r="K936" s="54" t="s">
        <v>55</v>
      </c>
      <c r="L936" s="56"/>
      <c r="M936" s="56"/>
      <c r="N936" s="58"/>
      <c r="O936" s="58"/>
      <c r="P936" s="58"/>
      <c r="Q936" s="59"/>
      <c r="R936" s="58"/>
      <c r="S936" s="58"/>
      <c r="T936" s="54" t="s">
        <v>56</v>
      </c>
      <c r="U936" s="54" t="s">
        <v>56</v>
      </c>
    </row>
    <row r="937" spans="1:21" ht="137.5" x14ac:dyDescent="0.25">
      <c r="A937" s="53">
        <v>936</v>
      </c>
      <c r="B937" s="54" t="s">
        <v>3895</v>
      </c>
      <c r="C937" s="54" t="s">
        <v>3896</v>
      </c>
      <c r="D937" s="54" t="s">
        <v>59</v>
      </c>
      <c r="E937" s="54" t="s">
        <v>3710</v>
      </c>
      <c r="F937" s="55" t="s">
        <v>3897</v>
      </c>
      <c r="G937" s="56">
        <v>43003</v>
      </c>
      <c r="H937" s="54" t="s">
        <v>3898</v>
      </c>
      <c r="I937" s="57">
        <v>43020</v>
      </c>
      <c r="J937" s="54" t="s">
        <v>3498</v>
      </c>
      <c r="K937" s="54" t="s">
        <v>81</v>
      </c>
      <c r="L937" s="56"/>
      <c r="M937" s="56"/>
      <c r="N937" s="54"/>
      <c r="O937" s="54"/>
      <c r="P937" s="54"/>
      <c r="Q937" s="54"/>
      <c r="R937" s="54"/>
      <c r="S937" s="54"/>
      <c r="T937" s="54" t="s">
        <v>56</v>
      </c>
      <c r="U937" s="54" t="s">
        <v>56</v>
      </c>
    </row>
    <row r="938" spans="1:21" ht="62.5" x14ac:dyDescent="0.25">
      <c r="A938" s="53">
        <v>937</v>
      </c>
      <c r="B938" s="79" t="s">
        <v>3899</v>
      </c>
      <c r="C938" s="54" t="s">
        <v>3900</v>
      </c>
      <c r="D938" s="54" t="s">
        <v>59</v>
      </c>
      <c r="E938" s="54" t="s">
        <v>3710</v>
      </c>
      <c r="F938" s="55" t="s">
        <v>3901</v>
      </c>
      <c r="G938" s="56">
        <v>43305</v>
      </c>
      <c r="H938" s="54" t="s">
        <v>3902</v>
      </c>
      <c r="I938" s="57">
        <v>43389</v>
      </c>
      <c r="J938" s="54" t="s">
        <v>3890</v>
      </c>
      <c r="K938" s="54" t="s">
        <v>55</v>
      </c>
      <c r="L938" s="56"/>
      <c r="M938" s="56"/>
      <c r="N938" s="54"/>
      <c r="O938" s="54"/>
      <c r="P938" s="54"/>
      <c r="Q938" s="54"/>
      <c r="R938" s="54"/>
      <c r="S938" s="54"/>
      <c r="T938" s="54" t="s">
        <v>1146</v>
      </c>
      <c r="U938" s="54" t="s">
        <v>501</v>
      </c>
    </row>
    <row r="939" spans="1:21" ht="100" x14ac:dyDescent="0.25">
      <c r="A939" s="53">
        <v>938</v>
      </c>
      <c r="B939" s="54" t="s">
        <v>3903</v>
      </c>
      <c r="C939" s="54" t="s">
        <v>3904</v>
      </c>
      <c r="D939" s="54" t="s">
        <v>50</v>
      </c>
      <c r="E939" s="54" t="s">
        <v>3710</v>
      </c>
      <c r="F939" s="55" t="s">
        <v>3905</v>
      </c>
      <c r="G939" s="56">
        <v>43003</v>
      </c>
      <c r="H939" s="54" t="s">
        <v>3906</v>
      </c>
      <c r="I939" s="57">
        <v>43014</v>
      </c>
      <c r="J939" s="54" t="s">
        <v>54</v>
      </c>
      <c r="K939" s="54" t="s">
        <v>55</v>
      </c>
      <c r="L939" s="56"/>
      <c r="M939" s="56"/>
      <c r="N939" s="54"/>
      <c r="O939" s="54"/>
      <c r="P939" s="54"/>
      <c r="Q939" s="54"/>
      <c r="R939" s="54"/>
      <c r="S939" s="54"/>
      <c r="T939" s="54" t="s">
        <v>104</v>
      </c>
      <c r="U939" s="54" t="s">
        <v>105</v>
      </c>
    </row>
    <row r="940" spans="1:21" ht="100" x14ac:dyDescent="0.25">
      <c r="A940" s="53">
        <v>939</v>
      </c>
      <c r="B940" s="54" t="s">
        <v>3907</v>
      </c>
      <c r="C940" s="54" t="s">
        <v>3908</v>
      </c>
      <c r="D940" s="54" t="s">
        <v>173</v>
      </c>
      <c r="E940" s="54" t="s">
        <v>3710</v>
      </c>
      <c r="F940" s="55" t="s">
        <v>3909</v>
      </c>
      <c r="G940" s="56">
        <v>42689</v>
      </c>
      <c r="H940" s="54" t="s">
        <v>3910</v>
      </c>
      <c r="I940" s="57">
        <v>42717</v>
      </c>
      <c r="J940" s="54" t="s">
        <v>54</v>
      </c>
      <c r="K940" s="54" t="s">
        <v>176</v>
      </c>
      <c r="L940" s="56"/>
      <c r="M940" s="56"/>
      <c r="N940" s="58"/>
      <c r="O940" s="58"/>
      <c r="P940" s="58" t="s">
        <v>3911</v>
      </c>
      <c r="Q940" s="59">
        <v>42977</v>
      </c>
      <c r="R940" s="54" t="s">
        <v>179</v>
      </c>
      <c r="S940" s="68">
        <v>43473</v>
      </c>
      <c r="T940" s="54" t="s">
        <v>87</v>
      </c>
      <c r="U940" s="54" t="s">
        <v>105</v>
      </c>
    </row>
    <row r="941" spans="1:21" ht="137.5" x14ac:dyDescent="0.25">
      <c r="A941" s="53">
        <v>940</v>
      </c>
      <c r="B941" s="54" t="s">
        <v>3912</v>
      </c>
      <c r="C941" s="54" t="s">
        <v>3913</v>
      </c>
      <c r="D941" s="54" t="s">
        <v>59</v>
      </c>
      <c r="E941" s="54" t="s">
        <v>3710</v>
      </c>
      <c r="F941" s="55" t="s">
        <v>3914</v>
      </c>
      <c r="G941" s="56">
        <v>42600.755532407398</v>
      </c>
      <c r="H941" s="54" t="s">
        <v>3915</v>
      </c>
      <c r="I941" s="57">
        <v>42635</v>
      </c>
      <c r="J941" s="54" t="s">
        <v>3498</v>
      </c>
      <c r="K941" s="54" t="s">
        <v>55</v>
      </c>
      <c r="L941" s="56"/>
      <c r="M941" s="56"/>
      <c r="N941" s="58"/>
      <c r="O941" s="58"/>
      <c r="P941" s="58"/>
      <c r="Q941" s="59"/>
      <c r="R941" s="58"/>
      <c r="S941" s="58"/>
      <c r="T941" s="54" t="s">
        <v>56</v>
      </c>
      <c r="U941" s="54" t="s">
        <v>56</v>
      </c>
    </row>
    <row r="942" spans="1:21" ht="100" x14ac:dyDescent="0.25">
      <c r="A942" s="53">
        <v>941</v>
      </c>
      <c r="B942" s="54" t="s">
        <v>3916</v>
      </c>
      <c r="C942" s="54" t="s">
        <v>3917</v>
      </c>
      <c r="D942" s="54" t="s">
        <v>173</v>
      </c>
      <c r="E942" s="54" t="s">
        <v>3710</v>
      </c>
      <c r="F942" s="55" t="s">
        <v>3918</v>
      </c>
      <c r="G942" s="56">
        <v>42685</v>
      </c>
      <c r="H942" s="54" t="s">
        <v>3919</v>
      </c>
      <c r="I942" s="57">
        <v>42705</v>
      </c>
      <c r="J942" s="54" t="s">
        <v>54</v>
      </c>
      <c r="K942" s="54" t="s">
        <v>176</v>
      </c>
      <c r="L942" s="56"/>
      <c r="M942" s="56"/>
      <c r="N942" s="58"/>
      <c r="O942" s="58"/>
      <c r="P942" s="58" t="s">
        <v>3920</v>
      </c>
      <c r="Q942" s="59">
        <v>43116</v>
      </c>
      <c r="R942" s="54" t="s">
        <v>179</v>
      </c>
      <c r="S942" s="68">
        <v>43269</v>
      </c>
      <c r="T942" s="54" t="s">
        <v>56</v>
      </c>
      <c r="U942" s="54" t="s">
        <v>56</v>
      </c>
    </row>
    <row r="943" spans="1:21" ht="137.5" x14ac:dyDescent="0.25">
      <c r="A943" s="53">
        <v>942</v>
      </c>
      <c r="B943" s="54" t="s">
        <v>3921</v>
      </c>
      <c r="C943" s="54" t="s">
        <v>3922</v>
      </c>
      <c r="D943" s="54" t="s">
        <v>59</v>
      </c>
      <c r="E943" s="54" t="s">
        <v>3710</v>
      </c>
      <c r="F943" s="55" t="s">
        <v>3923</v>
      </c>
      <c r="G943" s="56">
        <v>43003</v>
      </c>
      <c r="H943" s="54" t="s">
        <v>3924</v>
      </c>
      <c r="I943" s="57">
        <v>43020</v>
      </c>
      <c r="J943" s="54" t="s">
        <v>3498</v>
      </c>
      <c r="K943" s="54" t="s">
        <v>81</v>
      </c>
      <c r="L943" s="56"/>
      <c r="M943" s="56"/>
      <c r="N943" s="54"/>
      <c r="O943" s="54"/>
      <c r="P943" s="54"/>
      <c r="Q943" s="54"/>
      <c r="R943" s="54"/>
      <c r="S943" s="54"/>
      <c r="T943" s="54" t="s">
        <v>87</v>
      </c>
      <c r="U943" s="58" t="s">
        <v>105</v>
      </c>
    </row>
    <row r="944" spans="1:21" ht="137.5" x14ac:dyDescent="0.25">
      <c r="A944" s="53">
        <v>943</v>
      </c>
      <c r="B944" s="54" t="s">
        <v>3925</v>
      </c>
      <c r="C944" s="54" t="s">
        <v>3926</v>
      </c>
      <c r="D944" s="54" t="s">
        <v>59</v>
      </c>
      <c r="E944" s="54" t="s">
        <v>3710</v>
      </c>
      <c r="F944" s="55" t="s">
        <v>3927</v>
      </c>
      <c r="G944" s="56">
        <v>42600.7555208333</v>
      </c>
      <c r="H944" s="54" t="s">
        <v>3928</v>
      </c>
      <c r="I944" s="57">
        <v>42635</v>
      </c>
      <c r="J944" s="54" t="s">
        <v>3498</v>
      </c>
      <c r="K944" s="54" t="s">
        <v>55</v>
      </c>
      <c r="L944" s="56"/>
      <c r="M944" s="56"/>
      <c r="N944" s="58"/>
      <c r="O944" s="58"/>
      <c r="P944" s="58"/>
      <c r="Q944" s="59"/>
      <c r="R944" s="58"/>
      <c r="S944" s="58"/>
      <c r="T944" s="54" t="s">
        <v>104</v>
      </c>
      <c r="U944" s="54" t="s">
        <v>105</v>
      </c>
    </row>
    <row r="945" spans="1:21" ht="137.5" x14ac:dyDescent="0.25">
      <c r="A945" s="53">
        <v>944</v>
      </c>
      <c r="B945" s="54" t="s">
        <v>3929</v>
      </c>
      <c r="C945" s="54" t="s">
        <v>3930</v>
      </c>
      <c r="D945" s="54" t="s">
        <v>59</v>
      </c>
      <c r="E945" s="54" t="s">
        <v>3710</v>
      </c>
      <c r="F945" s="55" t="s">
        <v>3931</v>
      </c>
      <c r="G945" s="56">
        <v>42600.755416666703</v>
      </c>
      <c r="H945" s="54" t="s">
        <v>3932</v>
      </c>
      <c r="I945" s="57">
        <v>42627</v>
      </c>
      <c r="J945" s="54" t="s">
        <v>3498</v>
      </c>
      <c r="K945" s="54" t="s">
        <v>81</v>
      </c>
      <c r="L945" s="56"/>
      <c r="M945" s="56"/>
      <c r="N945" s="58"/>
      <c r="O945" s="58"/>
      <c r="P945" s="58"/>
      <c r="Q945" s="59"/>
      <c r="R945" s="58"/>
      <c r="S945" s="58"/>
      <c r="T945" s="54" t="s">
        <v>56</v>
      </c>
      <c r="U945" s="54" t="s">
        <v>56</v>
      </c>
    </row>
    <row r="946" spans="1:21" ht="137.5" x14ac:dyDescent="0.25">
      <c r="A946" s="53">
        <v>945</v>
      </c>
      <c r="B946" s="54" t="s">
        <v>3933</v>
      </c>
      <c r="C946" s="54" t="s">
        <v>3934</v>
      </c>
      <c r="D946" s="54" t="s">
        <v>59</v>
      </c>
      <c r="E946" s="54" t="s">
        <v>3710</v>
      </c>
      <c r="F946" s="55" t="s">
        <v>3935</v>
      </c>
      <c r="G946" s="56">
        <v>43003</v>
      </c>
      <c r="H946" s="54" t="s">
        <v>3936</v>
      </c>
      <c r="I946" s="57">
        <v>43028</v>
      </c>
      <c r="J946" s="54" t="s">
        <v>3498</v>
      </c>
      <c r="K946" s="54" t="s">
        <v>81</v>
      </c>
      <c r="L946" s="56"/>
      <c r="M946" s="56"/>
      <c r="N946" s="54"/>
      <c r="O946" s="59"/>
      <c r="P946" s="54"/>
      <c r="Q946" s="54"/>
      <c r="R946" s="54"/>
      <c r="S946" s="54"/>
      <c r="T946" s="54" t="s">
        <v>104</v>
      </c>
      <c r="U946" s="54" t="s">
        <v>105</v>
      </c>
    </row>
    <row r="947" spans="1:21" ht="100" x14ac:dyDescent="0.25">
      <c r="A947" s="53">
        <v>946</v>
      </c>
      <c r="B947" s="54" t="s">
        <v>3937</v>
      </c>
      <c r="C947" s="54" t="s">
        <v>3938</v>
      </c>
      <c r="D947" s="54" t="s">
        <v>173</v>
      </c>
      <c r="E947" s="54" t="s">
        <v>3710</v>
      </c>
      <c r="F947" s="55" t="s">
        <v>3939</v>
      </c>
      <c r="G947" s="56">
        <v>43003</v>
      </c>
      <c r="H947" s="54" t="s">
        <v>3940</v>
      </c>
      <c r="I947" s="57">
        <v>43014</v>
      </c>
      <c r="J947" s="54" t="s">
        <v>54</v>
      </c>
      <c r="K947" s="54" t="s">
        <v>176</v>
      </c>
      <c r="L947" s="56"/>
      <c r="M947" s="56"/>
      <c r="N947" s="54"/>
      <c r="O947" s="54"/>
      <c r="P947" s="54" t="s">
        <v>3941</v>
      </c>
      <c r="Q947" s="56">
        <v>44041</v>
      </c>
      <c r="R947" s="54" t="s">
        <v>179</v>
      </c>
      <c r="S947" s="68">
        <v>44088</v>
      </c>
      <c r="T947" s="54" t="s">
        <v>56</v>
      </c>
      <c r="U947" s="54" t="s">
        <v>56</v>
      </c>
    </row>
    <row r="948" spans="1:21" ht="100" x14ac:dyDescent="0.25">
      <c r="A948" s="53">
        <v>947</v>
      </c>
      <c r="B948" s="54" t="s">
        <v>3942</v>
      </c>
      <c r="C948" s="54" t="s">
        <v>3943</v>
      </c>
      <c r="D948" s="54" t="s">
        <v>50</v>
      </c>
      <c r="E948" s="54" t="s">
        <v>3710</v>
      </c>
      <c r="F948" s="55" t="s">
        <v>3944</v>
      </c>
      <c r="G948" s="56">
        <v>43003</v>
      </c>
      <c r="H948" s="54" t="s">
        <v>3945</v>
      </c>
      <c r="I948" s="57">
        <v>43014</v>
      </c>
      <c r="J948" s="54" t="s">
        <v>54</v>
      </c>
      <c r="K948" s="54" t="s">
        <v>55</v>
      </c>
      <c r="L948" s="56"/>
      <c r="M948" s="56"/>
      <c r="N948" s="54"/>
      <c r="O948" s="54"/>
      <c r="P948" s="54"/>
      <c r="Q948" s="54"/>
      <c r="R948" s="54"/>
      <c r="S948" s="54"/>
      <c r="T948" s="54" t="s">
        <v>56</v>
      </c>
      <c r="U948" s="54" t="s">
        <v>56</v>
      </c>
    </row>
    <row r="949" spans="1:21" ht="100" x14ac:dyDescent="0.25">
      <c r="A949" s="53">
        <v>948</v>
      </c>
      <c r="B949" s="54" t="s">
        <v>3946</v>
      </c>
      <c r="C949" s="54" t="s">
        <v>3947</v>
      </c>
      <c r="D949" s="54" t="s">
        <v>50</v>
      </c>
      <c r="E949" s="54" t="s">
        <v>3710</v>
      </c>
      <c r="F949" s="55" t="s">
        <v>3948</v>
      </c>
      <c r="G949" s="56">
        <v>43003</v>
      </c>
      <c r="H949" s="54" t="s">
        <v>3949</v>
      </c>
      <c r="I949" s="57">
        <v>43014</v>
      </c>
      <c r="J949" s="54" t="s">
        <v>54</v>
      </c>
      <c r="K949" s="54" t="s">
        <v>55</v>
      </c>
      <c r="L949" s="56"/>
      <c r="M949" s="56"/>
      <c r="N949" s="54"/>
      <c r="O949" s="54"/>
      <c r="P949" s="54"/>
      <c r="Q949" s="54"/>
      <c r="R949" s="54"/>
      <c r="S949" s="54"/>
      <c r="T949" s="54" t="s">
        <v>56</v>
      </c>
      <c r="U949" s="54" t="s">
        <v>56</v>
      </c>
    </row>
    <row r="950" spans="1:21" ht="100" x14ac:dyDescent="0.25">
      <c r="A950" s="53">
        <v>949</v>
      </c>
      <c r="B950" s="54" t="s">
        <v>3950</v>
      </c>
      <c r="C950" s="54" t="s">
        <v>3951</v>
      </c>
      <c r="D950" s="54" t="s">
        <v>59</v>
      </c>
      <c r="E950" s="54" t="s">
        <v>3710</v>
      </c>
      <c r="F950" s="55" t="s">
        <v>3952</v>
      </c>
      <c r="G950" s="56">
        <v>42600.755497685197</v>
      </c>
      <c r="H950" s="54" t="s">
        <v>3953</v>
      </c>
      <c r="I950" s="57">
        <v>42627</v>
      </c>
      <c r="J950" s="54" t="s">
        <v>2270</v>
      </c>
      <c r="K950" s="54" t="s">
        <v>55</v>
      </c>
      <c r="L950" s="56"/>
      <c r="M950" s="56"/>
      <c r="N950" s="60"/>
      <c r="O950" s="90"/>
      <c r="P950" s="58"/>
      <c r="Q950" s="59"/>
      <c r="R950" s="58"/>
      <c r="S950" s="58"/>
      <c r="T950" s="54" t="s">
        <v>104</v>
      </c>
      <c r="U950" s="54" t="s">
        <v>105</v>
      </c>
    </row>
    <row r="951" spans="1:21" ht="137.5" x14ac:dyDescent="0.25">
      <c r="A951" s="53">
        <v>950</v>
      </c>
      <c r="B951" s="54" t="s">
        <v>3954</v>
      </c>
      <c r="C951" s="54" t="s">
        <v>3955</v>
      </c>
      <c r="D951" s="54" t="s">
        <v>59</v>
      </c>
      <c r="E951" s="54" t="s">
        <v>3710</v>
      </c>
      <c r="F951" s="55" t="s">
        <v>3956</v>
      </c>
      <c r="G951" s="56">
        <v>42601.338923611103</v>
      </c>
      <c r="H951" s="54" t="s">
        <v>3957</v>
      </c>
      <c r="I951" s="57">
        <v>42635</v>
      </c>
      <c r="J951" s="54" t="s">
        <v>3498</v>
      </c>
      <c r="K951" s="54" t="s">
        <v>55</v>
      </c>
      <c r="L951" s="56"/>
      <c r="M951" s="56"/>
      <c r="N951" s="58"/>
      <c r="O951" s="58"/>
      <c r="P951" s="58"/>
      <c r="Q951" s="59"/>
      <c r="R951" s="58"/>
      <c r="S951" s="58"/>
      <c r="T951" s="54" t="s">
        <v>56</v>
      </c>
      <c r="U951" s="54" t="s">
        <v>56</v>
      </c>
    </row>
    <row r="952" spans="1:21" ht="62.5" x14ac:dyDescent="0.25">
      <c r="A952" s="53">
        <v>951</v>
      </c>
      <c r="B952" s="54" t="s">
        <v>3958</v>
      </c>
      <c r="C952" s="54" t="s">
        <v>3959</v>
      </c>
      <c r="D952" s="54" t="s">
        <v>50</v>
      </c>
      <c r="E952" s="54" t="s">
        <v>3710</v>
      </c>
      <c r="F952" s="55" t="s">
        <v>3960</v>
      </c>
      <c r="G952" s="56">
        <v>43305</v>
      </c>
      <c r="H952" s="54" t="s">
        <v>3961</v>
      </c>
      <c r="I952" s="57">
        <v>43371</v>
      </c>
      <c r="J952" s="54" t="s">
        <v>598</v>
      </c>
      <c r="K952" s="54" t="s">
        <v>55</v>
      </c>
      <c r="L952" s="56"/>
      <c r="M952" s="56"/>
      <c r="N952" s="54"/>
      <c r="O952" s="54"/>
      <c r="P952" s="54"/>
      <c r="Q952" s="54"/>
      <c r="R952" s="54"/>
      <c r="S952" s="54"/>
      <c r="T952" s="54" t="s">
        <v>56</v>
      </c>
      <c r="U952" s="54" t="s">
        <v>56</v>
      </c>
    </row>
    <row r="953" spans="1:21" ht="100" x14ac:dyDescent="0.25">
      <c r="A953" s="53">
        <v>952</v>
      </c>
      <c r="B953" s="54" t="s">
        <v>3962</v>
      </c>
      <c r="C953" s="54" t="s">
        <v>3963</v>
      </c>
      <c r="D953" s="54" t="s">
        <v>50</v>
      </c>
      <c r="E953" s="54" t="s">
        <v>3710</v>
      </c>
      <c r="F953" s="55" t="s">
        <v>3964</v>
      </c>
      <c r="G953" s="56">
        <v>43031</v>
      </c>
      <c r="H953" s="54" t="s">
        <v>3965</v>
      </c>
      <c r="I953" s="57">
        <v>43069</v>
      </c>
      <c r="J953" s="54" t="s">
        <v>54</v>
      </c>
      <c r="K953" s="54" t="s">
        <v>55</v>
      </c>
      <c r="L953" s="56"/>
      <c r="M953" s="56"/>
      <c r="N953" s="54"/>
      <c r="O953" s="54"/>
      <c r="P953" s="54"/>
      <c r="Q953" s="54"/>
      <c r="R953" s="54"/>
      <c r="S953" s="54"/>
      <c r="T953" s="54" t="s">
        <v>56</v>
      </c>
      <c r="U953" s="54" t="s">
        <v>56</v>
      </c>
    </row>
    <row r="954" spans="1:21" ht="137.5" x14ac:dyDescent="0.25">
      <c r="A954" s="53">
        <v>953</v>
      </c>
      <c r="B954" s="54" t="s">
        <v>3966</v>
      </c>
      <c r="C954" s="54" t="s">
        <v>3967</v>
      </c>
      <c r="D954" s="54" t="s">
        <v>59</v>
      </c>
      <c r="E954" s="54" t="s">
        <v>3710</v>
      </c>
      <c r="F954" s="55" t="s">
        <v>3968</v>
      </c>
      <c r="G954" s="56">
        <v>42601.338842592602</v>
      </c>
      <c r="H954" s="54" t="s">
        <v>3969</v>
      </c>
      <c r="I954" s="57">
        <v>42627</v>
      </c>
      <c r="J954" s="54" t="s">
        <v>3498</v>
      </c>
      <c r="K954" s="54" t="s">
        <v>55</v>
      </c>
      <c r="L954" s="56"/>
      <c r="M954" s="56"/>
      <c r="N954" s="58"/>
      <c r="O954" s="58"/>
      <c r="P954" s="58"/>
      <c r="Q954" s="59"/>
      <c r="R954" s="58"/>
      <c r="S954" s="58"/>
      <c r="T954" s="54" t="s">
        <v>56</v>
      </c>
      <c r="U954" s="54" t="s">
        <v>56</v>
      </c>
    </row>
    <row r="955" spans="1:21" ht="62.5" x14ac:dyDescent="0.25">
      <c r="A955" s="53">
        <v>954</v>
      </c>
      <c r="B955" s="54" t="s">
        <v>3970</v>
      </c>
      <c r="C955" s="54" t="s">
        <v>3971</v>
      </c>
      <c r="D955" s="54" t="s">
        <v>59</v>
      </c>
      <c r="E955" s="54" t="s">
        <v>3710</v>
      </c>
      <c r="F955" s="55" t="s">
        <v>3972</v>
      </c>
      <c r="G955" s="56">
        <v>43003</v>
      </c>
      <c r="H955" s="54" t="s">
        <v>3973</v>
      </c>
      <c r="I955" s="57">
        <v>43014</v>
      </c>
      <c r="J955" s="54" t="s">
        <v>3788</v>
      </c>
      <c r="K955" s="54" t="s">
        <v>81</v>
      </c>
      <c r="L955" s="56"/>
      <c r="M955" s="56"/>
      <c r="N955" s="54"/>
      <c r="O955" s="54"/>
      <c r="P955" s="54"/>
      <c r="Q955" s="54"/>
      <c r="R955" s="54"/>
      <c r="S955" s="54"/>
      <c r="T955" s="54" t="s">
        <v>56</v>
      </c>
      <c r="U955" s="54" t="s">
        <v>56</v>
      </c>
    </row>
    <row r="956" spans="1:21" ht="137.5" x14ac:dyDescent="0.25">
      <c r="A956" s="53">
        <v>955</v>
      </c>
      <c r="B956" s="54" t="s">
        <v>3974</v>
      </c>
      <c r="C956" s="54" t="s">
        <v>3975</v>
      </c>
      <c r="D956" s="54" t="s">
        <v>59</v>
      </c>
      <c r="E956" s="54" t="s">
        <v>3710</v>
      </c>
      <c r="F956" s="55" t="s">
        <v>3976</v>
      </c>
      <c r="G956" s="56">
        <v>42685</v>
      </c>
      <c r="H956" s="54" t="s">
        <v>3977</v>
      </c>
      <c r="I956" s="57">
        <v>42718</v>
      </c>
      <c r="J956" s="54" t="s">
        <v>3498</v>
      </c>
      <c r="K956" s="54" t="s">
        <v>55</v>
      </c>
      <c r="L956" s="56"/>
      <c r="M956" s="56"/>
      <c r="N956" s="58"/>
      <c r="O956" s="58"/>
      <c r="P956" s="58"/>
      <c r="Q956" s="59"/>
      <c r="R956" s="58"/>
      <c r="S956" s="58"/>
      <c r="T956" s="54" t="s">
        <v>56</v>
      </c>
      <c r="U956" s="54" t="s">
        <v>56</v>
      </c>
    </row>
    <row r="957" spans="1:21" ht="50" x14ac:dyDescent="0.25">
      <c r="A957" s="53">
        <v>956</v>
      </c>
      <c r="B957" s="54" t="s">
        <v>3978</v>
      </c>
      <c r="C957" s="54" t="s">
        <v>3979</v>
      </c>
      <c r="D957" s="54" t="s">
        <v>59</v>
      </c>
      <c r="E957" s="54" t="s">
        <v>3710</v>
      </c>
      <c r="F957" s="55" t="s">
        <v>3980</v>
      </c>
      <c r="G957" s="56">
        <v>43003</v>
      </c>
      <c r="H957" s="54" t="s">
        <v>3981</v>
      </c>
      <c r="I957" s="57">
        <v>43020</v>
      </c>
      <c r="J957" s="54" t="s">
        <v>491</v>
      </c>
      <c r="K957" s="54" t="s">
        <v>81</v>
      </c>
      <c r="L957" s="56"/>
      <c r="M957" s="56"/>
      <c r="N957" s="54"/>
      <c r="O957" s="54"/>
      <c r="P957" s="54"/>
      <c r="Q957" s="54"/>
      <c r="R957" s="54"/>
      <c r="S957" s="54"/>
      <c r="T957" s="54" t="s">
        <v>56</v>
      </c>
      <c r="U957" s="54" t="s">
        <v>56</v>
      </c>
    </row>
    <row r="958" spans="1:21" ht="112.5" x14ac:dyDescent="0.25">
      <c r="A958" s="53">
        <v>957</v>
      </c>
      <c r="B958" s="54" t="s">
        <v>3982</v>
      </c>
      <c r="C958" s="54" t="s">
        <v>3983</v>
      </c>
      <c r="D958" s="54" t="s">
        <v>50</v>
      </c>
      <c r="E958" s="54" t="s">
        <v>3710</v>
      </c>
      <c r="F958" s="55" t="s">
        <v>3984</v>
      </c>
      <c r="G958" s="56">
        <v>43258</v>
      </c>
      <c r="H958" s="54" t="s">
        <v>3985</v>
      </c>
      <c r="I958" s="57">
        <v>43284</v>
      </c>
      <c r="J958" s="54" t="s">
        <v>103</v>
      </c>
      <c r="K958" s="54" t="s">
        <v>55</v>
      </c>
      <c r="L958" s="56"/>
      <c r="M958" s="56"/>
      <c r="N958" s="54"/>
      <c r="O958" s="54"/>
      <c r="P958" s="54"/>
      <c r="Q958" s="54"/>
      <c r="R958" s="54"/>
      <c r="S958" s="54"/>
      <c r="T958" s="54" t="s">
        <v>56</v>
      </c>
      <c r="U958" s="54" t="s">
        <v>56</v>
      </c>
    </row>
    <row r="959" spans="1:21" ht="100" x14ac:dyDescent="0.25">
      <c r="A959" s="53">
        <v>958</v>
      </c>
      <c r="B959" s="54" t="s">
        <v>3986</v>
      </c>
      <c r="C959" s="54" t="s">
        <v>3987</v>
      </c>
      <c r="D959" s="54" t="s">
        <v>59</v>
      </c>
      <c r="E959" s="54" t="s">
        <v>3710</v>
      </c>
      <c r="F959" s="55" t="s">
        <v>3988</v>
      </c>
      <c r="G959" s="56">
        <v>42600.755451388897</v>
      </c>
      <c r="H959" s="54" t="s">
        <v>3989</v>
      </c>
      <c r="I959" s="57">
        <v>42627</v>
      </c>
      <c r="J959" s="54" t="s">
        <v>2270</v>
      </c>
      <c r="K959" s="54" t="s">
        <v>55</v>
      </c>
      <c r="L959" s="56"/>
      <c r="M959" s="56"/>
      <c r="N959" s="58"/>
      <c r="O959" s="58"/>
      <c r="P959" s="58"/>
      <c r="Q959" s="59"/>
      <c r="R959" s="58"/>
      <c r="S959" s="58"/>
      <c r="T959" s="54" t="s">
        <v>104</v>
      </c>
      <c r="U959" s="54" t="s">
        <v>105</v>
      </c>
    </row>
    <row r="960" spans="1:21" ht="137.5" x14ac:dyDescent="0.25">
      <c r="A960" s="53">
        <v>959</v>
      </c>
      <c r="B960" s="54" t="s">
        <v>3990</v>
      </c>
      <c r="C960" s="54" t="s">
        <v>3991</v>
      </c>
      <c r="D960" s="54" t="s">
        <v>1326</v>
      </c>
      <c r="E960" s="54" t="s">
        <v>3710</v>
      </c>
      <c r="F960" s="55" t="s">
        <v>3992</v>
      </c>
      <c r="G960" s="56">
        <v>42600.755497685197</v>
      </c>
      <c r="H960" s="54" t="s">
        <v>3993</v>
      </c>
      <c r="I960" s="57">
        <v>42627</v>
      </c>
      <c r="J960" s="54" t="s">
        <v>3498</v>
      </c>
      <c r="K960" s="54" t="s">
        <v>81</v>
      </c>
      <c r="L960" s="56"/>
      <c r="M960" s="56"/>
      <c r="N960" s="58"/>
      <c r="O960" s="58"/>
      <c r="P960" s="54" t="s">
        <v>3994</v>
      </c>
      <c r="Q960" s="59">
        <v>43147</v>
      </c>
      <c r="R960" s="58" t="s">
        <v>3995</v>
      </c>
      <c r="S960" s="58" t="s">
        <v>56</v>
      </c>
      <c r="T960" s="54" t="s">
        <v>104</v>
      </c>
      <c r="U960" s="54" t="s">
        <v>105</v>
      </c>
    </row>
    <row r="961" spans="1:21" ht="137.5" x14ac:dyDescent="0.25">
      <c r="A961" s="53">
        <v>960</v>
      </c>
      <c r="B961" s="54" t="s">
        <v>3996</v>
      </c>
      <c r="C961" s="54" t="s">
        <v>3997</v>
      </c>
      <c r="D961" s="54" t="s">
        <v>59</v>
      </c>
      <c r="E961" s="54" t="s">
        <v>3710</v>
      </c>
      <c r="F961" s="55" t="s">
        <v>3998</v>
      </c>
      <c r="G961" s="56">
        <v>42600.755474537</v>
      </c>
      <c r="H961" s="54" t="s">
        <v>3999</v>
      </c>
      <c r="I961" s="57">
        <v>42635</v>
      </c>
      <c r="J961" s="54" t="s">
        <v>3498</v>
      </c>
      <c r="K961" s="54" t="s">
        <v>55</v>
      </c>
      <c r="L961" s="56"/>
      <c r="M961" s="56"/>
      <c r="N961" s="58"/>
      <c r="O961" s="58"/>
      <c r="P961" s="58"/>
      <c r="Q961" s="59"/>
      <c r="R961" s="58"/>
      <c r="S961" s="58"/>
      <c r="T961" s="54" t="s">
        <v>104</v>
      </c>
      <c r="U961" s="54" t="s">
        <v>105</v>
      </c>
    </row>
    <row r="962" spans="1:21" ht="137.5" x14ac:dyDescent="0.25">
      <c r="A962" s="53">
        <v>961</v>
      </c>
      <c r="B962" s="54" t="s">
        <v>4000</v>
      </c>
      <c r="C962" s="54" t="s">
        <v>4001</v>
      </c>
      <c r="D962" s="54" t="s">
        <v>59</v>
      </c>
      <c r="E962" s="54" t="s">
        <v>3710</v>
      </c>
      <c r="F962" s="55" t="s">
        <v>4002</v>
      </c>
      <c r="G962" s="56">
        <v>42600.755416666703</v>
      </c>
      <c r="H962" s="54" t="s">
        <v>4003</v>
      </c>
      <c r="I962" s="57">
        <v>42635</v>
      </c>
      <c r="J962" s="54" t="s">
        <v>3498</v>
      </c>
      <c r="K962" s="54" t="s">
        <v>55</v>
      </c>
      <c r="L962" s="56"/>
      <c r="M962" s="56"/>
      <c r="N962" s="58"/>
      <c r="O962" s="58"/>
      <c r="P962" s="58"/>
      <c r="Q962" s="59"/>
      <c r="R962" s="58"/>
      <c r="S962" s="58"/>
      <c r="T962" s="54" t="s">
        <v>56</v>
      </c>
      <c r="U962" s="54" t="s">
        <v>56</v>
      </c>
    </row>
    <row r="963" spans="1:21" ht="100" x14ac:dyDescent="0.25">
      <c r="A963" s="53">
        <v>962</v>
      </c>
      <c r="B963" s="54" t="s">
        <v>4004</v>
      </c>
      <c r="C963" s="54" t="s">
        <v>4005</v>
      </c>
      <c r="D963" s="54" t="s">
        <v>173</v>
      </c>
      <c r="E963" s="54" t="s">
        <v>3710</v>
      </c>
      <c r="F963" s="55" t="s">
        <v>4006</v>
      </c>
      <c r="G963" s="56">
        <v>42685</v>
      </c>
      <c r="H963" s="54" t="s">
        <v>4007</v>
      </c>
      <c r="I963" s="57">
        <v>42706</v>
      </c>
      <c r="J963" s="54" t="s">
        <v>54</v>
      </c>
      <c r="K963" s="54" t="s">
        <v>176</v>
      </c>
      <c r="L963" s="56"/>
      <c r="M963" s="56"/>
      <c r="N963" s="58"/>
      <c r="O963" s="58"/>
      <c r="P963" s="58" t="s">
        <v>4008</v>
      </c>
      <c r="Q963" s="59">
        <v>43254</v>
      </c>
      <c r="R963" s="54" t="s">
        <v>179</v>
      </c>
      <c r="S963" s="68">
        <v>43762</v>
      </c>
      <c r="T963" s="54" t="s">
        <v>104</v>
      </c>
      <c r="U963" s="54" t="s">
        <v>105</v>
      </c>
    </row>
    <row r="964" spans="1:21" ht="100" x14ac:dyDescent="0.25">
      <c r="A964" s="53">
        <v>963</v>
      </c>
      <c r="B964" s="54" t="s">
        <v>4009</v>
      </c>
      <c r="C964" s="54" t="s">
        <v>4010</v>
      </c>
      <c r="D964" s="54" t="s">
        <v>50</v>
      </c>
      <c r="E964" s="54" t="s">
        <v>3710</v>
      </c>
      <c r="F964" s="55" t="s">
        <v>4011</v>
      </c>
      <c r="G964" s="56">
        <v>43003</v>
      </c>
      <c r="H964" s="54" t="s">
        <v>4012</v>
      </c>
      <c r="I964" s="57">
        <v>43014</v>
      </c>
      <c r="J964" s="54" t="s">
        <v>54</v>
      </c>
      <c r="K964" s="54" t="s">
        <v>55</v>
      </c>
      <c r="L964" s="56"/>
      <c r="M964" s="56"/>
      <c r="N964" s="54"/>
      <c r="O964" s="54"/>
      <c r="P964" s="54"/>
      <c r="Q964" s="54"/>
      <c r="R964" s="54"/>
      <c r="S964" s="54"/>
      <c r="T964" s="54" t="s">
        <v>56</v>
      </c>
      <c r="U964" s="54" t="s">
        <v>56</v>
      </c>
    </row>
    <row r="965" spans="1:21" ht="137.5" x14ac:dyDescent="0.25">
      <c r="A965" s="53">
        <v>964</v>
      </c>
      <c r="B965" s="54" t="s">
        <v>4013</v>
      </c>
      <c r="C965" s="54" t="s">
        <v>4014</v>
      </c>
      <c r="D965" s="54" t="s">
        <v>59</v>
      </c>
      <c r="E965" s="54" t="s">
        <v>3710</v>
      </c>
      <c r="F965" s="55" t="s">
        <v>4015</v>
      </c>
      <c r="G965" s="56">
        <v>43003</v>
      </c>
      <c r="H965" s="54" t="s">
        <v>4016</v>
      </c>
      <c r="I965" s="57">
        <v>43020</v>
      </c>
      <c r="J965" s="54" t="s">
        <v>3498</v>
      </c>
      <c r="K965" s="54" t="s">
        <v>81</v>
      </c>
      <c r="L965" s="56"/>
      <c r="M965" s="56"/>
      <c r="N965" s="54"/>
      <c r="O965" s="54"/>
      <c r="P965" s="54"/>
      <c r="Q965" s="54"/>
      <c r="R965" s="54"/>
      <c r="S965" s="54"/>
      <c r="T965" s="54" t="s">
        <v>56</v>
      </c>
      <c r="U965" s="54" t="s">
        <v>56</v>
      </c>
    </row>
    <row r="966" spans="1:21" ht="87.5" x14ac:dyDescent="0.25">
      <c r="A966" s="53">
        <v>965</v>
      </c>
      <c r="B966" s="79" t="s">
        <v>4017</v>
      </c>
      <c r="C966" s="54" t="s">
        <v>4018</v>
      </c>
      <c r="D966" s="54" t="s">
        <v>59</v>
      </c>
      <c r="E966" s="54" t="s">
        <v>3710</v>
      </c>
      <c r="F966" s="55" t="s">
        <v>4019</v>
      </c>
      <c r="G966" s="56">
        <v>43305</v>
      </c>
      <c r="H966" s="54" t="s">
        <v>4020</v>
      </c>
      <c r="I966" s="57">
        <v>43404</v>
      </c>
      <c r="J966" s="54" t="s">
        <v>3890</v>
      </c>
      <c r="K966" s="54" t="s">
        <v>55</v>
      </c>
      <c r="L966" s="56"/>
      <c r="M966" s="56"/>
      <c r="N966" s="54"/>
      <c r="O966" s="54"/>
      <c r="P966" s="54"/>
      <c r="Q966" s="54"/>
      <c r="R966" s="54"/>
      <c r="S966" s="54"/>
      <c r="T966" s="54" t="s">
        <v>87</v>
      </c>
      <c r="U966" s="54" t="s">
        <v>105</v>
      </c>
    </row>
    <row r="967" spans="1:21" ht="62.5" x14ac:dyDescent="0.25">
      <c r="A967" s="53">
        <v>966</v>
      </c>
      <c r="B967" s="54" t="s">
        <v>4021</v>
      </c>
      <c r="C967" s="54" t="s">
        <v>4022</v>
      </c>
      <c r="D967" s="54" t="s">
        <v>50</v>
      </c>
      <c r="E967" s="54" t="s">
        <v>3710</v>
      </c>
      <c r="F967" s="55" t="s">
        <v>4023</v>
      </c>
      <c r="G967" s="56">
        <v>44091</v>
      </c>
      <c r="H967" s="54" t="s">
        <v>4024</v>
      </c>
      <c r="I967" s="57">
        <v>43865</v>
      </c>
      <c r="J967" s="54" t="s">
        <v>598</v>
      </c>
      <c r="K967" s="54" t="s">
        <v>55</v>
      </c>
      <c r="L967" s="56"/>
      <c r="M967" s="56"/>
      <c r="N967" s="54"/>
      <c r="O967" s="54"/>
      <c r="P967" s="54"/>
      <c r="Q967" s="54"/>
      <c r="R967" s="54"/>
      <c r="S967" s="54"/>
      <c r="T967" s="54" t="s">
        <v>56</v>
      </c>
      <c r="U967" s="54" t="s">
        <v>56</v>
      </c>
    </row>
    <row r="968" spans="1:21" ht="100" x14ac:dyDescent="0.25">
      <c r="A968" s="53">
        <v>967</v>
      </c>
      <c r="B968" s="54" t="s">
        <v>4025</v>
      </c>
      <c r="C968" s="54" t="s">
        <v>4026</v>
      </c>
      <c r="D968" s="54" t="s">
        <v>50</v>
      </c>
      <c r="E968" s="54" t="s">
        <v>3710</v>
      </c>
      <c r="F968" s="55" t="s">
        <v>4027</v>
      </c>
      <c r="G968" s="56">
        <v>43003</v>
      </c>
      <c r="H968" s="54" t="s">
        <v>4028</v>
      </c>
      <c r="I968" s="57">
        <v>43014</v>
      </c>
      <c r="J968" s="54" t="s">
        <v>54</v>
      </c>
      <c r="K968" s="54" t="s">
        <v>55</v>
      </c>
      <c r="L968" s="56"/>
      <c r="M968" s="56"/>
      <c r="N968" s="54"/>
      <c r="O968" s="54"/>
      <c r="P968" s="54"/>
      <c r="Q968" s="54"/>
      <c r="R968" s="54"/>
      <c r="S968" s="54"/>
      <c r="T968" s="54" t="s">
        <v>56</v>
      </c>
      <c r="U968" s="54" t="s">
        <v>56</v>
      </c>
    </row>
    <row r="969" spans="1:21" ht="137.5" x14ac:dyDescent="0.25">
      <c r="A969" s="53">
        <v>968</v>
      </c>
      <c r="B969" s="54" t="s">
        <v>4029</v>
      </c>
      <c r="C969" s="54" t="s">
        <v>4030</v>
      </c>
      <c r="D969" s="54" t="s">
        <v>59</v>
      </c>
      <c r="E969" s="54" t="s">
        <v>3710</v>
      </c>
      <c r="F969" s="55" t="s">
        <v>4031</v>
      </c>
      <c r="G969" s="56">
        <v>42601.338831018496</v>
      </c>
      <c r="H969" s="54" t="s">
        <v>4032</v>
      </c>
      <c r="I969" s="57">
        <v>42635</v>
      </c>
      <c r="J969" s="54" t="s">
        <v>3498</v>
      </c>
      <c r="K969" s="54" t="s">
        <v>55</v>
      </c>
      <c r="L969" s="56"/>
      <c r="M969" s="56"/>
      <c r="N969" s="58"/>
      <c r="O969" s="58"/>
      <c r="P969" s="58"/>
      <c r="Q969" s="59"/>
      <c r="R969" s="58"/>
      <c r="S969" s="58"/>
      <c r="T969" s="54" t="s">
        <v>56</v>
      </c>
      <c r="U969" s="54" t="s">
        <v>56</v>
      </c>
    </row>
    <row r="970" spans="1:21" ht="100" x14ac:dyDescent="0.25">
      <c r="A970" s="53">
        <v>969</v>
      </c>
      <c r="B970" s="54" t="s">
        <v>4033</v>
      </c>
      <c r="C970" s="54" t="s">
        <v>4034</v>
      </c>
      <c r="D970" s="54" t="s">
        <v>173</v>
      </c>
      <c r="E970" s="54" t="s">
        <v>3710</v>
      </c>
      <c r="F970" s="55" t="s">
        <v>4035</v>
      </c>
      <c r="G970" s="56">
        <v>43305</v>
      </c>
      <c r="H970" s="54" t="s">
        <v>4036</v>
      </c>
      <c r="I970" s="57">
        <v>43377</v>
      </c>
      <c r="J970" s="54" t="s">
        <v>54</v>
      </c>
      <c r="K970" s="54" t="s">
        <v>176</v>
      </c>
      <c r="L970" s="56"/>
      <c r="M970" s="56"/>
      <c r="N970" s="54"/>
      <c r="O970" s="54"/>
      <c r="P970" s="54" t="s">
        <v>4037</v>
      </c>
      <c r="Q970" s="59">
        <v>44224</v>
      </c>
      <c r="R970" s="54" t="s">
        <v>179</v>
      </c>
      <c r="S970" s="59">
        <v>44365</v>
      </c>
      <c r="T970" s="54" t="s">
        <v>87</v>
      </c>
      <c r="U970" s="58" t="s">
        <v>501</v>
      </c>
    </row>
    <row r="971" spans="1:21" ht="137.5" x14ac:dyDescent="0.25">
      <c r="A971" s="53">
        <v>970</v>
      </c>
      <c r="B971" s="54" t="s">
        <v>4038</v>
      </c>
      <c r="C971" s="54" t="s">
        <v>4039</v>
      </c>
      <c r="D971" s="54" t="s">
        <v>59</v>
      </c>
      <c r="E971" s="54" t="s">
        <v>3710</v>
      </c>
      <c r="F971" s="55" t="s">
        <v>4040</v>
      </c>
      <c r="G971" s="56">
        <v>42600.755451388897</v>
      </c>
      <c r="H971" s="54" t="s">
        <v>4041</v>
      </c>
      <c r="I971" s="57">
        <v>42635</v>
      </c>
      <c r="J971" s="54" t="s">
        <v>3498</v>
      </c>
      <c r="K971" s="54" t="s">
        <v>55</v>
      </c>
      <c r="L971" s="56"/>
      <c r="M971" s="56"/>
      <c r="N971" s="58"/>
      <c r="O971" s="58"/>
      <c r="P971" s="58"/>
      <c r="Q971" s="59"/>
      <c r="R971" s="58"/>
      <c r="S971" s="58"/>
      <c r="T971" s="54" t="s">
        <v>56</v>
      </c>
      <c r="U971" s="54" t="s">
        <v>56</v>
      </c>
    </row>
    <row r="972" spans="1:21" ht="100" x14ac:dyDescent="0.25">
      <c r="A972" s="53">
        <v>971</v>
      </c>
      <c r="B972" s="54" t="s">
        <v>4042</v>
      </c>
      <c r="C972" s="54" t="s">
        <v>4043</v>
      </c>
      <c r="D972" s="54" t="s">
        <v>50</v>
      </c>
      <c r="E972" s="54" t="s">
        <v>3710</v>
      </c>
      <c r="F972" s="55" t="s">
        <v>4044</v>
      </c>
      <c r="G972" s="56">
        <v>42685</v>
      </c>
      <c r="H972" s="54" t="s">
        <v>4045</v>
      </c>
      <c r="I972" s="57">
        <v>42706</v>
      </c>
      <c r="J972" s="54" t="s">
        <v>54</v>
      </c>
      <c r="K972" s="54" t="s">
        <v>55</v>
      </c>
      <c r="L972" s="56"/>
      <c r="M972" s="56"/>
      <c r="N972" s="58"/>
      <c r="O972" s="58"/>
      <c r="P972" s="58"/>
      <c r="Q972" s="59"/>
      <c r="R972" s="58"/>
      <c r="S972" s="58"/>
      <c r="T972" s="54" t="s">
        <v>56</v>
      </c>
      <c r="U972" s="54" t="s">
        <v>56</v>
      </c>
    </row>
    <row r="973" spans="1:21" ht="112.5" x14ac:dyDescent="0.25">
      <c r="A973" s="53">
        <v>972</v>
      </c>
      <c r="B973" s="79" t="s">
        <v>4046</v>
      </c>
      <c r="C973" s="54" t="s">
        <v>4047</v>
      </c>
      <c r="D973" s="54" t="s">
        <v>50</v>
      </c>
      <c r="E973" s="54" t="s">
        <v>3710</v>
      </c>
      <c r="F973" s="55" t="s">
        <v>4048</v>
      </c>
      <c r="G973" s="56">
        <v>43714</v>
      </c>
      <c r="H973" s="54" t="s">
        <v>4049</v>
      </c>
      <c r="I973" s="57">
        <v>43762</v>
      </c>
      <c r="J973" s="54" t="s">
        <v>103</v>
      </c>
      <c r="K973" s="54" t="s">
        <v>55</v>
      </c>
      <c r="L973" s="56"/>
      <c r="M973" s="56"/>
      <c r="N973" s="54"/>
      <c r="O973" s="54"/>
      <c r="P973" s="54"/>
      <c r="Q973" s="54"/>
      <c r="R973" s="54"/>
      <c r="S973" s="54"/>
      <c r="T973" s="54" t="s">
        <v>104</v>
      </c>
      <c r="U973" s="54" t="s">
        <v>105</v>
      </c>
    </row>
    <row r="974" spans="1:21" ht="100" x14ac:dyDescent="0.25">
      <c r="A974" s="53">
        <v>973</v>
      </c>
      <c r="B974" s="54" t="s">
        <v>4050</v>
      </c>
      <c r="C974" s="54" t="s">
        <v>4051</v>
      </c>
      <c r="D974" s="54" t="s">
        <v>50</v>
      </c>
      <c r="E974" s="54" t="s">
        <v>3710</v>
      </c>
      <c r="F974" s="55" t="s">
        <v>4052</v>
      </c>
      <c r="G974" s="56">
        <v>43305</v>
      </c>
      <c r="H974" s="54" t="s">
        <v>4053</v>
      </c>
      <c r="I974" s="57">
        <v>43448</v>
      </c>
      <c r="J974" s="54" t="s">
        <v>54</v>
      </c>
      <c r="K974" s="54" t="s">
        <v>55</v>
      </c>
      <c r="L974" s="56"/>
      <c r="M974" s="56"/>
      <c r="N974" s="54"/>
      <c r="O974" s="54"/>
      <c r="P974" s="54"/>
      <c r="Q974" s="54"/>
      <c r="R974" s="54"/>
      <c r="S974" s="54"/>
      <c r="T974" s="54" t="s">
        <v>56</v>
      </c>
      <c r="U974" s="54" t="s">
        <v>56</v>
      </c>
    </row>
    <row r="975" spans="1:21" ht="100" x14ac:dyDescent="0.25">
      <c r="A975" s="53">
        <v>974</v>
      </c>
      <c r="B975" s="54" t="s">
        <v>4054</v>
      </c>
      <c r="C975" s="54" t="s">
        <v>4055</v>
      </c>
      <c r="D975" s="54" t="s">
        <v>50</v>
      </c>
      <c r="E975" s="54" t="s">
        <v>3710</v>
      </c>
      <c r="F975" s="55" t="s">
        <v>4056</v>
      </c>
      <c r="G975" s="56">
        <v>42685</v>
      </c>
      <c r="H975" s="54" t="s">
        <v>4057</v>
      </c>
      <c r="I975" s="57">
        <v>42706</v>
      </c>
      <c r="J975" s="54" t="s">
        <v>54</v>
      </c>
      <c r="K975" s="54" t="s">
        <v>55</v>
      </c>
      <c r="L975" s="56"/>
      <c r="M975" s="56"/>
      <c r="N975" s="58"/>
      <c r="O975" s="58"/>
      <c r="P975" s="58"/>
      <c r="Q975" s="59"/>
      <c r="R975" s="58"/>
      <c r="S975" s="58"/>
      <c r="T975" s="54" t="s">
        <v>56</v>
      </c>
      <c r="U975" s="54" t="s">
        <v>56</v>
      </c>
    </row>
    <row r="976" spans="1:21" ht="62.5" x14ac:dyDescent="0.25">
      <c r="A976" s="53">
        <v>975</v>
      </c>
      <c r="B976" s="54" t="s">
        <v>4058</v>
      </c>
      <c r="C976" s="54" t="s">
        <v>4059</v>
      </c>
      <c r="D976" s="54" t="s">
        <v>59</v>
      </c>
      <c r="E976" s="54" t="s">
        <v>3710</v>
      </c>
      <c r="F976" s="55" t="s">
        <v>4060</v>
      </c>
      <c r="G976" s="56">
        <v>43003</v>
      </c>
      <c r="H976" s="54" t="s">
        <v>4061</v>
      </c>
      <c r="I976" s="57">
        <v>43020</v>
      </c>
      <c r="J976" s="54" t="s">
        <v>4062</v>
      </c>
      <c r="K976" s="54" t="s">
        <v>81</v>
      </c>
      <c r="L976" s="56"/>
      <c r="M976" s="56"/>
      <c r="N976" s="54"/>
      <c r="O976" s="54"/>
      <c r="P976" s="54"/>
      <c r="Q976" s="54"/>
      <c r="R976" s="54"/>
      <c r="S976" s="54"/>
      <c r="T976" s="54" t="s">
        <v>56</v>
      </c>
      <c r="U976" s="54" t="s">
        <v>56</v>
      </c>
    </row>
    <row r="977" spans="1:21" ht="62.5" x14ac:dyDescent="0.25">
      <c r="A977" s="53">
        <v>976</v>
      </c>
      <c r="B977" s="54" t="s">
        <v>4063</v>
      </c>
      <c r="C977" s="54" t="s">
        <v>4064</v>
      </c>
      <c r="D977" s="54" t="s">
        <v>59</v>
      </c>
      <c r="E977" s="54" t="s">
        <v>3710</v>
      </c>
      <c r="F977" s="55" t="s">
        <v>4065</v>
      </c>
      <c r="G977" s="56">
        <v>43305</v>
      </c>
      <c r="H977" s="54" t="s">
        <v>4066</v>
      </c>
      <c r="I977" s="57">
        <v>43375</v>
      </c>
      <c r="J977" s="54" t="s">
        <v>3890</v>
      </c>
      <c r="K977" s="54" t="s">
        <v>55</v>
      </c>
      <c r="L977" s="56"/>
      <c r="M977" s="56"/>
      <c r="N977" s="54"/>
      <c r="O977" s="54"/>
      <c r="P977" s="54"/>
      <c r="Q977" s="54"/>
      <c r="R977" s="54"/>
      <c r="S977" s="54"/>
      <c r="T977" s="58" t="s">
        <v>87</v>
      </c>
      <c r="U977" s="54" t="s">
        <v>105</v>
      </c>
    </row>
    <row r="978" spans="1:21" ht="100" x14ac:dyDescent="0.25">
      <c r="A978" s="53">
        <v>977</v>
      </c>
      <c r="B978" s="54" t="s">
        <v>4067</v>
      </c>
      <c r="C978" s="54" t="s">
        <v>4068</v>
      </c>
      <c r="D978" s="54" t="s">
        <v>50</v>
      </c>
      <c r="E978" s="54" t="s">
        <v>3710</v>
      </c>
      <c r="F978" s="55" t="s">
        <v>4069</v>
      </c>
      <c r="G978" s="56">
        <v>43367</v>
      </c>
      <c r="H978" s="54" t="s">
        <v>4070</v>
      </c>
      <c r="I978" s="57">
        <v>43385</v>
      </c>
      <c r="J978" s="54" t="s">
        <v>54</v>
      </c>
      <c r="K978" s="54" t="s">
        <v>55</v>
      </c>
      <c r="L978" s="56"/>
      <c r="M978" s="56"/>
      <c r="N978" s="54"/>
      <c r="O978" s="54"/>
      <c r="P978" s="54"/>
      <c r="Q978" s="54"/>
      <c r="R978" s="54"/>
      <c r="S978" s="54"/>
      <c r="T978" s="54" t="s">
        <v>56</v>
      </c>
      <c r="U978" s="54" t="s">
        <v>56</v>
      </c>
    </row>
    <row r="979" spans="1:21" ht="137.5" x14ac:dyDescent="0.25">
      <c r="A979" s="53">
        <v>978</v>
      </c>
      <c r="B979" s="54" t="s">
        <v>4071</v>
      </c>
      <c r="C979" s="54" t="s">
        <v>4072</v>
      </c>
      <c r="D979" s="54" t="s">
        <v>59</v>
      </c>
      <c r="E979" s="54" t="s">
        <v>3710</v>
      </c>
      <c r="F979" s="55" t="s">
        <v>4073</v>
      </c>
      <c r="G979" s="56">
        <v>42601.338900463001</v>
      </c>
      <c r="H979" s="54" t="s">
        <v>4074</v>
      </c>
      <c r="I979" s="57">
        <v>42635</v>
      </c>
      <c r="J979" s="54" t="s">
        <v>3498</v>
      </c>
      <c r="K979" s="54" t="s">
        <v>55</v>
      </c>
      <c r="L979" s="56"/>
      <c r="M979" s="56"/>
      <c r="N979" s="58"/>
      <c r="O979" s="58"/>
      <c r="P979" s="58"/>
      <c r="Q979" s="59"/>
      <c r="R979" s="58"/>
      <c r="S979" s="58"/>
      <c r="T979" s="54" t="s">
        <v>56</v>
      </c>
      <c r="U979" s="54" t="s">
        <v>56</v>
      </c>
    </row>
    <row r="980" spans="1:21" ht="100" x14ac:dyDescent="0.25">
      <c r="A980" s="53">
        <v>979</v>
      </c>
      <c r="B980" s="54" t="s">
        <v>4075</v>
      </c>
      <c r="C980" s="54" t="s">
        <v>4076</v>
      </c>
      <c r="D980" s="54" t="s">
        <v>50</v>
      </c>
      <c r="E980" s="54" t="s">
        <v>3710</v>
      </c>
      <c r="F980" s="55" t="s">
        <v>4077</v>
      </c>
      <c r="G980" s="56">
        <v>43003</v>
      </c>
      <c r="H980" s="54" t="s">
        <v>4078</v>
      </c>
      <c r="I980" s="57">
        <v>43028</v>
      </c>
      <c r="J980" s="54" t="s">
        <v>54</v>
      </c>
      <c r="K980" s="54" t="s">
        <v>55</v>
      </c>
      <c r="L980" s="56"/>
      <c r="M980" s="56"/>
      <c r="N980" s="54"/>
      <c r="O980" s="59"/>
      <c r="P980" s="54"/>
      <c r="Q980" s="54"/>
      <c r="R980" s="54"/>
      <c r="S980" s="54"/>
      <c r="T980" s="54" t="s">
        <v>104</v>
      </c>
      <c r="U980" s="54" t="s">
        <v>105</v>
      </c>
    </row>
    <row r="981" spans="1:21" ht="137.5" x14ac:dyDescent="0.25">
      <c r="A981" s="53">
        <v>980</v>
      </c>
      <c r="B981" s="54" t="s">
        <v>4079</v>
      </c>
      <c r="C981" s="54" t="s">
        <v>4080</v>
      </c>
      <c r="D981" s="54" t="s">
        <v>59</v>
      </c>
      <c r="E981" s="54" t="s">
        <v>3710</v>
      </c>
      <c r="F981" s="55" t="s">
        <v>4081</v>
      </c>
      <c r="G981" s="56">
        <v>42601.338842592602</v>
      </c>
      <c r="H981" s="54" t="s">
        <v>4082</v>
      </c>
      <c r="I981" s="57">
        <v>42627</v>
      </c>
      <c r="J981" s="54" t="s">
        <v>3498</v>
      </c>
      <c r="K981" s="54" t="s">
        <v>55</v>
      </c>
      <c r="L981" s="56"/>
      <c r="M981" s="56"/>
      <c r="N981" s="58"/>
      <c r="O981" s="58"/>
      <c r="P981" s="58"/>
      <c r="Q981" s="59"/>
      <c r="R981" s="58"/>
      <c r="S981" s="58"/>
      <c r="T981" s="54" t="s">
        <v>56</v>
      </c>
      <c r="U981" s="54" t="s">
        <v>56</v>
      </c>
    </row>
    <row r="982" spans="1:21" ht="137.5" x14ac:dyDescent="0.25">
      <c r="A982" s="53">
        <v>981</v>
      </c>
      <c r="B982" s="54" t="s">
        <v>4083</v>
      </c>
      <c r="C982" s="54" t="s">
        <v>4084</v>
      </c>
      <c r="D982" s="54" t="s">
        <v>59</v>
      </c>
      <c r="E982" s="54" t="s">
        <v>3710</v>
      </c>
      <c r="F982" s="55" t="s">
        <v>4085</v>
      </c>
      <c r="G982" s="56">
        <v>42685</v>
      </c>
      <c r="H982" s="54" t="s">
        <v>4086</v>
      </c>
      <c r="I982" s="57">
        <v>42733</v>
      </c>
      <c r="J982" s="54" t="s">
        <v>3498</v>
      </c>
      <c r="K982" s="54" t="s">
        <v>55</v>
      </c>
      <c r="L982" s="56"/>
      <c r="M982" s="56"/>
      <c r="N982" s="58"/>
      <c r="O982" s="58"/>
      <c r="P982" s="58"/>
      <c r="Q982" s="59"/>
      <c r="R982" s="58"/>
      <c r="S982" s="58"/>
      <c r="T982" s="54" t="s">
        <v>56</v>
      </c>
      <c r="U982" s="54" t="s">
        <v>56</v>
      </c>
    </row>
    <row r="983" spans="1:21" ht="87.5" x14ac:dyDescent="0.25">
      <c r="A983" s="53">
        <v>982</v>
      </c>
      <c r="B983" s="54" t="s">
        <v>4087</v>
      </c>
      <c r="C983" s="54" t="s">
        <v>4088</v>
      </c>
      <c r="D983" s="54" t="s">
        <v>59</v>
      </c>
      <c r="E983" s="54" t="s">
        <v>3710</v>
      </c>
      <c r="F983" s="55" t="s">
        <v>4089</v>
      </c>
      <c r="G983" s="56">
        <v>43378</v>
      </c>
      <c r="H983" s="54" t="s">
        <v>4090</v>
      </c>
      <c r="I983" s="57">
        <v>43476</v>
      </c>
      <c r="J983" s="54" t="s">
        <v>4091</v>
      </c>
      <c r="K983" s="54" t="s">
        <v>55</v>
      </c>
      <c r="L983" s="56"/>
      <c r="M983" s="56"/>
      <c r="N983" s="54"/>
      <c r="O983" s="54"/>
      <c r="P983" s="54"/>
      <c r="Q983" s="54"/>
      <c r="R983" s="54"/>
      <c r="S983" s="54"/>
      <c r="T983" s="54" t="s">
        <v>56</v>
      </c>
      <c r="U983" s="54" t="s">
        <v>56</v>
      </c>
    </row>
    <row r="984" spans="1:21" ht="137.5" x14ac:dyDescent="0.25">
      <c r="A984" s="53">
        <v>983</v>
      </c>
      <c r="B984" s="54" t="s">
        <v>4092</v>
      </c>
      <c r="C984" s="54" t="s">
        <v>4093</v>
      </c>
      <c r="D984" s="54" t="s">
        <v>59</v>
      </c>
      <c r="E984" s="54" t="s">
        <v>3710</v>
      </c>
      <c r="F984" s="55" t="s">
        <v>4094</v>
      </c>
      <c r="G984" s="56">
        <v>42600.755474537</v>
      </c>
      <c r="H984" s="54" t="s">
        <v>4095</v>
      </c>
      <c r="I984" s="57">
        <v>42635</v>
      </c>
      <c r="J984" s="54" t="s">
        <v>3498</v>
      </c>
      <c r="K984" s="54" t="s">
        <v>55</v>
      </c>
      <c r="L984" s="56"/>
      <c r="M984" s="56"/>
      <c r="N984" s="58"/>
      <c r="O984" s="58"/>
      <c r="P984" s="58"/>
      <c r="Q984" s="59"/>
      <c r="R984" s="58"/>
      <c r="S984" s="58"/>
      <c r="T984" s="54" t="s">
        <v>56</v>
      </c>
      <c r="U984" s="54" t="s">
        <v>56</v>
      </c>
    </row>
    <row r="985" spans="1:21" ht="100" x14ac:dyDescent="0.25">
      <c r="A985" s="53">
        <v>984</v>
      </c>
      <c r="B985" s="54" t="s">
        <v>4096</v>
      </c>
      <c r="C985" s="54" t="s">
        <v>4097</v>
      </c>
      <c r="D985" s="54" t="s">
        <v>50</v>
      </c>
      <c r="E985" s="54" t="s">
        <v>3710</v>
      </c>
      <c r="F985" s="55" t="s">
        <v>4098</v>
      </c>
      <c r="G985" s="56">
        <v>43125</v>
      </c>
      <c r="H985" s="54" t="s">
        <v>4099</v>
      </c>
      <c r="I985" s="57">
        <v>43166</v>
      </c>
      <c r="J985" s="54" t="s">
        <v>54</v>
      </c>
      <c r="K985" s="54" t="s">
        <v>55</v>
      </c>
      <c r="L985" s="56"/>
      <c r="M985" s="56"/>
      <c r="N985" s="54"/>
      <c r="O985" s="54"/>
      <c r="P985" s="54"/>
      <c r="Q985" s="54"/>
      <c r="R985" s="54"/>
      <c r="S985" s="54"/>
      <c r="T985" s="54" t="s">
        <v>56</v>
      </c>
      <c r="U985" s="54" t="s">
        <v>56</v>
      </c>
    </row>
    <row r="986" spans="1:21" ht="62.5" x14ac:dyDescent="0.25">
      <c r="A986" s="53">
        <v>985</v>
      </c>
      <c r="B986" s="54" t="s">
        <v>4100</v>
      </c>
      <c r="C986" s="54" t="s">
        <v>4101</v>
      </c>
      <c r="D986" s="54" t="s">
        <v>59</v>
      </c>
      <c r="E986" s="54" t="s">
        <v>3710</v>
      </c>
      <c r="F986" s="55" t="s">
        <v>4102</v>
      </c>
      <c r="G986" s="56">
        <v>43305</v>
      </c>
      <c r="H986" s="54" t="s">
        <v>4103</v>
      </c>
      <c r="I986" s="57">
        <v>43391</v>
      </c>
      <c r="J986" s="54" t="s">
        <v>196</v>
      </c>
      <c r="K986" s="54" t="s">
        <v>55</v>
      </c>
      <c r="L986" s="56"/>
      <c r="M986" s="56"/>
      <c r="N986" s="54"/>
      <c r="O986" s="54"/>
      <c r="P986" s="54"/>
      <c r="Q986" s="54"/>
      <c r="R986" s="54"/>
      <c r="S986" s="54"/>
      <c r="T986" s="54" t="s">
        <v>56</v>
      </c>
      <c r="U986" s="54" t="s">
        <v>56</v>
      </c>
    </row>
    <row r="987" spans="1:21" ht="137.5" x14ac:dyDescent="0.25">
      <c r="A987" s="53">
        <v>986</v>
      </c>
      <c r="B987" s="54" t="s">
        <v>4104</v>
      </c>
      <c r="C987" s="54" t="s">
        <v>4105</v>
      </c>
      <c r="D987" s="54" t="s">
        <v>59</v>
      </c>
      <c r="E987" s="54" t="s">
        <v>3710</v>
      </c>
      <c r="F987" s="55" t="s">
        <v>4106</v>
      </c>
      <c r="G987" s="56">
        <v>42601.338946759301</v>
      </c>
      <c r="H987" s="54" t="s">
        <v>4107</v>
      </c>
      <c r="I987" s="57">
        <v>42635</v>
      </c>
      <c r="J987" s="54" t="s">
        <v>3498</v>
      </c>
      <c r="K987" s="54" t="s">
        <v>55</v>
      </c>
      <c r="L987" s="56"/>
      <c r="M987" s="56"/>
      <c r="N987" s="58"/>
      <c r="O987" s="58"/>
      <c r="P987" s="58"/>
      <c r="Q987" s="59"/>
      <c r="R987" s="58"/>
      <c r="S987" s="58"/>
      <c r="T987" s="54" t="s">
        <v>56</v>
      </c>
      <c r="U987" s="54" t="s">
        <v>56</v>
      </c>
    </row>
    <row r="988" spans="1:21" ht="100" x14ac:dyDescent="0.25">
      <c r="A988" s="53">
        <v>987</v>
      </c>
      <c r="B988" s="54" t="s">
        <v>4108</v>
      </c>
      <c r="C988" s="54" t="s">
        <v>4109</v>
      </c>
      <c r="D988" s="54" t="s">
        <v>50</v>
      </c>
      <c r="E988" s="54" t="s">
        <v>3710</v>
      </c>
      <c r="F988" s="55" t="s">
        <v>4110</v>
      </c>
      <c r="G988" s="56">
        <v>43003</v>
      </c>
      <c r="H988" s="54" t="s">
        <v>4111</v>
      </c>
      <c r="I988" s="57">
        <v>43014</v>
      </c>
      <c r="J988" s="54" t="s">
        <v>54</v>
      </c>
      <c r="K988" s="54" t="s">
        <v>81</v>
      </c>
      <c r="L988" s="56"/>
      <c r="M988" s="56"/>
      <c r="N988" s="54"/>
      <c r="O988" s="54"/>
      <c r="P988" s="54"/>
      <c r="Q988" s="54"/>
      <c r="R988" s="54"/>
      <c r="S988" s="54"/>
      <c r="T988" s="54" t="s">
        <v>56</v>
      </c>
      <c r="U988" s="54" t="s">
        <v>56</v>
      </c>
    </row>
    <row r="989" spans="1:21" ht="100" x14ac:dyDescent="0.25">
      <c r="A989" s="53">
        <v>988</v>
      </c>
      <c r="B989" s="54" t="s">
        <v>4112</v>
      </c>
      <c r="C989" s="54" t="s">
        <v>4113</v>
      </c>
      <c r="D989" s="54" t="s">
        <v>50</v>
      </c>
      <c r="E989" s="54" t="s">
        <v>3710</v>
      </c>
      <c r="F989" s="55" t="s">
        <v>4114</v>
      </c>
      <c r="G989" s="56">
        <v>43089</v>
      </c>
      <c r="H989" s="54" t="s">
        <v>4115</v>
      </c>
      <c r="I989" s="57">
        <v>43103</v>
      </c>
      <c r="J989" s="54" t="s">
        <v>54</v>
      </c>
      <c r="K989" s="54" t="s">
        <v>55</v>
      </c>
      <c r="L989" s="56"/>
      <c r="M989" s="56"/>
      <c r="N989" s="54"/>
      <c r="O989" s="54"/>
      <c r="P989" s="54"/>
      <c r="Q989" s="54"/>
      <c r="R989" s="54"/>
      <c r="S989" s="54"/>
      <c r="T989" s="54" t="s">
        <v>56</v>
      </c>
      <c r="U989" s="54" t="s">
        <v>56</v>
      </c>
    </row>
    <row r="990" spans="1:21" ht="100" x14ac:dyDescent="0.25">
      <c r="A990" s="53">
        <v>989</v>
      </c>
      <c r="B990" s="54" t="s">
        <v>4116</v>
      </c>
      <c r="C990" s="54" t="s">
        <v>4117</v>
      </c>
      <c r="D990" s="54" t="s">
        <v>59</v>
      </c>
      <c r="E990" s="54" t="s">
        <v>3710</v>
      </c>
      <c r="F990" s="55" t="s">
        <v>4118</v>
      </c>
      <c r="G990" s="56">
        <v>42600.755509259303</v>
      </c>
      <c r="H990" s="54" t="s">
        <v>4119</v>
      </c>
      <c r="I990" s="57">
        <v>42627</v>
      </c>
      <c r="J990" s="54" t="s">
        <v>2270</v>
      </c>
      <c r="K990" s="54" t="s">
        <v>81</v>
      </c>
      <c r="L990" s="56"/>
      <c r="M990" s="56"/>
      <c r="N990" s="58"/>
      <c r="O990" s="58"/>
      <c r="P990" s="58"/>
      <c r="Q990" s="59"/>
      <c r="R990" s="58"/>
      <c r="S990" s="58"/>
      <c r="T990" s="54" t="s">
        <v>104</v>
      </c>
      <c r="U990" s="54" t="s">
        <v>105</v>
      </c>
    </row>
    <row r="991" spans="1:21" ht="137.5" x14ac:dyDescent="0.25">
      <c r="A991" s="53">
        <v>990</v>
      </c>
      <c r="B991" s="54" t="s">
        <v>4120</v>
      </c>
      <c r="C991" s="54" t="s">
        <v>4121</v>
      </c>
      <c r="D991" s="54" t="s">
        <v>59</v>
      </c>
      <c r="E991" s="54" t="s">
        <v>3710</v>
      </c>
      <c r="F991" s="55" t="s">
        <v>4122</v>
      </c>
      <c r="G991" s="56">
        <v>42600.7554282407</v>
      </c>
      <c r="H991" s="54" t="s">
        <v>4123</v>
      </c>
      <c r="I991" s="57">
        <v>42635</v>
      </c>
      <c r="J991" s="54" t="s">
        <v>3498</v>
      </c>
      <c r="K991" s="54" t="s">
        <v>55</v>
      </c>
      <c r="L991" s="56"/>
      <c r="M991" s="56"/>
      <c r="N991" s="58"/>
      <c r="O991" s="58"/>
      <c r="P991" s="58"/>
      <c r="Q991" s="59"/>
      <c r="R991" s="58"/>
      <c r="S991" s="58"/>
      <c r="T991" s="54" t="s">
        <v>56</v>
      </c>
      <c r="U991" s="54" t="s">
        <v>56</v>
      </c>
    </row>
    <row r="992" spans="1:21" ht="100" x14ac:dyDescent="0.25">
      <c r="A992" s="53">
        <v>991</v>
      </c>
      <c r="B992" s="54" t="s">
        <v>4124</v>
      </c>
      <c r="C992" s="54" t="s">
        <v>4125</v>
      </c>
      <c r="D992" s="54" t="s">
        <v>50</v>
      </c>
      <c r="E992" s="54" t="s">
        <v>3710</v>
      </c>
      <c r="F992" s="55" t="s">
        <v>4126</v>
      </c>
      <c r="G992" s="56">
        <v>43039</v>
      </c>
      <c r="H992" s="54" t="s">
        <v>4127</v>
      </c>
      <c r="I992" s="57">
        <v>43069</v>
      </c>
      <c r="J992" s="54" t="s">
        <v>54</v>
      </c>
      <c r="K992" s="54" t="s">
        <v>55</v>
      </c>
      <c r="L992" s="56"/>
      <c r="M992" s="56"/>
      <c r="N992" s="54"/>
      <c r="O992" s="54"/>
      <c r="P992" s="54"/>
      <c r="Q992" s="54"/>
      <c r="R992" s="54"/>
      <c r="S992" s="54"/>
      <c r="T992" s="54" t="s">
        <v>56</v>
      </c>
      <c r="U992" s="54" t="s">
        <v>56</v>
      </c>
    </row>
    <row r="993" spans="1:21" ht="137.5" x14ac:dyDescent="0.25">
      <c r="A993" s="53">
        <v>992</v>
      </c>
      <c r="B993" s="54" t="s">
        <v>4128</v>
      </c>
      <c r="C993" s="54" t="s">
        <v>4129</v>
      </c>
      <c r="D993" s="54" t="s">
        <v>59</v>
      </c>
      <c r="E993" s="54" t="s">
        <v>3710</v>
      </c>
      <c r="F993" s="55" t="s">
        <v>4130</v>
      </c>
      <c r="G993" s="56">
        <v>42689</v>
      </c>
      <c r="H993" s="54" t="s">
        <v>4131</v>
      </c>
      <c r="I993" s="57">
        <v>42733</v>
      </c>
      <c r="J993" s="54" t="s">
        <v>3498</v>
      </c>
      <c r="K993" s="54" t="s">
        <v>81</v>
      </c>
      <c r="L993" s="56"/>
      <c r="M993" s="56"/>
      <c r="N993" s="58"/>
      <c r="O993" s="58"/>
      <c r="P993" s="58"/>
      <c r="Q993" s="59"/>
      <c r="R993" s="58"/>
      <c r="S993" s="58"/>
      <c r="T993" s="54" t="s">
        <v>56</v>
      </c>
      <c r="U993" s="54" t="s">
        <v>56</v>
      </c>
    </row>
    <row r="994" spans="1:21" ht="137.5" x14ac:dyDescent="0.25">
      <c r="A994" s="53">
        <v>993</v>
      </c>
      <c r="B994" s="54" t="s">
        <v>4132</v>
      </c>
      <c r="C994" s="54" t="s">
        <v>4133</v>
      </c>
      <c r="D994" s="54" t="s">
        <v>59</v>
      </c>
      <c r="E994" s="54" t="s">
        <v>3710</v>
      </c>
      <c r="F994" s="55" t="s">
        <v>4134</v>
      </c>
      <c r="G994" s="56">
        <v>43003</v>
      </c>
      <c r="H994" s="54" t="s">
        <v>4135</v>
      </c>
      <c r="I994" s="57">
        <v>43020</v>
      </c>
      <c r="J994" s="54" t="s">
        <v>3498</v>
      </c>
      <c r="K994" s="54" t="s">
        <v>55</v>
      </c>
      <c r="L994" s="56"/>
      <c r="M994" s="56"/>
      <c r="N994" s="54"/>
      <c r="O994" s="54"/>
      <c r="P994" s="54"/>
      <c r="Q994" s="54"/>
      <c r="R994" s="54"/>
      <c r="S994" s="54"/>
      <c r="T994" s="54" t="s">
        <v>56</v>
      </c>
      <c r="U994" s="54" t="s">
        <v>56</v>
      </c>
    </row>
    <row r="995" spans="1:21" ht="100" x14ac:dyDescent="0.25">
      <c r="A995" s="53">
        <v>994</v>
      </c>
      <c r="B995" s="91" t="s">
        <v>4136</v>
      </c>
      <c r="C995" s="54" t="s">
        <v>4137</v>
      </c>
      <c r="D995" s="54" t="s">
        <v>59</v>
      </c>
      <c r="E995" s="54" t="s">
        <v>3710</v>
      </c>
      <c r="F995" s="72" t="s">
        <v>4138</v>
      </c>
      <c r="G995" s="56">
        <v>43656</v>
      </c>
      <c r="H995" s="74" t="s">
        <v>4139</v>
      </c>
      <c r="I995" s="57">
        <v>43808</v>
      </c>
      <c r="J995" s="54" t="s">
        <v>2270</v>
      </c>
      <c r="K995" s="54" t="s">
        <v>55</v>
      </c>
      <c r="L995" s="56"/>
      <c r="M995" s="56"/>
      <c r="N995" s="54"/>
      <c r="O995" s="54"/>
      <c r="P995" s="54"/>
      <c r="Q995" s="54"/>
      <c r="R995" s="54"/>
      <c r="S995" s="54"/>
      <c r="T995" s="54" t="s">
        <v>56</v>
      </c>
      <c r="U995" s="54" t="s">
        <v>56</v>
      </c>
    </row>
    <row r="996" spans="1:21" ht="37.5" x14ac:dyDescent="0.25">
      <c r="A996" s="53">
        <v>995</v>
      </c>
      <c r="B996" s="79" t="s">
        <v>4140</v>
      </c>
      <c r="C996" s="54" t="s">
        <v>4141</v>
      </c>
      <c r="D996" s="54" t="s">
        <v>59</v>
      </c>
      <c r="E996" s="54" t="s">
        <v>257</v>
      </c>
      <c r="F996" s="55" t="s">
        <v>4142</v>
      </c>
      <c r="G996" s="56">
        <v>44078</v>
      </c>
      <c r="H996" s="54" t="s">
        <v>4143</v>
      </c>
      <c r="I996" s="57">
        <v>44096</v>
      </c>
      <c r="J996" s="54" t="s">
        <v>986</v>
      </c>
      <c r="K996" s="54" t="s">
        <v>55</v>
      </c>
      <c r="L996" s="56"/>
      <c r="M996" s="56"/>
      <c r="N996" s="54"/>
      <c r="O996" s="54"/>
      <c r="P996" s="54"/>
      <c r="Q996" s="54"/>
      <c r="R996" s="54"/>
      <c r="S996" s="54"/>
      <c r="T996" s="54" t="s">
        <v>1146</v>
      </c>
      <c r="U996" s="54" t="s">
        <v>501</v>
      </c>
    </row>
    <row r="997" spans="1:21" ht="37.5" x14ac:dyDescent="0.25">
      <c r="A997" s="53">
        <v>996</v>
      </c>
      <c r="B997" s="79" t="s">
        <v>4144</v>
      </c>
      <c r="C997" s="54" t="s">
        <v>4145</v>
      </c>
      <c r="D997" s="54" t="s">
        <v>59</v>
      </c>
      <c r="E997" s="54" t="s">
        <v>257</v>
      </c>
      <c r="F997" s="55" t="s">
        <v>4146</v>
      </c>
      <c r="G997" s="56">
        <v>44034</v>
      </c>
      <c r="H997" s="92" t="s">
        <v>4147</v>
      </c>
      <c r="I997" s="57">
        <v>44043</v>
      </c>
      <c r="J997" s="54" t="s">
        <v>986</v>
      </c>
      <c r="K997" s="54" t="s">
        <v>55</v>
      </c>
      <c r="L997" s="56"/>
      <c r="M997" s="56"/>
      <c r="N997" s="54"/>
      <c r="O997" s="54"/>
      <c r="P997" s="54"/>
      <c r="Q997" s="54"/>
      <c r="R997" s="54"/>
      <c r="S997" s="54"/>
      <c r="T997" s="54" t="s">
        <v>56</v>
      </c>
      <c r="U997" s="54" t="s">
        <v>56</v>
      </c>
    </row>
    <row r="998" spans="1:21" ht="62.5" x14ac:dyDescent="0.25">
      <c r="A998" s="53">
        <v>997</v>
      </c>
      <c r="B998" s="79" t="s">
        <v>4148</v>
      </c>
      <c r="C998" s="54" t="s">
        <v>4149</v>
      </c>
      <c r="D998" s="54" t="s">
        <v>50</v>
      </c>
      <c r="E998" s="54" t="s">
        <v>257</v>
      </c>
      <c r="F998" s="55" t="s">
        <v>4150</v>
      </c>
      <c r="G998" s="56">
        <v>44034</v>
      </c>
      <c r="H998" s="54" t="s">
        <v>4151</v>
      </c>
      <c r="I998" s="57">
        <v>44043</v>
      </c>
      <c r="J998" s="54" t="s">
        <v>598</v>
      </c>
      <c r="K998" s="54" t="s">
        <v>55</v>
      </c>
      <c r="L998" s="56"/>
      <c r="M998" s="56"/>
      <c r="N998" s="54"/>
      <c r="O998" s="54"/>
      <c r="P998" s="54"/>
      <c r="Q998" s="54"/>
      <c r="R998" s="54"/>
      <c r="S998" s="54"/>
      <c r="T998" s="54" t="s">
        <v>56</v>
      </c>
      <c r="U998" s="54" t="s">
        <v>56</v>
      </c>
    </row>
    <row r="999" spans="1:21" ht="62.5" x14ac:dyDescent="0.25">
      <c r="A999" s="53">
        <v>998</v>
      </c>
      <c r="B999" s="79" t="s">
        <v>4152</v>
      </c>
      <c r="C999" s="54" t="s">
        <v>4153</v>
      </c>
      <c r="D999" s="54" t="s">
        <v>50</v>
      </c>
      <c r="E999" s="54" t="s">
        <v>257</v>
      </c>
      <c r="F999" s="55" t="s">
        <v>4154</v>
      </c>
      <c r="G999" s="56">
        <v>44034</v>
      </c>
      <c r="H999" s="54" t="s">
        <v>4155</v>
      </c>
      <c r="I999" s="57">
        <v>44043</v>
      </c>
      <c r="J999" s="54" t="s">
        <v>598</v>
      </c>
      <c r="K999" s="54" t="s">
        <v>55</v>
      </c>
      <c r="L999" s="56"/>
      <c r="M999" s="56"/>
      <c r="N999" s="54"/>
      <c r="O999" s="54"/>
      <c r="P999" s="54"/>
      <c r="Q999" s="54"/>
      <c r="R999" s="54"/>
      <c r="S999" s="54"/>
      <c r="T999" s="54" t="s">
        <v>56</v>
      </c>
      <c r="U999" s="54" t="s">
        <v>56</v>
      </c>
    </row>
    <row r="1000" spans="1:21" ht="100" x14ac:dyDescent="0.25">
      <c r="A1000" s="53">
        <v>999</v>
      </c>
      <c r="B1000" s="79" t="s">
        <v>4156</v>
      </c>
      <c r="C1000" s="54" t="s">
        <v>4157</v>
      </c>
      <c r="D1000" s="54" t="s">
        <v>59</v>
      </c>
      <c r="E1000" s="54" t="s">
        <v>154</v>
      </c>
      <c r="F1000" s="72" t="s">
        <v>4158</v>
      </c>
      <c r="G1000" s="56">
        <v>44004</v>
      </c>
      <c r="H1000" s="74" t="s">
        <v>4159</v>
      </c>
      <c r="I1000" s="57">
        <v>44182</v>
      </c>
      <c r="J1000" s="54" t="s">
        <v>2270</v>
      </c>
      <c r="K1000" s="54" t="s">
        <v>55</v>
      </c>
      <c r="L1000" s="56"/>
      <c r="M1000" s="56"/>
      <c r="N1000" s="54"/>
      <c r="O1000" s="54"/>
      <c r="P1000" s="54"/>
      <c r="Q1000" s="54"/>
      <c r="R1000" s="54"/>
      <c r="S1000" s="54"/>
      <c r="T1000" s="54" t="s">
        <v>104</v>
      </c>
      <c r="U1000" s="54" t="s">
        <v>105</v>
      </c>
    </row>
    <row r="1001" spans="1:21" ht="112.5" x14ac:dyDescent="0.25">
      <c r="A1001" s="53">
        <v>1000</v>
      </c>
      <c r="B1001" s="79" t="s">
        <v>4160</v>
      </c>
      <c r="C1001" s="54" t="s">
        <v>4161</v>
      </c>
      <c r="D1001" s="54" t="s">
        <v>50</v>
      </c>
      <c r="E1001" s="54" t="s">
        <v>154</v>
      </c>
      <c r="F1001" s="72" t="s">
        <v>4162</v>
      </c>
      <c r="G1001" s="56">
        <v>44004</v>
      </c>
      <c r="H1001" s="74" t="s">
        <v>4163</v>
      </c>
      <c r="I1001" s="57">
        <v>44182</v>
      </c>
      <c r="J1001" s="54" t="s">
        <v>103</v>
      </c>
      <c r="K1001" s="54" t="s">
        <v>55</v>
      </c>
      <c r="L1001" s="56"/>
      <c r="M1001" s="56"/>
      <c r="N1001" s="54"/>
      <c r="O1001" s="54"/>
      <c r="P1001" s="54"/>
      <c r="Q1001" s="54"/>
      <c r="R1001" s="54"/>
      <c r="S1001" s="54"/>
      <c r="T1001" s="54" t="s">
        <v>104</v>
      </c>
      <c r="U1001" s="54" t="s">
        <v>105</v>
      </c>
    </row>
    <row r="1002" spans="1:21" ht="100" x14ac:dyDescent="0.25">
      <c r="A1002" s="53">
        <v>1001</v>
      </c>
      <c r="B1002" s="54" t="s">
        <v>4164</v>
      </c>
      <c r="C1002" s="54" t="s">
        <v>4165</v>
      </c>
      <c r="D1002" s="54" t="s">
        <v>50</v>
      </c>
      <c r="E1002" s="54" t="s">
        <v>3710</v>
      </c>
      <c r="F1002" s="55" t="s">
        <v>4166</v>
      </c>
      <c r="G1002" s="56">
        <v>43003</v>
      </c>
      <c r="H1002" s="54" t="s">
        <v>4167</v>
      </c>
      <c r="I1002" s="57">
        <v>43028</v>
      </c>
      <c r="J1002" s="54" t="s">
        <v>54</v>
      </c>
      <c r="K1002" s="54" t="s">
        <v>176</v>
      </c>
      <c r="L1002" s="56"/>
      <c r="M1002" s="56">
        <v>43100</v>
      </c>
      <c r="N1002" s="54" t="s">
        <v>4168</v>
      </c>
      <c r="O1002" s="59">
        <v>44112</v>
      </c>
      <c r="P1002" s="54"/>
      <c r="Q1002" s="54"/>
      <c r="R1002" s="54"/>
      <c r="S1002" s="68"/>
      <c r="T1002" s="54" t="s">
        <v>87</v>
      </c>
      <c r="U1002" s="58" t="s">
        <v>88</v>
      </c>
    </row>
    <row r="1003" spans="1:21" ht="150" x14ac:dyDescent="0.25">
      <c r="A1003" s="53">
        <v>1002</v>
      </c>
      <c r="B1003" s="91" t="s">
        <v>4169</v>
      </c>
      <c r="C1003" s="54" t="s">
        <v>4170</v>
      </c>
      <c r="D1003" s="54" t="s">
        <v>59</v>
      </c>
      <c r="E1003" s="54" t="s">
        <v>484</v>
      </c>
      <c r="F1003" s="72" t="s">
        <v>4171</v>
      </c>
      <c r="G1003" s="56">
        <v>44280</v>
      </c>
      <c r="H1003" s="74" t="s">
        <v>4172</v>
      </c>
      <c r="I1003" s="57">
        <v>44292</v>
      </c>
      <c r="J1003" s="54" t="s">
        <v>500</v>
      </c>
      <c r="K1003" s="54" t="s">
        <v>55</v>
      </c>
      <c r="L1003" s="56"/>
      <c r="M1003" s="56"/>
      <c r="N1003" s="93"/>
      <c r="O1003" s="94"/>
      <c r="P1003" s="54"/>
      <c r="Q1003" s="54"/>
      <c r="R1003" s="54"/>
      <c r="S1003" s="54"/>
      <c r="T1003" s="59" t="s">
        <v>87</v>
      </c>
      <c r="U1003" s="58" t="s">
        <v>501</v>
      </c>
    </row>
    <row r="1004" spans="1:21" ht="137.5" x14ac:dyDescent="0.25">
      <c r="A1004" s="53">
        <v>1003</v>
      </c>
      <c r="B1004" s="91" t="s">
        <v>4173</v>
      </c>
      <c r="C1004" s="54" t="s">
        <v>4174</v>
      </c>
      <c r="D1004" s="54" t="s">
        <v>59</v>
      </c>
      <c r="E1004" s="54" t="s">
        <v>484</v>
      </c>
      <c r="F1004" s="55" t="s">
        <v>4175</v>
      </c>
      <c r="G1004" s="56">
        <v>44279</v>
      </c>
      <c r="H1004" s="74" t="s">
        <v>4176</v>
      </c>
      <c r="I1004" s="57">
        <v>44287</v>
      </c>
      <c r="J1004" s="56" t="s">
        <v>4177</v>
      </c>
      <c r="K1004" s="54" t="s">
        <v>55</v>
      </c>
      <c r="L1004" s="56"/>
      <c r="M1004" s="56"/>
      <c r="N1004" s="93"/>
      <c r="O1004" s="94"/>
      <c r="P1004" s="54"/>
      <c r="Q1004" s="54"/>
      <c r="R1004" s="54"/>
      <c r="S1004" s="54"/>
      <c r="T1004" s="59" t="s">
        <v>87</v>
      </c>
      <c r="U1004" s="58" t="s">
        <v>501</v>
      </c>
    </row>
    <row r="1005" spans="1:21" ht="137.5" x14ac:dyDescent="0.25">
      <c r="A1005" s="53">
        <v>1004</v>
      </c>
      <c r="B1005" s="91" t="s">
        <v>4178</v>
      </c>
      <c r="C1005" s="54" t="s">
        <v>4179</v>
      </c>
      <c r="D1005" s="54" t="s">
        <v>59</v>
      </c>
      <c r="E1005" s="54" t="s">
        <v>484</v>
      </c>
      <c r="F1005" s="72" t="s">
        <v>4180</v>
      </c>
      <c r="G1005" s="56">
        <v>44279</v>
      </c>
      <c r="H1005" s="74" t="s">
        <v>4181</v>
      </c>
      <c r="I1005" s="57">
        <v>44287</v>
      </c>
      <c r="J1005" s="95" t="s">
        <v>4177</v>
      </c>
      <c r="K1005" s="54" t="s">
        <v>55</v>
      </c>
      <c r="L1005" s="56"/>
      <c r="M1005" s="56"/>
      <c r="N1005" s="93"/>
      <c r="O1005" s="94"/>
      <c r="P1005" s="54"/>
      <c r="Q1005" s="54"/>
      <c r="R1005" s="54"/>
      <c r="S1005" s="54"/>
      <c r="T1005" s="59" t="s">
        <v>87</v>
      </c>
      <c r="U1005" s="58" t="s">
        <v>501</v>
      </c>
    </row>
    <row r="1006" spans="1:21" ht="137.5" x14ac:dyDescent="0.25">
      <c r="A1006" s="53">
        <v>1005</v>
      </c>
      <c r="B1006" s="91" t="s">
        <v>4182</v>
      </c>
      <c r="C1006" s="54" t="s">
        <v>4183</v>
      </c>
      <c r="D1006" s="54" t="s">
        <v>59</v>
      </c>
      <c r="E1006" s="54" t="s">
        <v>484</v>
      </c>
      <c r="F1006" s="72" t="s">
        <v>4184</v>
      </c>
      <c r="G1006" s="56">
        <v>44279</v>
      </c>
      <c r="H1006" s="74" t="s">
        <v>4185</v>
      </c>
      <c r="I1006" s="57">
        <v>44292</v>
      </c>
      <c r="J1006" s="56" t="s">
        <v>4186</v>
      </c>
      <c r="K1006" s="54" t="s">
        <v>55</v>
      </c>
      <c r="L1006" s="56"/>
      <c r="M1006" s="56"/>
      <c r="N1006" s="93"/>
      <c r="O1006" s="94"/>
      <c r="P1006" s="54"/>
      <c r="Q1006" s="54"/>
      <c r="R1006" s="54"/>
      <c r="S1006" s="54"/>
      <c r="T1006" s="59" t="s">
        <v>87</v>
      </c>
      <c r="U1006" s="58" t="s">
        <v>501</v>
      </c>
    </row>
    <row r="1007" spans="1:21" ht="37.5" x14ac:dyDescent="0.25">
      <c r="A1007" s="53">
        <v>1006</v>
      </c>
      <c r="B1007" s="91" t="s">
        <v>4187</v>
      </c>
      <c r="C1007" s="54" t="s">
        <v>4188</v>
      </c>
      <c r="D1007" s="54" t="s">
        <v>59</v>
      </c>
      <c r="E1007" s="54" t="s">
        <v>154</v>
      </c>
      <c r="F1007" s="72" t="s">
        <v>4189</v>
      </c>
      <c r="G1007" s="56">
        <v>44358</v>
      </c>
      <c r="H1007" s="74" t="s">
        <v>4190</v>
      </c>
      <c r="I1007" s="57">
        <v>44386</v>
      </c>
      <c r="J1007" s="54" t="s">
        <v>986</v>
      </c>
      <c r="K1007" s="54" t="s">
        <v>55</v>
      </c>
      <c r="L1007" s="56"/>
      <c r="M1007" s="56"/>
      <c r="N1007" s="93"/>
      <c r="O1007" s="94"/>
      <c r="P1007" s="54"/>
      <c r="Q1007" s="54"/>
      <c r="R1007" s="54"/>
      <c r="S1007" s="54"/>
      <c r="T1007" s="54" t="s">
        <v>104</v>
      </c>
      <c r="U1007" s="54" t="s">
        <v>105</v>
      </c>
    </row>
    <row r="1008" spans="1:21" ht="112.5" x14ac:dyDescent="0.25">
      <c r="A1008" s="53">
        <v>1007</v>
      </c>
      <c r="B1008" s="91" t="s">
        <v>4191</v>
      </c>
      <c r="C1008" s="54" t="s">
        <v>4192</v>
      </c>
      <c r="D1008" s="54" t="s">
        <v>50</v>
      </c>
      <c r="E1008" s="54" t="s">
        <v>154</v>
      </c>
      <c r="F1008" s="55" t="s">
        <v>4193</v>
      </c>
      <c r="G1008" s="56">
        <v>44110</v>
      </c>
      <c r="H1008" s="74" t="s">
        <v>4194</v>
      </c>
      <c r="I1008" s="57">
        <v>44217</v>
      </c>
      <c r="J1008" s="54" t="s">
        <v>103</v>
      </c>
      <c r="K1008" s="54" t="s">
        <v>55</v>
      </c>
      <c r="L1008" s="56">
        <v>43101</v>
      </c>
      <c r="M1008" s="56">
        <v>43830</v>
      </c>
      <c r="N1008" s="93"/>
      <c r="O1008" s="94"/>
      <c r="P1008" s="54"/>
      <c r="Q1008" s="54"/>
      <c r="R1008" s="54"/>
      <c r="S1008" s="54"/>
      <c r="T1008" s="54" t="s">
        <v>56</v>
      </c>
      <c r="U1008" s="54" t="s">
        <v>56</v>
      </c>
    </row>
    <row r="1009" spans="1:21" ht="112.5" x14ac:dyDescent="0.25">
      <c r="A1009" s="53">
        <v>1008</v>
      </c>
      <c r="B1009" s="91" t="s">
        <v>4195</v>
      </c>
      <c r="C1009" s="54" t="s">
        <v>4196</v>
      </c>
      <c r="D1009" s="54" t="s">
        <v>50</v>
      </c>
      <c r="E1009" s="54" t="s">
        <v>154</v>
      </c>
      <c r="F1009" s="72" t="s">
        <v>4197</v>
      </c>
      <c r="G1009" s="56">
        <v>44106</v>
      </c>
      <c r="H1009" s="74" t="s">
        <v>4198</v>
      </c>
      <c r="I1009" s="57">
        <v>44222</v>
      </c>
      <c r="J1009" s="54" t="s">
        <v>103</v>
      </c>
      <c r="K1009" s="54" t="s">
        <v>55</v>
      </c>
      <c r="L1009" s="56">
        <v>43101</v>
      </c>
      <c r="M1009" s="56">
        <v>43830</v>
      </c>
      <c r="N1009" s="93"/>
      <c r="O1009" s="94"/>
      <c r="P1009" s="54"/>
      <c r="Q1009" s="54"/>
      <c r="R1009" s="54"/>
      <c r="S1009" s="54"/>
      <c r="T1009" s="54" t="s">
        <v>56</v>
      </c>
      <c r="U1009" s="54" t="s">
        <v>56</v>
      </c>
    </row>
    <row r="1010" spans="1:21" ht="112.5" x14ac:dyDescent="0.25">
      <c r="A1010" s="53">
        <v>1009</v>
      </c>
      <c r="B1010" s="91" t="s">
        <v>4199</v>
      </c>
      <c r="C1010" s="54" t="s">
        <v>4200</v>
      </c>
      <c r="D1010" s="54" t="s">
        <v>50</v>
      </c>
      <c r="E1010" s="54" t="s">
        <v>154</v>
      </c>
      <c r="F1010" s="72" t="s">
        <v>4201</v>
      </c>
      <c r="G1010" s="56">
        <v>44112</v>
      </c>
      <c r="H1010" s="74" t="s">
        <v>4202</v>
      </c>
      <c r="I1010" s="57">
        <v>44222</v>
      </c>
      <c r="J1010" s="54" t="s">
        <v>103</v>
      </c>
      <c r="K1010" s="54" t="s">
        <v>55</v>
      </c>
      <c r="L1010" s="56">
        <v>42005</v>
      </c>
      <c r="M1010" s="56">
        <v>43830</v>
      </c>
      <c r="N1010" s="93"/>
      <c r="O1010" s="94"/>
      <c r="P1010" s="54"/>
      <c r="Q1010" s="54"/>
      <c r="R1010" s="54"/>
      <c r="S1010" s="54"/>
      <c r="T1010" s="54" t="s">
        <v>56</v>
      </c>
      <c r="U1010" s="54" t="s">
        <v>56</v>
      </c>
    </row>
    <row r="1011" spans="1:21" ht="112.5" x14ac:dyDescent="0.25">
      <c r="A1011" s="53">
        <v>1010</v>
      </c>
      <c r="B1011" s="91" t="s">
        <v>4203</v>
      </c>
      <c r="C1011" s="54" t="s">
        <v>4204</v>
      </c>
      <c r="D1011" s="54" t="s">
        <v>50</v>
      </c>
      <c r="E1011" s="54" t="s">
        <v>154</v>
      </c>
      <c r="F1011" s="72" t="s">
        <v>4205</v>
      </c>
      <c r="G1011" s="56">
        <v>44106</v>
      </c>
      <c r="H1011" s="74" t="s">
        <v>4206</v>
      </c>
      <c r="I1011" s="57">
        <v>44221</v>
      </c>
      <c r="J1011" s="54" t="s">
        <v>103</v>
      </c>
      <c r="K1011" s="54" t="s">
        <v>55</v>
      </c>
      <c r="L1011" s="56"/>
      <c r="M1011" s="56"/>
      <c r="N1011" s="93"/>
      <c r="O1011" s="94"/>
      <c r="P1011" s="54"/>
      <c r="Q1011" s="54"/>
      <c r="R1011" s="54"/>
      <c r="S1011" s="54"/>
      <c r="T1011" s="54" t="s">
        <v>56</v>
      </c>
      <c r="U1011" s="54" t="s">
        <v>56</v>
      </c>
    </row>
    <row r="1012" spans="1:21" ht="112.5" x14ac:dyDescent="0.25">
      <c r="A1012" s="53">
        <v>1011</v>
      </c>
      <c r="B1012" s="91" t="s">
        <v>4207</v>
      </c>
      <c r="C1012" s="54" t="s">
        <v>4208</v>
      </c>
      <c r="D1012" s="54" t="s">
        <v>50</v>
      </c>
      <c r="E1012" s="54" t="s">
        <v>154</v>
      </c>
      <c r="F1012" s="72" t="s">
        <v>4209</v>
      </c>
      <c r="G1012" s="56">
        <v>44112</v>
      </c>
      <c r="H1012" s="74" t="s">
        <v>4210</v>
      </c>
      <c r="I1012" s="57">
        <v>44218</v>
      </c>
      <c r="J1012" s="54" t="s">
        <v>103</v>
      </c>
      <c r="K1012" s="54" t="s">
        <v>55</v>
      </c>
      <c r="L1012" s="56">
        <v>43101</v>
      </c>
      <c r="M1012" s="56">
        <v>43830</v>
      </c>
      <c r="N1012" s="93"/>
      <c r="O1012" s="94"/>
      <c r="P1012" s="54"/>
      <c r="Q1012" s="54"/>
      <c r="R1012" s="54"/>
      <c r="S1012" s="54"/>
      <c r="T1012" s="54" t="s">
        <v>56</v>
      </c>
      <c r="U1012" s="54" t="s">
        <v>56</v>
      </c>
    </row>
    <row r="1013" spans="1:21" ht="112.5" x14ac:dyDescent="0.25">
      <c r="A1013" s="53">
        <v>1012</v>
      </c>
      <c r="B1013" s="91" t="s">
        <v>4211</v>
      </c>
      <c r="C1013" s="54" t="s">
        <v>4212</v>
      </c>
      <c r="D1013" s="54" t="s">
        <v>50</v>
      </c>
      <c r="E1013" s="54" t="s">
        <v>154</v>
      </c>
      <c r="F1013" s="72" t="s">
        <v>4213</v>
      </c>
      <c r="G1013" s="56">
        <v>44112</v>
      </c>
      <c r="H1013" s="74" t="s">
        <v>4214</v>
      </c>
      <c r="I1013" s="57">
        <v>44218</v>
      </c>
      <c r="J1013" s="54" t="s">
        <v>103</v>
      </c>
      <c r="K1013" s="54" t="s">
        <v>55</v>
      </c>
      <c r="L1013" s="56">
        <v>43101</v>
      </c>
      <c r="M1013" s="56">
        <v>43830</v>
      </c>
      <c r="N1013" s="93"/>
      <c r="O1013" s="94"/>
      <c r="P1013" s="54"/>
      <c r="Q1013" s="54"/>
      <c r="R1013" s="54"/>
      <c r="S1013" s="54"/>
      <c r="T1013" s="54" t="s">
        <v>56</v>
      </c>
      <c r="U1013" s="54" t="s">
        <v>56</v>
      </c>
    </row>
    <row r="1014" spans="1:21" ht="37.5" x14ac:dyDescent="0.25">
      <c r="A1014" s="53">
        <v>1013</v>
      </c>
      <c r="B1014" s="91" t="s">
        <v>4215</v>
      </c>
      <c r="C1014" s="54" t="s">
        <v>4216</v>
      </c>
      <c r="D1014" s="54" t="s">
        <v>59</v>
      </c>
      <c r="E1014" s="54" t="s">
        <v>3710</v>
      </c>
      <c r="F1014" s="55" t="s">
        <v>4217</v>
      </c>
      <c r="G1014" s="56">
        <v>44182</v>
      </c>
      <c r="H1014" s="74" t="s">
        <v>4218</v>
      </c>
      <c r="I1014" s="57">
        <v>44260</v>
      </c>
      <c r="J1014" s="56" t="s">
        <v>4219</v>
      </c>
      <c r="K1014" s="54" t="s">
        <v>55</v>
      </c>
      <c r="L1014" s="56"/>
      <c r="M1014" s="56"/>
      <c r="N1014" s="93"/>
      <c r="O1014" s="94"/>
      <c r="P1014" s="54"/>
      <c r="Q1014" s="54"/>
      <c r="R1014" s="54"/>
      <c r="S1014" s="54"/>
      <c r="T1014" s="54" t="s">
        <v>104</v>
      </c>
      <c r="U1014" s="54" t="s">
        <v>105</v>
      </c>
    </row>
    <row r="1015" spans="1:21" ht="112.5" x14ac:dyDescent="0.25">
      <c r="A1015" s="53">
        <v>1014</v>
      </c>
      <c r="B1015" s="91" t="s">
        <v>4220</v>
      </c>
      <c r="C1015" s="54" t="s">
        <v>4221</v>
      </c>
      <c r="D1015" s="54" t="s">
        <v>50</v>
      </c>
      <c r="E1015" s="54" t="s">
        <v>589</v>
      </c>
      <c r="F1015" s="72" t="s">
        <v>4222</v>
      </c>
      <c r="G1015" s="56">
        <v>43608</v>
      </c>
      <c r="H1015" s="74" t="s">
        <v>4223</v>
      </c>
      <c r="I1015" s="57">
        <v>43676</v>
      </c>
      <c r="J1015" s="54" t="s">
        <v>103</v>
      </c>
      <c r="K1015" s="54" t="s">
        <v>55</v>
      </c>
      <c r="L1015" s="56"/>
      <c r="M1015" s="56"/>
      <c r="N1015" s="93"/>
      <c r="O1015" s="94"/>
      <c r="P1015" s="54"/>
      <c r="Q1015" s="54"/>
      <c r="R1015" s="54"/>
      <c r="S1015" s="54"/>
      <c r="T1015" s="54" t="s">
        <v>56</v>
      </c>
      <c r="U1015" s="54" t="s">
        <v>56</v>
      </c>
    </row>
    <row r="1016" spans="1:21" ht="112.5" x14ac:dyDescent="0.25">
      <c r="A1016" s="53">
        <v>1015</v>
      </c>
      <c r="B1016" s="79" t="s">
        <v>4224</v>
      </c>
      <c r="C1016" s="54" t="s">
        <v>4225</v>
      </c>
      <c r="D1016" s="54" t="s">
        <v>59</v>
      </c>
      <c r="E1016" s="54" t="s">
        <v>484</v>
      </c>
      <c r="F1016" s="55" t="s">
        <v>4226</v>
      </c>
      <c r="G1016" s="56">
        <v>44295</v>
      </c>
      <c r="H1016" s="54" t="s">
        <v>4227</v>
      </c>
      <c r="I1016" s="57">
        <v>44306</v>
      </c>
      <c r="J1016" s="54" t="s">
        <v>557</v>
      </c>
      <c r="K1016" s="54" t="s">
        <v>55</v>
      </c>
      <c r="L1016" s="59"/>
      <c r="M1016" s="59"/>
      <c r="N1016" s="93"/>
      <c r="O1016" s="94"/>
      <c r="P1016" s="96"/>
      <c r="Q1016" s="96"/>
      <c r="R1016" s="96"/>
      <c r="S1016" s="96"/>
      <c r="T1016" s="96" t="s">
        <v>87</v>
      </c>
      <c r="U1016" s="58" t="s">
        <v>501</v>
      </c>
    </row>
    <row r="1017" spans="1:21" ht="62.5" x14ac:dyDescent="0.25">
      <c r="A1017" s="53">
        <v>1016</v>
      </c>
      <c r="B1017" s="79" t="s">
        <v>4228</v>
      </c>
      <c r="C1017" s="54" t="s">
        <v>4229</v>
      </c>
      <c r="D1017" s="54" t="s">
        <v>50</v>
      </c>
      <c r="E1017" s="54" t="s">
        <v>3710</v>
      </c>
      <c r="F1017" s="55" t="s">
        <v>4230</v>
      </c>
      <c r="G1017" s="56">
        <v>44285</v>
      </c>
      <c r="H1017" s="54" t="s">
        <v>4231</v>
      </c>
      <c r="I1017" s="57">
        <v>44351</v>
      </c>
      <c r="J1017" s="54" t="s">
        <v>598</v>
      </c>
      <c r="K1017" s="54" t="s">
        <v>55</v>
      </c>
      <c r="L1017" s="59"/>
      <c r="M1017" s="59"/>
      <c r="N1017" s="93"/>
      <c r="O1017" s="94"/>
      <c r="P1017" s="96"/>
      <c r="Q1017" s="96"/>
      <c r="R1017" s="96"/>
      <c r="S1017" s="96"/>
      <c r="T1017" s="54" t="s">
        <v>56</v>
      </c>
      <c r="U1017" s="54" t="s">
        <v>56</v>
      </c>
    </row>
    <row r="1018" spans="1:21" ht="112.5" x14ac:dyDescent="0.25">
      <c r="A1018" s="53">
        <v>1017</v>
      </c>
      <c r="B1018" s="97" t="s">
        <v>4232</v>
      </c>
      <c r="C1018" s="54" t="s">
        <v>4233</v>
      </c>
      <c r="D1018" s="54" t="s">
        <v>50</v>
      </c>
      <c r="E1018" s="55" t="s">
        <v>589</v>
      </c>
      <c r="F1018" s="55" t="s">
        <v>4234</v>
      </c>
      <c r="G1018" s="98">
        <v>44377</v>
      </c>
      <c r="H1018" s="54" t="s">
        <v>4235</v>
      </c>
      <c r="I1018" s="99">
        <v>44438</v>
      </c>
      <c r="J1018" s="54" t="s">
        <v>103</v>
      </c>
      <c r="K1018" s="54" t="s">
        <v>55</v>
      </c>
      <c r="L1018" s="54"/>
      <c r="M1018" s="54"/>
      <c r="N1018" s="93"/>
      <c r="O1018" s="94"/>
      <c r="P1018" s="54"/>
      <c r="Q1018" s="54"/>
      <c r="R1018" s="54"/>
      <c r="S1018" s="54"/>
      <c r="T1018" s="54" t="s">
        <v>56</v>
      </c>
      <c r="U1018" s="54" t="s">
        <v>56</v>
      </c>
    </row>
    <row r="1019" spans="1:21" ht="112.5" x14ac:dyDescent="0.25">
      <c r="A1019" s="53">
        <v>1018</v>
      </c>
      <c r="B1019" s="97" t="s">
        <v>4236</v>
      </c>
      <c r="C1019" s="54" t="s">
        <v>4237</v>
      </c>
      <c r="D1019" s="54" t="s">
        <v>50</v>
      </c>
      <c r="E1019" s="55" t="s">
        <v>589</v>
      </c>
      <c r="F1019" s="55" t="s">
        <v>4238</v>
      </c>
      <c r="G1019" s="98">
        <v>44377</v>
      </c>
      <c r="H1019" s="54" t="s">
        <v>4239</v>
      </c>
      <c r="I1019" s="99">
        <v>44438</v>
      </c>
      <c r="J1019" s="54" t="s">
        <v>103</v>
      </c>
      <c r="K1019" s="54" t="s">
        <v>55</v>
      </c>
      <c r="L1019" s="54"/>
      <c r="M1019" s="54"/>
      <c r="N1019" s="93"/>
      <c r="O1019" s="94"/>
      <c r="P1019" s="54"/>
      <c r="Q1019" s="54"/>
      <c r="R1019" s="54"/>
      <c r="S1019" s="54"/>
      <c r="T1019" s="54" t="s">
        <v>56</v>
      </c>
      <c r="U1019" s="54" t="s">
        <v>56</v>
      </c>
    </row>
    <row r="1020" spans="1:21" ht="112.5" x14ac:dyDescent="0.25">
      <c r="A1020" s="53">
        <v>1019</v>
      </c>
      <c r="B1020" s="97" t="s">
        <v>4240</v>
      </c>
      <c r="C1020" s="54" t="s">
        <v>4241</v>
      </c>
      <c r="D1020" s="54" t="s">
        <v>50</v>
      </c>
      <c r="E1020" s="55" t="s">
        <v>589</v>
      </c>
      <c r="F1020" s="55" t="s">
        <v>4242</v>
      </c>
      <c r="G1020" s="98">
        <v>44377</v>
      </c>
      <c r="H1020" s="54" t="s">
        <v>4243</v>
      </c>
      <c r="I1020" s="99">
        <v>44438</v>
      </c>
      <c r="J1020" s="54" t="s">
        <v>103</v>
      </c>
      <c r="K1020" s="54" t="s">
        <v>55</v>
      </c>
      <c r="L1020" s="54"/>
      <c r="M1020" s="54"/>
      <c r="N1020" s="93"/>
      <c r="O1020" s="94"/>
      <c r="P1020" s="54"/>
      <c r="Q1020" s="54"/>
      <c r="R1020" s="54"/>
      <c r="S1020" s="54"/>
      <c r="T1020" s="54" t="s">
        <v>56</v>
      </c>
      <c r="U1020" s="54" t="s">
        <v>56</v>
      </c>
    </row>
    <row r="1021" spans="1:21" ht="112.5" x14ac:dyDescent="0.25">
      <c r="A1021" s="53">
        <v>1020</v>
      </c>
      <c r="B1021" s="97" t="s">
        <v>4244</v>
      </c>
      <c r="C1021" s="54" t="s">
        <v>4245</v>
      </c>
      <c r="D1021" s="54" t="s">
        <v>50</v>
      </c>
      <c r="E1021" s="55" t="s">
        <v>589</v>
      </c>
      <c r="F1021" s="55" t="s">
        <v>4246</v>
      </c>
      <c r="G1021" s="98">
        <v>44377</v>
      </c>
      <c r="H1021" s="54" t="s">
        <v>4247</v>
      </c>
      <c r="I1021" s="99">
        <v>44438</v>
      </c>
      <c r="J1021" s="54" t="s">
        <v>103</v>
      </c>
      <c r="K1021" s="54" t="s">
        <v>55</v>
      </c>
      <c r="L1021" s="54"/>
      <c r="M1021" s="54"/>
      <c r="N1021" s="93"/>
      <c r="O1021" s="94"/>
      <c r="P1021" s="54"/>
      <c r="Q1021" s="54"/>
      <c r="R1021" s="54"/>
      <c r="S1021" s="54"/>
      <c r="T1021" s="54" t="s">
        <v>56</v>
      </c>
      <c r="U1021" s="54" t="s">
        <v>56</v>
      </c>
    </row>
    <row r="1022" spans="1:21" ht="112.5" x14ac:dyDescent="0.25">
      <c r="A1022" s="53">
        <v>1021</v>
      </c>
      <c r="B1022" s="97" t="s">
        <v>4248</v>
      </c>
      <c r="C1022" s="54" t="s">
        <v>4249</v>
      </c>
      <c r="D1022" s="54" t="s">
        <v>50</v>
      </c>
      <c r="E1022" s="55" t="s">
        <v>589</v>
      </c>
      <c r="F1022" s="55" t="s">
        <v>4250</v>
      </c>
      <c r="G1022" s="98">
        <v>44377</v>
      </c>
      <c r="H1022" s="54" t="s">
        <v>4251</v>
      </c>
      <c r="I1022" s="99">
        <v>44438</v>
      </c>
      <c r="J1022" s="54" t="s">
        <v>103</v>
      </c>
      <c r="K1022" s="54" t="s">
        <v>55</v>
      </c>
      <c r="L1022" s="54"/>
      <c r="M1022" s="54"/>
      <c r="N1022" s="93"/>
      <c r="O1022" s="94"/>
      <c r="P1022" s="54"/>
      <c r="Q1022" s="54"/>
      <c r="R1022" s="54"/>
      <c r="S1022" s="54"/>
      <c r="T1022" s="54" t="s">
        <v>56</v>
      </c>
      <c r="U1022" s="54" t="s">
        <v>56</v>
      </c>
    </row>
    <row r="1023" spans="1:21" ht="62.5" x14ac:dyDescent="0.25">
      <c r="A1023" s="53">
        <v>1022</v>
      </c>
      <c r="B1023" s="79" t="s">
        <v>4252</v>
      </c>
      <c r="C1023" s="54" t="s">
        <v>4253</v>
      </c>
      <c r="D1023" s="54" t="s">
        <v>50</v>
      </c>
      <c r="E1023" s="54" t="s">
        <v>3710</v>
      </c>
      <c r="F1023" s="55" t="s">
        <v>4254</v>
      </c>
      <c r="G1023" s="56">
        <v>44284</v>
      </c>
      <c r="H1023" s="54" t="s">
        <v>4255</v>
      </c>
      <c r="I1023" s="57">
        <v>44469</v>
      </c>
      <c r="J1023" s="54" t="s">
        <v>598</v>
      </c>
      <c r="K1023" s="54" t="s">
        <v>55</v>
      </c>
      <c r="L1023" s="54"/>
      <c r="M1023" s="54"/>
      <c r="N1023" s="93"/>
      <c r="O1023" s="94"/>
      <c r="P1023" s="54"/>
      <c r="Q1023" s="54"/>
      <c r="R1023" s="54"/>
      <c r="S1023" s="54"/>
      <c r="T1023" s="54" t="s">
        <v>56</v>
      </c>
      <c r="U1023" s="54" t="s">
        <v>56</v>
      </c>
    </row>
    <row r="1024" spans="1:21" ht="62.5" x14ac:dyDescent="0.25">
      <c r="A1024" s="53">
        <v>1023</v>
      </c>
      <c r="B1024" s="100" t="s">
        <v>4256</v>
      </c>
      <c r="C1024" s="95" t="s">
        <v>4257</v>
      </c>
      <c r="D1024" s="54" t="s">
        <v>50</v>
      </c>
      <c r="E1024" s="54" t="s">
        <v>154</v>
      </c>
      <c r="F1024" s="55" t="s">
        <v>4258</v>
      </c>
      <c r="G1024" s="101">
        <v>44337</v>
      </c>
      <c r="H1024" s="54" t="s">
        <v>4259</v>
      </c>
      <c r="I1024" s="57">
        <v>44466</v>
      </c>
      <c r="J1024" s="54" t="s">
        <v>598</v>
      </c>
      <c r="K1024" s="54" t="s">
        <v>55</v>
      </c>
      <c r="L1024" s="54"/>
      <c r="M1024" s="54"/>
      <c r="N1024" s="93"/>
      <c r="O1024" s="94"/>
      <c r="P1024" s="54"/>
      <c r="Q1024" s="54"/>
      <c r="R1024" s="54"/>
      <c r="S1024" s="68"/>
      <c r="T1024" s="54" t="s">
        <v>56</v>
      </c>
      <c r="U1024" s="54" t="s">
        <v>56</v>
      </c>
    </row>
    <row r="1025" spans="1:21" ht="62.5" x14ac:dyDescent="0.25">
      <c r="A1025" s="53">
        <v>1024</v>
      </c>
      <c r="B1025" s="100" t="s">
        <v>4260</v>
      </c>
      <c r="C1025" s="95" t="s">
        <v>4261</v>
      </c>
      <c r="D1025" s="54" t="s">
        <v>173</v>
      </c>
      <c r="E1025" s="54" t="s">
        <v>154</v>
      </c>
      <c r="F1025" s="55" t="s">
        <v>4262</v>
      </c>
      <c r="G1025" s="101">
        <v>44341</v>
      </c>
      <c r="H1025" s="54" t="s">
        <v>4263</v>
      </c>
      <c r="I1025" s="57">
        <v>44490</v>
      </c>
      <c r="J1025" s="54" t="s">
        <v>598</v>
      </c>
      <c r="K1025" s="54" t="s">
        <v>176</v>
      </c>
      <c r="L1025" s="54"/>
      <c r="M1025" s="54"/>
      <c r="N1025" s="93"/>
      <c r="O1025" s="94"/>
      <c r="P1025" s="54" t="s">
        <v>4264</v>
      </c>
      <c r="Q1025" s="59">
        <v>44792</v>
      </c>
      <c r="R1025" s="54" t="s">
        <v>179</v>
      </c>
      <c r="S1025" s="102">
        <v>44796</v>
      </c>
      <c r="T1025" s="54" t="s">
        <v>87</v>
      </c>
      <c r="U1025" s="58" t="s">
        <v>501</v>
      </c>
    </row>
    <row r="1026" spans="1:21" ht="62.5" x14ac:dyDescent="0.25">
      <c r="A1026" s="53">
        <v>1025</v>
      </c>
      <c r="B1026" s="79" t="s">
        <v>4265</v>
      </c>
      <c r="C1026" s="54" t="s">
        <v>4266</v>
      </c>
      <c r="D1026" s="54" t="s">
        <v>4267</v>
      </c>
      <c r="E1026" s="54" t="s">
        <v>3710</v>
      </c>
      <c r="F1026" s="55" t="s">
        <v>4268</v>
      </c>
      <c r="G1026" s="56">
        <v>44306</v>
      </c>
      <c r="H1026" s="54" t="s">
        <v>4269</v>
      </c>
      <c r="I1026" s="57">
        <v>44491</v>
      </c>
      <c r="J1026" s="54" t="s">
        <v>3890</v>
      </c>
      <c r="K1026" s="54" t="s">
        <v>176</v>
      </c>
      <c r="L1026" s="54"/>
      <c r="M1026" s="54"/>
      <c r="N1026" s="93"/>
      <c r="O1026" s="94"/>
      <c r="P1026" s="54" t="s">
        <v>4270</v>
      </c>
      <c r="Q1026" s="59">
        <v>44629</v>
      </c>
      <c r="R1026" s="54" t="s">
        <v>179</v>
      </c>
      <c r="S1026" s="102">
        <v>44634</v>
      </c>
      <c r="T1026" s="54" t="s">
        <v>1146</v>
      </c>
      <c r="U1026" s="54" t="s">
        <v>501</v>
      </c>
    </row>
    <row r="1027" spans="1:21" ht="112.5" x14ac:dyDescent="0.25">
      <c r="A1027" s="53">
        <v>1026</v>
      </c>
      <c r="B1027" s="103" t="s">
        <v>4271</v>
      </c>
      <c r="C1027" s="104" t="s">
        <v>4272</v>
      </c>
      <c r="D1027" s="54" t="s">
        <v>50</v>
      </c>
      <c r="E1027" s="104" t="s">
        <v>3710</v>
      </c>
      <c r="F1027" s="105" t="s">
        <v>4273</v>
      </c>
      <c r="G1027" s="106">
        <v>44284</v>
      </c>
      <c r="H1027" s="104" t="s">
        <v>4274</v>
      </c>
      <c r="I1027" s="107">
        <v>44525</v>
      </c>
      <c r="J1027" s="54" t="s">
        <v>103</v>
      </c>
      <c r="K1027" s="54" t="s">
        <v>55</v>
      </c>
      <c r="L1027" s="102">
        <v>42005</v>
      </c>
      <c r="M1027" s="102">
        <v>44196</v>
      </c>
      <c r="N1027" s="65" t="s">
        <v>4275</v>
      </c>
      <c r="O1027" s="102">
        <v>44960</v>
      </c>
      <c r="P1027" s="54"/>
      <c r="Q1027" s="54"/>
      <c r="R1027" s="54"/>
      <c r="S1027" s="68"/>
      <c r="T1027" s="54" t="s">
        <v>87</v>
      </c>
      <c r="U1027" s="58" t="s">
        <v>4276</v>
      </c>
    </row>
    <row r="1028" spans="1:21" ht="112.5" x14ac:dyDescent="0.25">
      <c r="A1028" s="53">
        <v>1027</v>
      </c>
      <c r="B1028" s="108" t="s">
        <v>4277</v>
      </c>
      <c r="C1028" s="109" t="s">
        <v>4278</v>
      </c>
      <c r="D1028" s="54" t="s">
        <v>50</v>
      </c>
      <c r="E1028" s="109" t="s">
        <v>3710</v>
      </c>
      <c r="F1028" s="105" t="s">
        <v>4279</v>
      </c>
      <c r="G1028" s="110">
        <v>44515</v>
      </c>
      <c r="H1028" s="109" t="s">
        <v>4280</v>
      </c>
      <c r="I1028" s="111">
        <v>44515</v>
      </c>
      <c r="J1028" s="54" t="s">
        <v>103</v>
      </c>
      <c r="K1028" s="54" t="s">
        <v>55</v>
      </c>
      <c r="L1028" s="54"/>
      <c r="M1028" s="54"/>
      <c r="N1028" s="93"/>
      <c r="O1028" s="94"/>
      <c r="P1028" s="54"/>
      <c r="Q1028" s="54"/>
      <c r="R1028" s="54"/>
      <c r="S1028" s="68"/>
      <c r="T1028" s="54" t="s">
        <v>56</v>
      </c>
      <c r="U1028" s="54" t="s">
        <v>56</v>
      </c>
    </row>
    <row r="1029" spans="1:21" ht="62.5" x14ac:dyDescent="0.25">
      <c r="A1029" s="53">
        <v>1028</v>
      </c>
      <c r="B1029" s="96" t="s">
        <v>4281</v>
      </c>
      <c r="C1029" s="95" t="s">
        <v>4282</v>
      </c>
      <c r="D1029" s="54" t="s">
        <v>50</v>
      </c>
      <c r="E1029" s="109" t="s">
        <v>257</v>
      </c>
      <c r="F1029" s="105" t="s">
        <v>4283</v>
      </c>
      <c r="G1029" s="110">
        <v>44494</v>
      </c>
      <c r="H1029" s="109" t="s">
        <v>4284</v>
      </c>
      <c r="I1029" s="111">
        <v>44565</v>
      </c>
      <c r="J1029" s="54" t="s">
        <v>598</v>
      </c>
      <c r="K1029" s="54" t="s">
        <v>55</v>
      </c>
      <c r="L1029" s="59">
        <v>42005</v>
      </c>
      <c r="M1029" s="59">
        <v>44196</v>
      </c>
      <c r="N1029" s="93"/>
      <c r="O1029" s="94"/>
      <c r="P1029" s="54"/>
      <c r="Q1029" s="54"/>
      <c r="R1029" s="54"/>
      <c r="S1029" s="68"/>
      <c r="T1029" s="54" t="s">
        <v>56</v>
      </c>
      <c r="U1029" s="54" t="s">
        <v>56</v>
      </c>
    </row>
    <row r="1030" spans="1:21" ht="62.5" x14ac:dyDescent="0.25">
      <c r="A1030" s="53">
        <v>1029</v>
      </c>
      <c r="B1030" s="96" t="s">
        <v>4285</v>
      </c>
      <c r="C1030" s="95" t="s">
        <v>4286</v>
      </c>
      <c r="D1030" s="54" t="s">
        <v>59</v>
      </c>
      <c r="E1030" s="54" t="s">
        <v>257</v>
      </c>
      <c r="F1030" s="55" t="s">
        <v>4287</v>
      </c>
      <c r="G1030" s="101">
        <v>44476</v>
      </c>
      <c r="H1030" s="54" t="s">
        <v>4288</v>
      </c>
      <c r="I1030" s="57">
        <v>44557</v>
      </c>
      <c r="J1030" s="54" t="s">
        <v>3890</v>
      </c>
      <c r="K1030" s="54" t="s">
        <v>55</v>
      </c>
      <c r="L1030" s="54"/>
      <c r="M1030" s="54"/>
      <c r="N1030" s="93"/>
      <c r="O1030" s="94"/>
      <c r="P1030" s="54"/>
      <c r="Q1030" s="54"/>
      <c r="R1030" s="54"/>
      <c r="S1030" s="68"/>
      <c r="T1030" s="54" t="s">
        <v>56</v>
      </c>
      <c r="U1030" s="54" t="s">
        <v>56</v>
      </c>
    </row>
    <row r="1031" spans="1:21" ht="112.5" x14ac:dyDescent="0.25">
      <c r="A1031" s="53">
        <v>1030</v>
      </c>
      <c r="B1031" s="112" t="s">
        <v>4289</v>
      </c>
      <c r="C1031" s="95" t="s">
        <v>4290</v>
      </c>
      <c r="D1031" s="54" t="s">
        <v>50</v>
      </c>
      <c r="E1031" s="54" t="s">
        <v>257</v>
      </c>
      <c r="F1031" s="55" t="s">
        <v>4291</v>
      </c>
      <c r="G1031" s="101">
        <v>44516</v>
      </c>
      <c r="H1031" s="54" t="s">
        <v>4292</v>
      </c>
      <c r="I1031" s="57">
        <v>44614</v>
      </c>
      <c r="J1031" s="54" t="s">
        <v>103</v>
      </c>
      <c r="K1031" s="54" t="s">
        <v>55</v>
      </c>
      <c r="L1031" s="54"/>
      <c r="M1031" s="54"/>
      <c r="N1031" s="93"/>
      <c r="O1031" s="94"/>
      <c r="P1031" s="54"/>
      <c r="Q1031" s="54"/>
      <c r="R1031" s="54"/>
      <c r="S1031" s="68"/>
      <c r="T1031" s="54" t="s">
        <v>104</v>
      </c>
      <c r="U1031" s="54" t="s">
        <v>105</v>
      </c>
    </row>
    <row r="1032" spans="1:21" ht="62.5" x14ac:dyDescent="0.25">
      <c r="A1032" s="53">
        <v>1031</v>
      </c>
      <c r="B1032" s="96" t="s">
        <v>4293</v>
      </c>
      <c r="C1032" s="95" t="s">
        <v>4294</v>
      </c>
      <c r="D1032" s="54" t="s">
        <v>59</v>
      </c>
      <c r="E1032" s="54" t="s">
        <v>257</v>
      </c>
      <c r="F1032" s="55" t="s">
        <v>4295</v>
      </c>
      <c r="G1032" s="101">
        <v>44511</v>
      </c>
      <c r="H1032" s="54" t="s">
        <v>4296</v>
      </c>
      <c r="I1032" s="57">
        <v>44603</v>
      </c>
      <c r="J1032" s="54" t="s">
        <v>3890</v>
      </c>
      <c r="K1032" s="54" t="s">
        <v>55</v>
      </c>
      <c r="L1032" s="54"/>
      <c r="M1032" s="54"/>
      <c r="N1032" s="93"/>
      <c r="O1032" s="94"/>
      <c r="P1032" s="54"/>
      <c r="Q1032" s="54"/>
      <c r="R1032" s="54"/>
      <c r="S1032" s="68"/>
      <c r="T1032" s="54" t="s">
        <v>1146</v>
      </c>
      <c r="U1032" s="54" t="s">
        <v>501</v>
      </c>
    </row>
    <row r="1033" spans="1:21" ht="37.5" x14ac:dyDescent="0.25">
      <c r="A1033" s="53">
        <v>1032</v>
      </c>
      <c r="B1033" s="96" t="s">
        <v>4297</v>
      </c>
      <c r="C1033" s="95" t="s">
        <v>4298</v>
      </c>
      <c r="D1033" s="54" t="s">
        <v>59</v>
      </c>
      <c r="E1033" s="54" t="s">
        <v>257</v>
      </c>
      <c r="F1033" s="55" t="s">
        <v>4299</v>
      </c>
      <c r="G1033" s="101">
        <v>44475</v>
      </c>
      <c r="H1033" s="54" t="s">
        <v>4300</v>
      </c>
      <c r="I1033" s="57">
        <v>44603</v>
      </c>
      <c r="J1033" s="54" t="s">
        <v>986</v>
      </c>
      <c r="K1033" s="54" t="s">
        <v>55</v>
      </c>
      <c r="L1033" s="54"/>
      <c r="M1033" s="54"/>
      <c r="N1033" s="93"/>
      <c r="O1033" s="94"/>
      <c r="P1033" s="54"/>
      <c r="Q1033" s="54"/>
      <c r="R1033" s="54"/>
      <c r="S1033" s="68"/>
      <c r="T1033" s="54" t="s">
        <v>56</v>
      </c>
      <c r="U1033" s="54" t="s">
        <v>56</v>
      </c>
    </row>
    <row r="1034" spans="1:21" ht="112.5" x14ac:dyDescent="0.25">
      <c r="A1034" s="53">
        <v>1033</v>
      </c>
      <c r="B1034" s="96" t="s">
        <v>4301</v>
      </c>
      <c r="C1034" s="95" t="s">
        <v>4302</v>
      </c>
      <c r="D1034" s="54" t="s">
        <v>50</v>
      </c>
      <c r="E1034" s="54" t="s">
        <v>257</v>
      </c>
      <c r="F1034" s="55" t="s">
        <v>4303</v>
      </c>
      <c r="G1034" s="101">
        <v>44560</v>
      </c>
      <c r="H1034" s="54" t="s">
        <v>4304</v>
      </c>
      <c r="I1034" s="57">
        <v>44614</v>
      </c>
      <c r="J1034" s="54" t="s">
        <v>103</v>
      </c>
      <c r="K1034" s="54" t="s">
        <v>55</v>
      </c>
      <c r="L1034" s="54"/>
      <c r="M1034" s="54"/>
      <c r="N1034" s="93"/>
      <c r="O1034" s="94"/>
      <c r="P1034" s="54"/>
      <c r="Q1034" s="54"/>
      <c r="R1034" s="54"/>
      <c r="S1034" s="68"/>
      <c r="T1034" s="54" t="s">
        <v>1146</v>
      </c>
      <c r="U1034" s="54" t="s">
        <v>501</v>
      </c>
    </row>
    <row r="1035" spans="1:21" ht="112.5" x14ac:dyDescent="0.25">
      <c r="A1035" s="53">
        <v>1034</v>
      </c>
      <c r="B1035" s="96" t="s">
        <v>4305</v>
      </c>
      <c r="C1035" s="95" t="s">
        <v>4306</v>
      </c>
      <c r="D1035" s="54" t="s">
        <v>50</v>
      </c>
      <c r="E1035" s="54" t="s">
        <v>257</v>
      </c>
      <c r="F1035" s="55" t="s">
        <v>4307</v>
      </c>
      <c r="G1035" s="101">
        <v>44568</v>
      </c>
      <c r="H1035" s="54" t="s">
        <v>4308</v>
      </c>
      <c r="I1035" s="57">
        <v>44614</v>
      </c>
      <c r="J1035" s="54" t="s">
        <v>103</v>
      </c>
      <c r="K1035" s="54" t="s">
        <v>55</v>
      </c>
      <c r="L1035" s="54"/>
      <c r="M1035" s="54"/>
      <c r="N1035" s="93"/>
      <c r="O1035" s="94"/>
      <c r="P1035" s="54"/>
      <c r="Q1035" s="54"/>
      <c r="R1035" s="54"/>
      <c r="S1035" s="68"/>
      <c r="T1035" s="54" t="s">
        <v>56</v>
      </c>
      <c r="U1035" s="54" t="s">
        <v>56</v>
      </c>
    </row>
    <row r="1036" spans="1:21" ht="37.5" x14ac:dyDescent="0.25">
      <c r="A1036" s="53">
        <v>1035</v>
      </c>
      <c r="B1036" s="112" t="s">
        <v>4309</v>
      </c>
      <c r="C1036" s="95" t="s">
        <v>4310</v>
      </c>
      <c r="D1036" s="54" t="s">
        <v>59</v>
      </c>
      <c r="E1036" s="54" t="s">
        <v>257</v>
      </c>
      <c r="F1036" s="55" t="s">
        <v>4311</v>
      </c>
      <c r="G1036" s="101">
        <v>44536</v>
      </c>
      <c r="H1036" s="54" t="s">
        <v>4312</v>
      </c>
      <c r="I1036" s="57">
        <v>44599</v>
      </c>
      <c r="J1036" s="54" t="s">
        <v>986</v>
      </c>
      <c r="K1036" s="54" t="s">
        <v>55</v>
      </c>
      <c r="L1036" s="54"/>
      <c r="M1036" s="54"/>
      <c r="N1036" s="93"/>
      <c r="O1036" s="94"/>
      <c r="P1036" s="54"/>
      <c r="Q1036" s="54"/>
      <c r="R1036" s="54"/>
      <c r="S1036" s="68"/>
      <c r="T1036" s="54" t="s">
        <v>56</v>
      </c>
      <c r="U1036" s="54" t="s">
        <v>56</v>
      </c>
    </row>
    <row r="1037" spans="1:21" ht="112.5" x14ac:dyDescent="0.25">
      <c r="A1037" s="53">
        <v>1036</v>
      </c>
      <c r="B1037" s="112" t="s">
        <v>4313</v>
      </c>
      <c r="C1037" s="95" t="s">
        <v>4314</v>
      </c>
      <c r="D1037" s="54" t="s">
        <v>50</v>
      </c>
      <c r="E1037" s="54" t="s">
        <v>257</v>
      </c>
      <c r="F1037" s="55" t="s">
        <v>4315</v>
      </c>
      <c r="G1037" s="101">
        <v>44386</v>
      </c>
      <c r="H1037" s="54" t="s">
        <v>4316</v>
      </c>
      <c r="I1037" s="57">
        <v>44523</v>
      </c>
      <c r="J1037" s="54" t="s">
        <v>103</v>
      </c>
      <c r="K1037" s="54" t="s">
        <v>55</v>
      </c>
      <c r="L1037" s="59">
        <v>42370</v>
      </c>
      <c r="M1037" s="59">
        <v>42735</v>
      </c>
      <c r="N1037" s="93"/>
      <c r="O1037" s="94"/>
      <c r="P1037" s="54"/>
      <c r="Q1037" s="54"/>
      <c r="R1037" s="54"/>
      <c r="S1037" s="68"/>
      <c r="T1037" s="54" t="s">
        <v>56</v>
      </c>
      <c r="U1037" s="54" t="s">
        <v>56</v>
      </c>
    </row>
    <row r="1038" spans="1:21" ht="62.5" x14ac:dyDescent="0.25">
      <c r="A1038" s="53">
        <v>1037</v>
      </c>
      <c r="B1038" s="79" t="s">
        <v>4317</v>
      </c>
      <c r="C1038" s="54" t="s">
        <v>4318</v>
      </c>
      <c r="D1038" s="54" t="s">
        <v>50</v>
      </c>
      <c r="E1038" s="54" t="s">
        <v>3710</v>
      </c>
      <c r="F1038" s="55" t="s">
        <v>4319</v>
      </c>
      <c r="G1038" s="101">
        <v>44314</v>
      </c>
      <c r="H1038" s="113" t="s">
        <v>4320</v>
      </c>
      <c r="I1038" s="114">
        <v>44680</v>
      </c>
      <c r="J1038" s="54" t="s">
        <v>598</v>
      </c>
      <c r="K1038" s="54" t="s">
        <v>55</v>
      </c>
      <c r="L1038" s="54"/>
      <c r="M1038" s="54"/>
      <c r="N1038" s="93"/>
      <c r="O1038" s="94"/>
      <c r="P1038" s="54"/>
      <c r="Q1038" s="54"/>
      <c r="R1038" s="54"/>
      <c r="S1038" s="68"/>
      <c r="T1038" s="54" t="s">
        <v>56</v>
      </c>
      <c r="U1038" s="54" t="s">
        <v>56</v>
      </c>
    </row>
    <row r="1039" spans="1:21" ht="62.5" x14ac:dyDescent="0.25">
      <c r="A1039" s="53">
        <v>1038</v>
      </c>
      <c r="B1039" s="79" t="s">
        <v>4321</v>
      </c>
      <c r="C1039" s="54" t="s">
        <v>4322</v>
      </c>
      <c r="D1039" s="54" t="s">
        <v>50</v>
      </c>
      <c r="E1039" s="54" t="s">
        <v>3710</v>
      </c>
      <c r="F1039" s="55" t="s">
        <v>4323</v>
      </c>
      <c r="G1039" s="56">
        <v>44306</v>
      </c>
      <c r="H1039" s="79" t="s">
        <v>4324</v>
      </c>
      <c r="I1039" s="57">
        <v>44708</v>
      </c>
      <c r="J1039" s="54" t="s">
        <v>598</v>
      </c>
      <c r="K1039" s="54" t="s">
        <v>55</v>
      </c>
      <c r="L1039" s="54"/>
      <c r="M1039" s="54"/>
      <c r="N1039" s="93"/>
      <c r="O1039" s="94"/>
      <c r="P1039" s="54"/>
      <c r="Q1039" s="54"/>
      <c r="R1039" s="54"/>
      <c r="S1039" s="68"/>
      <c r="T1039" s="54" t="s">
        <v>56</v>
      </c>
      <c r="U1039" s="54" t="s">
        <v>56</v>
      </c>
    </row>
    <row r="1040" spans="1:21" ht="37.5" x14ac:dyDescent="0.25">
      <c r="A1040" s="53">
        <v>1039</v>
      </c>
      <c r="B1040" s="79" t="s">
        <v>4325</v>
      </c>
      <c r="C1040" s="54" t="s">
        <v>4326</v>
      </c>
      <c r="D1040" s="54" t="s">
        <v>59</v>
      </c>
      <c r="E1040" s="54" t="s">
        <v>257</v>
      </c>
      <c r="F1040" s="55" t="s">
        <v>4327</v>
      </c>
      <c r="G1040" s="56">
        <v>44494</v>
      </c>
      <c r="H1040" s="79" t="s">
        <v>4328</v>
      </c>
      <c r="I1040" s="57">
        <v>44698</v>
      </c>
      <c r="J1040" s="54" t="s">
        <v>4329</v>
      </c>
      <c r="K1040" s="54" t="s">
        <v>55</v>
      </c>
      <c r="L1040" s="54"/>
      <c r="M1040" s="54"/>
      <c r="N1040" s="93"/>
      <c r="O1040" s="94"/>
      <c r="P1040" s="54"/>
      <c r="Q1040" s="54"/>
      <c r="R1040" s="54"/>
      <c r="S1040" s="68"/>
      <c r="T1040" s="54" t="s">
        <v>56</v>
      </c>
      <c r="U1040" s="54" t="s">
        <v>56</v>
      </c>
    </row>
    <row r="1041" spans="1:21" ht="37.5" x14ac:dyDescent="0.25">
      <c r="A1041" s="53">
        <v>1040</v>
      </c>
      <c r="B1041" s="79" t="s">
        <v>4330</v>
      </c>
      <c r="C1041" s="115" t="s">
        <v>4331</v>
      </c>
      <c r="D1041" s="54" t="s">
        <v>59</v>
      </c>
      <c r="E1041" s="54" t="s">
        <v>257</v>
      </c>
      <c r="F1041" s="55" t="s">
        <v>4332</v>
      </c>
      <c r="G1041" s="56">
        <v>44649</v>
      </c>
      <c r="H1041" s="79" t="s">
        <v>4333</v>
      </c>
      <c r="I1041" s="57">
        <v>44697</v>
      </c>
      <c r="J1041" s="54" t="s">
        <v>986</v>
      </c>
      <c r="K1041" s="54" t="s">
        <v>55</v>
      </c>
      <c r="L1041" s="54"/>
      <c r="M1041" s="54"/>
      <c r="N1041" s="93"/>
      <c r="O1041" s="94"/>
      <c r="P1041" s="54"/>
      <c r="Q1041" s="54"/>
      <c r="R1041" s="54"/>
      <c r="S1041" s="68"/>
      <c r="T1041" s="54" t="s">
        <v>56</v>
      </c>
      <c r="U1041" s="54" t="s">
        <v>56</v>
      </c>
    </row>
    <row r="1042" spans="1:21" ht="75" x14ac:dyDescent="0.25">
      <c r="A1042" s="53">
        <v>1041</v>
      </c>
      <c r="B1042" s="96" t="s">
        <v>4334</v>
      </c>
      <c r="C1042" s="115" t="s">
        <v>4335</v>
      </c>
      <c r="D1042" s="54" t="s">
        <v>59</v>
      </c>
      <c r="E1042" s="54" t="s">
        <v>3710</v>
      </c>
      <c r="F1042" s="116" t="s">
        <v>4336</v>
      </c>
      <c r="G1042" s="117">
        <v>44306</v>
      </c>
      <c r="H1042" s="79" t="s">
        <v>4337</v>
      </c>
      <c r="I1042" s="118">
        <v>44713</v>
      </c>
      <c r="J1042" s="54" t="s">
        <v>4338</v>
      </c>
      <c r="K1042" s="54" t="s">
        <v>55</v>
      </c>
      <c r="L1042" s="54"/>
      <c r="M1042" s="54"/>
      <c r="N1042" s="93"/>
      <c r="O1042" s="94"/>
      <c r="P1042" s="54"/>
      <c r="Q1042" s="54"/>
      <c r="R1042" s="54"/>
      <c r="S1042" s="54"/>
      <c r="T1042" s="54" t="s">
        <v>56</v>
      </c>
      <c r="U1042" s="54" t="s">
        <v>56</v>
      </c>
    </row>
    <row r="1043" spans="1:21" ht="37.5" x14ac:dyDescent="0.25">
      <c r="A1043" s="53">
        <v>1042</v>
      </c>
      <c r="B1043" s="119" t="s">
        <v>4339</v>
      </c>
      <c r="C1043" s="115" t="s">
        <v>4340</v>
      </c>
      <c r="D1043" s="54" t="s">
        <v>59</v>
      </c>
      <c r="E1043" s="55" t="s">
        <v>257</v>
      </c>
      <c r="F1043" s="55" t="s">
        <v>4341</v>
      </c>
      <c r="G1043" s="102">
        <v>44396</v>
      </c>
      <c r="H1043" s="65" t="s">
        <v>4342</v>
      </c>
      <c r="I1043" s="120">
        <v>44655</v>
      </c>
      <c r="J1043" s="54" t="s">
        <v>1</v>
      </c>
      <c r="K1043" s="54" t="s">
        <v>55</v>
      </c>
      <c r="L1043" s="54"/>
      <c r="M1043" s="54"/>
      <c r="N1043" s="93"/>
      <c r="O1043" s="94"/>
      <c r="P1043" s="54"/>
      <c r="Q1043" s="54"/>
      <c r="R1043" s="54"/>
      <c r="S1043" s="54"/>
      <c r="T1043" s="54" t="s">
        <v>56</v>
      </c>
      <c r="U1043" s="54" t="s">
        <v>56</v>
      </c>
    </row>
    <row r="1044" spans="1:21" ht="37.5" x14ac:dyDescent="0.25">
      <c r="A1044" s="53">
        <v>1043</v>
      </c>
      <c r="B1044" s="60" t="s">
        <v>4343</v>
      </c>
      <c r="C1044" s="115" t="s">
        <v>4344</v>
      </c>
      <c r="D1044" s="54" t="s">
        <v>59</v>
      </c>
      <c r="E1044" s="55" t="s">
        <v>257</v>
      </c>
      <c r="F1044" s="98" t="s">
        <v>4345</v>
      </c>
      <c r="G1044" s="102">
        <v>44475</v>
      </c>
      <c r="H1044" s="99" t="s">
        <v>4346</v>
      </c>
      <c r="I1044" s="99">
        <v>44559</v>
      </c>
      <c r="J1044" s="54" t="s">
        <v>986</v>
      </c>
      <c r="K1044" s="54" t="s">
        <v>55</v>
      </c>
      <c r="L1044" s="54"/>
      <c r="M1044" s="54"/>
      <c r="N1044" s="93"/>
      <c r="O1044" s="94"/>
      <c r="P1044" s="54"/>
      <c r="Q1044" s="54"/>
      <c r="R1044" s="54"/>
      <c r="S1044" s="54"/>
      <c r="T1044" s="54" t="s">
        <v>1146</v>
      </c>
      <c r="U1044" s="54" t="s">
        <v>501</v>
      </c>
    </row>
    <row r="1045" spans="1:21" ht="62.5" x14ac:dyDescent="0.25">
      <c r="A1045" s="53">
        <v>1044</v>
      </c>
      <c r="B1045" s="121" t="s">
        <v>4347</v>
      </c>
      <c r="C1045" s="122" t="s">
        <v>4348</v>
      </c>
      <c r="D1045" s="54" t="s">
        <v>50</v>
      </c>
      <c r="E1045" s="65" t="s">
        <v>141</v>
      </c>
      <c r="F1045" s="123" t="s">
        <v>4349</v>
      </c>
      <c r="G1045" s="120">
        <v>44728</v>
      </c>
      <c r="H1045" s="124" t="s">
        <v>4350</v>
      </c>
      <c r="I1045" s="124">
        <v>44767</v>
      </c>
      <c r="J1045" s="64" t="s">
        <v>598</v>
      </c>
      <c r="K1045" s="54" t="s">
        <v>55</v>
      </c>
      <c r="L1045" s="64"/>
      <c r="M1045" s="64"/>
      <c r="N1045" s="93"/>
      <c r="O1045" s="94"/>
      <c r="P1045" s="64"/>
      <c r="Q1045" s="64"/>
      <c r="R1045" s="64"/>
      <c r="S1045" s="64"/>
      <c r="T1045" s="54" t="s">
        <v>56</v>
      </c>
      <c r="U1045" s="54" t="s">
        <v>56</v>
      </c>
    </row>
    <row r="1046" spans="1:21" ht="225" x14ac:dyDescent="0.25">
      <c r="A1046" s="53">
        <v>1045</v>
      </c>
      <c r="B1046" s="121" t="s">
        <v>4351</v>
      </c>
      <c r="C1046" s="53" t="s">
        <v>4352</v>
      </c>
      <c r="D1046" s="54" t="s">
        <v>50</v>
      </c>
      <c r="E1046" s="55" t="s">
        <v>154</v>
      </c>
      <c r="F1046" s="125" t="s">
        <v>4353</v>
      </c>
      <c r="G1046" s="126">
        <v>44697</v>
      </c>
      <c r="H1046" s="53" t="s">
        <v>4354</v>
      </c>
      <c r="I1046" s="126">
        <v>44820</v>
      </c>
      <c r="J1046" s="64" t="s">
        <v>4355</v>
      </c>
      <c r="K1046" s="54" t="s">
        <v>55</v>
      </c>
      <c r="L1046" s="94">
        <v>43466</v>
      </c>
      <c r="M1046" s="94">
        <v>44561</v>
      </c>
      <c r="N1046" s="93"/>
      <c r="O1046" s="94"/>
      <c r="P1046" s="93"/>
      <c r="Q1046" s="93"/>
      <c r="R1046" s="93"/>
      <c r="S1046" s="93"/>
      <c r="T1046" s="54" t="s">
        <v>56</v>
      </c>
      <c r="U1046" s="54" t="s">
        <v>56</v>
      </c>
    </row>
    <row r="1047" spans="1:21" ht="225" x14ac:dyDescent="0.25">
      <c r="A1047" s="53">
        <v>1046</v>
      </c>
      <c r="B1047" s="121" t="s">
        <v>4356</v>
      </c>
      <c r="C1047" s="53" t="s">
        <v>4357</v>
      </c>
      <c r="D1047" s="54" t="s">
        <v>50</v>
      </c>
      <c r="E1047" s="55" t="s">
        <v>154</v>
      </c>
      <c r="F1047" s="125" t="s">
        <v>4358</v>
      </c>
      <c r="G1047" s="126">
        <v>44763</v>
      </c>
      <c r="H1047" s="53" t="s">
        <v>4359</v>
      </c>
      <c r="I1047" s="126">
        <v>44798</v>
      </c>
      <c r="J1047" s="64" t="s">
        <v>4355</v>
      </c>
      <c r="K1047" s="54" t="s">
        <v>55</v>
      </c>
      <c r="L1047" s="94">
        <v>43466</v>
      </c>
      <c r="M1047" s="94">
        <v>44561</v>
      </c>
      <c r="N1047" s="93"/>
      <c r="O1047" s="94"/>
      <c r="P1047" s="93"/>
      <c r="Q1047" s="93"/>
      <c r="R1047" s="93"/>
      <c r="S1047" s="93"/>
      <c r="T1047" s="54" t="s">
        <v>56</v>
      </c>
      <c r="U1047" s="54" t="s">
        <v>56</v>
      </c>
    </row>
    <row r="1048" spans="1:21" ht="87.5" x14ac:dyDescent="0.25">
      <c r="A1048" s="53">
        <v>1047</v>
      </c>
      <c r="B1048" s="127" t="s">
        <v>4360</v>
      </c>
      <c r="C1048" s="54" t="s">
        <v>4361</v>
      </c>
      <c r="D1048" s="54" t="s">
        <v>50</v>
      </c>
      <c r="E1048" s="128" t="s">
        <v>257</v>
      </c>
      <c r="F1048" s="128" t="s">
        <v>4362</v>
      </c>
      <c r="G1048" s="129">
        <v>44489</v>
      </c>
      <c r="H1048" s="130" t="s">
        <v>4363</v>
      </c>
      <c r="I1048" s="131">
        <v>44862</v>
      </c>
      <c r="J1048" s="54" t="s">
        <v>4364</v>
      </c>
      <c r="K1048" s="128" t="s">
        <v>55</v>
      </c>
      <c r="L1048" s="131" t="s">
        <v>4365</v>
      </c>
      <c r="M1048" s="131">
        <v>44862</v>
      </c>
      <c r="N1048" s="93"/>
      <c r="O1048" s="94"/>
      <c r="P1048" s="54"/>
      <c r="Q1048" s="54"/>
      <c r="R1048" s="54"/>
      <c r="S1048" s="68"/>
      <c r="T1048" s="54"/>
      <c r="U1048" s="54"/>
    </row>
    <row r="1049" spans="1:21" ht="125" x14ac:dyDescent="0.25">
      <c r="A1049" s="53">
        <v>1048</v>
      </c>
      <c r="B1049" s="127" t="s">
        <v>4366</v>
      </c>
      <c r="C1049" s="54" t="s">
        <v>4367</v>
      </c>
      <c r="D1049" s="54" t="s">
        <v>50</v>
      </c>
      <c r="E1049" s="128" t="s">
        <v>257</v>
      </c>
      <c r="F1049" s="128" t="s">
        <v>4368</v>
      </c>
      <c r="G1049" s="129">
        <v>44462</v>
      </c>
      <c r="H1049" s="130" t="s">
        <v>4369</v>
      </c>
      <c r="I1049" s="131">
        <v>44861</v>
      </c>
      <c r="J1049" s="54" t="s">
        <v>4370</v>
      </c>
      <c r="K1049" s="128" t="s">
        <v>55</v>
      </c>
      <c r="L1049" s="131">
        <v>44473</v>
      </c>
      <c r="M1049" s="131">
        <v>44874</v>
      </c>
      <c r="N1049" s="93"/>
      <c r="O1049" s="94"/>
      <c r="P1049" s="54"/>
      <c r="Q1049" s="54"/>
      <c r="R1049" s="54"/>
      <c r="S1049" s="68"/>
      <c r="T1049" s="54" t="s">
        <v>104</v>
      </c>
      <c r="U1049" s="54" t="s">
        <v>4371</v>
      </c>
    </row>
    <row r="1050" spans="1:21" ht="125" x14ac:dyDescent="0.25">
      <c r="A1050" s="53">
        <v>1049</v>
      </c>
      <c r="B1050" s="127" t="s">
        <v>4372</v>
      </c>
      <c r="C1050" s="54" t="s">
        <v>4373</v>
      </c>
      <c r="D1050" s="54" t="s">
        <v>50</v>
      </c>
      <c r="E1050" s="128" t="s">
        <v>257</v>
      </c>
      <c r="F1050" s="128" t="s">
        <v>4374</v>
      </c>
      <c r="G1050" s="129">
        <v>44462</v>
      </c>
      <c r="H1050" s="130" t="s">
        <v>4375</v>
      </c>
      <c r="I1050" s="131">
        <v>44861</v>
      </c>
      <c r="J1050" s="54" t="s">
        <v>4370</v>
      </c>
      <c r="K1050" s="128" t="s">
        <v>55</v>
      </c>
      <c r="L1050" s="131">
        <v>44473</v>
      </c>
      <c r="M1050" s="131">
        <v>44874</v>
      </c>
      <c r="N1050" s="93"/>
      <c r="O1050" s="94"/>
      <c r="P1050" s="54"/>
      <c r="Q1050" s="54"/>
      <c r="R1050" s="54"/>
      <c r="S1050" s="68"/>
      <c r="T1050" s="54"/>
      <c r="U1050" s="54"/>
    </row>
    <row r="1051" spans="1:21" ht="125" x14ac:dyDescent="0.25">
      <c r="A1051" s="53">
        <v>1050</v>
      </c>
      <c r="B1051" s="127" t="s">
        <v>4376</v>
      </c>
      <c r="C1051" s="54" t="s">
        <v>4377</v>
      </c>
      <c r="D1051" s="54" t="s">
        <v>50</v>
      </c>
      <c r="E1051" s="128" t="s">
        <v>257</v>
      </c>
      <c r="F1051" s="128" t="s">
        <v>4378</v>
      </c>
      <c r="G1051" s="129">
        <v>44462</v>
      </c>
      <c r="H1051" s="130" t="s">
        <v>4379</v>
      </c>
      <c r="I1051" s="131">
        <v>44861</v>
      </c>
      <c r="J1051" s="54" t="s">
        <v>4370</v>
      </c>
      <c r="K1051" s="128" t="s">
        <v>55</v>
      </c>
      <c r="L1051" s="131">
        <v>44473</v>
      </c>
      <c r="M1051" s="131">
        <v>44874</v>
      </c>
      <c r="N1051" s="93"/>
      <c r="O1051" s="94"/>
      <c r="P1051" s="54"/>
      <c r="Q1051" s="54"/>
      <c r="R1051" s="54"/>
      <c r="S1051" s="68"/>
      <c r="T1051" s="54"/>
      <c r="U1051" s="54"/>
    </row>
    <row r="1052" spans="1:21" ht="62.5" x14ac:dyDescent="0.25">
      <c r="A1052" s="53">
        <v>1051</v>
      </c>
      <c r="B1052" s="127" t="s">
        <v>4380</v>
      </c>
      <c r="C1052" s="54" t="s">
        <v>4381</v>
      </c>
      <c r="D1052" s="54" t="s">
        <v>59</v>
      </c>
      <c r="E1052" s="128" t="s">
        <v>257</v>
      </c>
      <c r="F1052" s="128" t="s">
        <v>4382</v>
      </c>
      <c r="G1052" s="129">
        <v>44462</v>
      </c>
      <c r="H1052" s="130" t="s">
        <v>4383</v>
      </c>
      <c r="I1052" s="131">
        <v>44861</v>
      </c>
      <c r="J1052" s="54" t="s">
        <v>4384</v>
      </c>
      <c r="K1052" s="128" t="s">
        <v>55</v>
      </c>
      <c r="L1052" s="131">
        <v>44473</v>
      </c>
      <c r="M1052" s="131">
        <v>44874</v>
      </c>
      <c r="N1052" s="93"/>
      <c r="O1052" s="94"/>
      <c r="P1052" s="54"/>
      <c r="Q1052" s="54"/>
      <c r="R1052" s="54"/>
      <c r="S1052" s="68"/>
      <c r="T1052" s="54" t="s">
        <v>104</v>
      </c>
      <c r="U1052" s="54" t="s">
        <v>4371</v>
      </c>
    </row>
    <row r="1053" spans="1:21" ht="125" x14ac:dyDescent="0.25">
      <c r="A1053" s="53">
        <v>1052</v>
      </c>
      <c r="B1053" s="127" t="s">
        <v>4385</v>
      </c>
      <c r="C1053" s="54" t="s">
        <v>4386</v>
      </c>
      <c r="D1053" s="54" t="s">
        <v>59</v>
      </c>
      <c r="E1053" s="128" t="s">
        <v>257</v>
      </c>
      <c r="F1053" s="128" t="s">
        <v>4387</v>
      </c>
      <c r="G1053" s="129">
        <v>44462</v>
      </c>
      <c r="H1053" s="130" t="s">
        <v>4388</v>
      </c>
      <c r="I1053" s="131">
        <v>44861</v>
      </c>
      <c r="J1053" s="54" t="s">
        <v>4384</v>
      </c>
      <c r="K1053" s="128" t="s">
        <v>55</v>
      </c>
      <c r="L1053" s="131">
        <v>44473</v>
      </c>
      <c r="M1053" s="131">
        <v>44874</v>
      </c>
      <c r="N1053" s="93"/>
      <c r="O1053" s="94"/>
      <c r="P1053" s="54"/>
      <c r="Q1053" s="54"/>
      <c r="R1053" s="54"/>
      <c r="S1053" s="68"/>
      <c r="T1053" s="54"/>
      <c r="U1053" s="54"/>
    </row>
    <row r="1054" spans="1:21" ht="50" x14ac:dyDescent="0.25">
      <c r="A1054" s="53">
        <v>1053</v>
      </c>
      <c r="B1054" s="127" t="s">
        <v>4389</v>
      </c>
      <c r="C1054" s="54" t="s">
        <v>4390</v>
      </c>
      <c r="D1054" s="54" t="s">
        <v>59</v>
      </c>
      <c r="E1054" s="128" t="s">
        <v>257</v>
      </c>
      <c r="F1054" s="128" t="s">
        <v>4391</v>
      </c>
      <c r="G1054" s="129">
        <v>44462</v>
      </c>
      <c r="H1054" s="130" t="s">
        <v>4392</v>
      </c>
      <c r="I1054" s="131">
        <v>44861</v>
      </c>
      <c r="J1054" s="54" t="s">
        <v>4384</v>
      </c>
      <c r="K1054" s="128" t="s">
        <v>55</v>
      </c>
      <c r="L1054" s="131">
        <v>44473</v>
      </c>
      <c r="M1054" s="131">
        <v>44874</v>
      </c>
      <c r="N1054" s="93"/>
      <c r="O1054" s="94"/>
      <c r="P1054" s="54"/>
      <c r="Q1054" s="54"/>
      <c r="R1054" s="54"/>
      <c r="S1054" s="68"/>
      <c r="T1054" s="54"/>
      <c r="U1054" s="54"/>
    </row>
    <row r="1055" spans="1:21" ht="50" x14ac:dyDescent="0.25">
      <c r="A1055" s="53">
        <v>1054</v>
      </c>
      <c r="B1055" s="127" t="s">
        <v>4393</v>
      </c>
      <c r="C1055" s="54" t="s">
        <v>4394</v>
      </c>
      <c r="D1055" s="54" t="s">
        <v>59</v>
      </c>
      <c r="E1055" s="128" t="s">
        <v>257</v>
      </c>
      <c r="F1055" s="128" t="s">
        <v>4395</v>
      </c>
      <c r="G1055" s="129">
        <v>44462</v>
      </c>
      <c r="H1055" s="130" t="s">
        <v>4396</v>
      </c>
      <c r="I1055" s="131">
        <v>44861</v>
      </c>
      <c r="J1055" s="54" t="s">
        <v>4384</v>
      </c>
      <c r="K1055" s="128" t="s">
        <v>55</v>
      </c>
      <c r="L1055" s="131">
        <v>44473</v>
      </c>
      <c r="M1055" s="131">
        <v>44874</v>
      </c>
      <c r="N1055" s="93"/>
      <c r="O1055" s="94"/>
      <c r="P1055" s="54"/>
      <c r="Q1055" s="54"/>
      <c r="R1055" s="54"/>
      <c r="S1055" s="68"/>
      <c r="T1055" s="54"/>
      <c r="U1055" s="54"/>
    </row>
    <row r="1056" spans="1:21" ht="50" x14ac:dyDescent="0.25">
      <c r="A1056" s="53">
        <v>1055</v>
      </c>
      <c r="B1056" s="127" t="s">
        <v>4397</v>
      </c>
      <c r="C1056" s="54" t="s">
        <v>4398</v>
      </c>
      <c r="D1056" s="54" t="s">
        <v>59</v>
      </c>
      <c r="E1056" s="128" t="s">
        <v>257</v>
      </c>
      <c r="F1056" s="128" t="s">
        <v>4399</v>
      </c>
      <c r="G1056" s="129">
        <v>44845</v>
      </c>
      <c r="H1056" s="130" t="s">
        <v>4400</v>
      </c>
      <c r="I1056" s="131">
        <v>44861</v>
      </c>
      <c r="J1056" s="54" t="s">
        <v>4384</v>
      </c>
      <c r="K1056" s="128" t="s">
        <v>81</v>
      </c>
      <c r="L1056" s="131">
        <v>44383</v>
      </c>
      <c r="M1056" s="131">
        <v>44861</v>
      </c>
      <c r="N1056" s="93"/>
      <c r="O1056" s="94"/>
      <c r="P1056" s="54"/>
      <c r="Q1056" s="54"/>
      <c r="R1056" s="54"/>
      <c r="S1056" s="68"/>
      <c r="T1056" s="54"/>
      <c r="U1056" s="54"/>
    </row>
    <row r="1057" spans="1:21" ht="50" x14ac:dyDescent="0.25">
      <c r="A1057" s="53">
        <v>1056</v>
      </c>
      <c r="B1057" s="127" t="s">
        <v>4401</v>
      </c>
      <c r="C1057" s="54" t="s">
        <v>4402</v>
      </c>
      <c r="D1057" s="54" t="s">
        <v>59</v>
      </c>
      <c r="E1057" s="128" t="s">
        <v>257</v>
      </c>
      <c r="F1057" s="128" t="s">
        <v>4403</v>
      </c>
      <c r="G1057" s="129">
        <v>44778</v>
      </c>
      <c r="H1057" s="130" t="s">
        <v>4404</v>
      </c>
      <c r="I1057" s="57">
        <v>44866</v>
      </c>
      <c r="J1057" s="54" t="s">
        <v>4384</v>
      </c>
      <c r="K1057" s="55" t="s">
        <v>81</v>
      </c>
      <c r="L1057" s="102">
        <v>44697</v>
      </c>
      <c r="M1057" s="102">
        <v>44866</v>
      </c>
      <c r="N1057" s="93"/>
      <c r="O1057" s="94"/>
      <c r="P1057" s="54"/>
      <c r="Q1057" s="54"/>
      <c r="R1057" s="54"/>
      <c r="S1057" s="68"/>
      <c r="T1057" s="54"/>
      <c r="U1057" s="54"/>
    </row>
  </sheetData>
  <conditionalFormatting sqref="C537:C563 C511:C533 C499:C509 C375:C497 C334:C373">
    <cfRule type="expression" dxfId="50" priority="41" stopIfTrue="1">
      <formula>AND(COUNTIF(#REF!,C334)+COUNTIF(#REF!,C334)&gt;1,NOT(ISBLANK(C334)))</formula>
    </cfRule>
  </conditionalFormatting>
  <conditionalFormatting sqref="C511:C563 C499:C509 C375:C497 C334:C373">
    <cfRule type="expression" dxfId="49" priority="42" stopIfTrue="1">
      <formula>AND(COUNTIF(#REF!,C334)&gt;1,NOT(ISBLANK(C334)))</formula>
    </cfRule>
  </conditionalFormatting>
  <conditionalFormatting sqref="B375:B459 B334:B373">
    <cfRule type="expression" dxfId="48" priority="36" stopIfTrue="1">
      <formula>AND(COUNTIF(#REF!,B334)&gt;1,NOT(ISBLANK(B334)))</formula>
    </cfRule>
  </conditionalFormatting>
  <conditionalFormatting sqref="B537:B563 B375:B533 B334:B373">
    <cfRule type="expression" dxfId="47" priority="37" stopIfTrue="1">
      <formula>AND(COUNTIF(#REF!,B334)+COUNTIF(#REF!,B334)&gt;1,NOT(ISBLANK(B334)))</formula>
    </cfRule>
    <cfRule type="expression" dxfId="46" priority="38" stopIfTrue="1">
      <formula>AND(COUNTIF(#REF!,B334)+COUNTIF(#REF!,B334)&gt;1,NOT(ISBLANK(B334)))</formula>
    </cfRule>
    <cfRule type="expression" dxfId="45" priority="39" stopIfTrue="1">
      <formula>AND(COUNTIF(#REF!,B334)+COUNTIF(#REF!,B334)&gt;1,NOT(ISBLANK(B334)))</formula>
    </cfRule>
  </conditionalFormatting>
  <conditionalFormatting sqref="B375:B563 B334:B373">
    <cfRule type="expression" dxfId="44" priority="40" stopIfTrue="1">
      <formula>AND(COUNTIF(#REF!,B334)&gt;1,NOT(ISBLANK(B334)))</formula>
    </cfRule>
  </conditionalFormatting>
  <conditionalFormatting sqref="C498">
    <cfRule type="expression" dxfId="43" priority="34" stopIfTrue="1">
      <formula>AND(COUNTIF(#REF!,C498)+COUNTIF(#REF!,C498)&gt;1,NOT(ISBLANK(C498)))</formula>
    </cfRule>
  </conditionalFormatting>
  <conditionalFormatting sqref="C498">
    <cfRule type="expression" dxfId="42" priority="35" stopIfTrue="1">
      <formula>AND(COUNTIF(#REF!,C498)&gt;1,NOT(ISBLANK(C498)))</formula>
    </cfRule>
  </conditionalFormatting>
  <conditionalFormatting sqref="C510">
    <cfRule type="expression" dxfId="41" priority="32" stopIfTrue="1">
      <formula>AND(COUNTIF(#REF!,C510)+COUNTIF(#REF!,C510)&gt;1,NOT(ISBLANK(C510)))</formula>
    </cfRule>
  </conditionalFormatting>
  <conditionalFormatting sqref="C510">
    <cfRule type="expression" dxfId="40" priority="33" stopIfTrue="1">
      <formula>AND(COUNTIF(#REF!,C510)&gt;1,NOT(ISBLANK(C510)))</formula>
    </cfRule>
  </conditionalFormatting>
  <conditionalFormatting sqref="C534:C536">
    <cfRule type="expression" dxfId="39" priority="31" stopIfTrue="1">
      <formula>AND(COUNTIF(#REF!,C534)&gt;1,NOT(ISBLANK(C534)))</formula>
    </cfRule>
  </conditionalFormatting>
  <conditionalFormatting sqref="B534:B536">
    <cfRule type="expression" dxfId="38" priority="27" stopIfTrue="1">
      <formula>AND(COUNTIF(#REF!,B534)&gt;1,NOT(ISBLANK(B534)))</formula>
    </cfRule>
    <cfRule type="expression" dxfId="37" priority="28" stopIfTrue="1">
      <formula>AND(COUNTIF(#REF!,B534)&gt;1,NOT(ISBLANK(B534)))</formula>
    </cfRule>
    <cfRule type="expression" dxfId="36" priority="29" stopIfTrue="1">
      <formula>AND(COUNTIF(#REF!,B534)&gt;1,NOT(ISBLANK(B534)))</formula>
    </cfRule>
  </conditionalFormatting>
  <conditionalFormatting sqref="B534:B536">
    <cfRule type="expression" dxfId="35" priority="30" stopIfTrue="1">
      <formula>AND(COUNTIF(#REF!,B534)&gt;1,NOT(ISBLANK(B534)))</formula>
    </cfRule>
  </conditionalFormatting>
  <conditionalFormatting sqref="B564:B849">
    <cfRule type="expression" dxfId="34" priority="26" stopIfTrue="1">
      <formula>AND(COUNTIF($B$5:$B$206,B564)&gt;1,NOT(ISBLANK(B564)))</formula>
    </cfRule>
  </conditionalFormatting>
  <conditionalFormatting sqref="B925:B953">
    <cfRule type="expression" dxfId="33" priority="25" stopIfTrue="1">
      <formula>AND(COUNTIF($B$326:$B$395,B925)&gt;1,NOT(ISBLANK(B925)))</formula>
    </cfRule>
  </conditionalFormatting>
  <conditionalFormatting sqref="B952:B953">
    <cfRule type="expression" dxfId="32" priority="24" stopIfTrue="1">
      <formula>AND(COUNTIF($B$394:$B$395,B952)&gt;1,NOT(ISBLANK(B952)))</formula>
    </cfRule>
  </conditionalFormatting>
  <conditionalFormatting sqref="C971">
    <cfRule type="expression" dxfId="31" priority="22" stopIfTrue="1">
      <formula>AND(COUNTIF(#REF!,C971)+COUNTIF(#REF!,C971)&gt;1,NOT(ISBLANK(C971)))</formula>
    </cfRule>
  </conditionalFormatting>
  <conditionalFormatting sqref="C971">
    <cfRule type="expression" dxfId="30" priority="23" stopIfTrue="1">
      <formula>AND(COUNTIF(#REF!,C971)&gt;1,NOT(ISBLANK(C971)))</formula>
    </cfRule>
  </conditionalFormatting>
  <conditionalFormatting sqref="B971">
    <cfRule type="expression" dxfId="29" priority="18" stopIfTrue="1">
      <formula>AND(COUNTIF(#REF!,B971)+COUNTIF(#REF!,B971)&gt;1,NOT(ISBLANK(B971)))</formula>
    </cfRule>
    <cfRule type="expression" dxfId="28" priority="19" stopIfTrue="1">
      <formula>AND(COUNTIF(#REF!,B971)+COUNTIF(#REF!,B971)&gt;1,NOT(ISBLANK(B971)))</formula>
    </cfRule>
    <cfRule type="expression" dxfId="27" priority="20" stopIfTrue="1">
      <formula>AND(COUNTIF(#REF!,B971)+COUNTIF(#REF!,B971)&gt;1,NOT(ISBLANK(B971)))</formula>
    </cfRule>
  </conditionalFormatting>
  <conditionalFormatting sqref="B971">
    <cfRule type="expression" dxfId="26" priority="21" stopIfTrue="1">
      <formula>AND(COUNTIF(#REF!,B971)&gt;1,NOT(ISBLANK(B971)))</formula>
    </cfRule>
  </conditionalFormatting>
  <conditionalFormatting sqref="F511">
    <cfRule type="expression" dxfId="25" priority="16" stopIfTrue="1">
      <formula>AND(COUNTIF(#REF!,F511)&gt;1,NOT(ISBLANK(F511)))</formula>
    </cfRule>
  </conditionalFormatting>
  <conditionalFormatting sqref="G511">
    <cfRule type="expression" dxfId="24" priority="17" stopIfTrue="1">
      <formula>AND(COUNTIF(#REF!,G511)&gt;1,NOT(ISBLANK(G511)))</formula>
    </cfRule>
  </conditionalFormatting>
  <conditionalFormatting sqref="N358:O358 N338:O338">
    <cfRule type="expression" dxfId="23" priority="11" stopIfTrue="1">
      <formula>NA()</formula>
    </cfRule>
  </conditionalFormatting>
  <conditionalFormatting sqref="O338">
    <cfRule type="expression" dxfId="22" priority="12" stopIfTrue="1">
      <formula>$CK338</formula>
    </cfRule>
    <cfRule type="expression" dxfId="21" priority="13" stopIfTrue="1">
      <formula>NA()</formula>
    </cfRule>
  </conditionalFormatting>
  <conditionalFormatting sqref="N338">
    <cfRule type="expression" dxfId="20" priority="14" stopIfTrue="1">
      <formula>$CK338</formula>
    </cfRule>
    <cfRule type="expression" dxfId="19" priority="15" stopIfTrue="1">
      <formula>NA()</formula>
    </cfRule>
  </conditionalFormatting>
  <conditionalFormatting sqref="N358">
    <cfRule type="expression" dxfId="18" priority="7" stopIfTrue="1">
      <formula>$CK358</formula>
    </cfRule>
    <cfRule type="expression" dxfId="17" priority="8" stopIfTrue="1">
      <formula>NA()</formula>
    </cfRule>
  </conditionalFormatting>
  <conditionalFormatting sqref="O358">
    <cfRule type="expression" dxfId="16" priority="9" stopIfTrue="1">
      <formula>$CK358</formula>
    </cfRule>
    <cfRule type="expression" dxfId="15" priority="10" stopIfTrue="1">
      <formula>NA()</formula>
    </cfRule>
  </conditionalFormatting>
  <conditionalFormatting sqref="N511">
    <cfRule type="expression" dxfId="14" priority="6" stopIfTrue="1">
      <formula>AND(COUNTIF(#REF!,N511)&gt;1,NOT(ISBLANK(N511)))</formula>
    </cfRule>
  </conditionalFormatting>
  <conditionalFormatting sqref="N559">
    <cfRule type="expression" dxfId="13" priority="5" stopIfTrue="1">
      <formula>AND(COUNTIF(#REF!,N559)&gt;1,NOT(ISBLANK(N559)))</formula>
    </cfRule>
  </conditionalFormatting>
  <conditionalFormatting sqref="R511">
    <cfRule type="expression" dxfId="12" priority="4" stopIfTrue="1">
      <formula>AND(COUNTIF(#REF!,R511)&gt;1,NOT(ISBLANK(R511)))</formula>
    </cfRule>
  </conditionalFormatting>
  <conditionalFormatting sqref="R559">
    <cfRule type="expression" dxfId="11" priority="3" stopIfTrue="1">
      <formula>AND(COUNTIF(#REF!,R559)&gt;1,NOT(ISBLANK(R559)))</formula>
    </cfRule>
  </conditionalFormatting>
  <conditionalFormatting sqref="S511">
    <cfRule type="expression" dxfId="10" priority="2" stopIfTrue="1">
      <formula>AND(COUNTIF(#REF!,S511)&gt;1,NOT(ISBLANK(S511)))</formula>
    </cfRule>
  </conditionalFormatting>
  <conditionalFormatting sqref="S559">
    <cfRule type="expression" dxfId="9" priority="1" stopIfTrue="1">
      <formula>AND(COUNTIF(#REF!,S559)&gt;1,NOT(ISBLANK(S559)))</formula>
    </cfRule>
  </conditionalFormatting>
  <conditionalFormatting sqref="C337:C373 C375:C498">
    <cfRule type="expression" dxfId="8" priority="43" stopIfTrue="1">
      <formula>AND(COUNTIF(B336:B336,C337)+COUNTIF(#REF!,C337)&gt;1,NOT(ISBLANK(C337)))</formula>
    </cfRule>
  </conditionalFormatting>
  <conditionalFormatting sqref="C538:C563 C337:C373 C375:C498">
    <cfRule type="expression" dxfId="7" priority="44" stopIfTrue="1">
      <formula>AND(COUNTIF(B336:B336,C337)+COUNTIF(#REF!,C337)+COUNTIF(B336:B336,C337)+COUNTIF(#REF!,C337)&gt;1,NOT(ISBLANK(C337)))</formula>
    </cfRule>
  </conditionalFormatting>
  <conditionalFormatting sqref="C499:C510">
    <cfRule type="expression" dxfId="6" priority="45" stopIfTrue="1">
      <formula>AND(COUNTIF(B497:B497,C499)+COUNTIF(#REF!,C499)&gt;1,NOT(ISBLANK(C499)))</formula>
    </cfRule>
  </conditionalFormatting>
  <conditionalFormatting sqref="C499:C510">
    <cfRule type="expression" dxfId="5" priority="46" stopIfTrue="1">
      <formula>AND(COUNTIF(B497:B497,C499)+COUNTIF(#REF!,C499)+COUNTIF(B497:B497,C499)+COUNTIF(#REF!,C499)&gt;1,NOT(ISBLANK(C499)))</formula>
    </cfRule>
  </conditionalFormatting>
  <conditionalFormatting sqref="C511:C563">
    <cfRule type="expression" dxfId="4" priority="47" stopIfTrue="1">
      <formula>AND(COUNTIF(B508:B508,C511)+COUNTIF(#REF!,C511)&gt;1,NOT(ISBLANK(C511)))</formula>
    </cfRule>
  </conditionalFormatting>
  <conditionalFormatting sqref="C511:C536">
    <cfRule type="expression" dxfId="3" priority="48" stopIfTrue="1">
      <formula>AND(COUNTIF(B508:B508,C511)+COUNTIF(#REF!,C511)+COUNTIF(B508:B508,C511)+COUNTIF(#REF!,C511)&gt;1,NOT(ISBLANK(C511)))</formula>
    </cfRule>
  </conditionalFormatting>
  <conditionalFormatting sqref="C537">
    <cfRule type="expression" dxfId="2" priority="49" stopIfTrue="1">
      <formula>AND(COUNTIF(B536:B536,C537)+COUNTIF(#REF!,C537)&gt;1,NOT(ISBLANK(C537)))</formula>
    </cfRule>
  </conditionalFormatting>
  <conditionalFormatting sqref="C971">
    <cfRule type="expression" dxfId="1" priority="50" stopIfTrue="1">
      <formula>AND(COUNTIF(B969:B969,C971)+COUNTIF(#REF!,C971)&gt;1,NOT(ISBLANK(C971)))</formula>
    </cfRule>
  </conditionalFormatting>
  <conditionalFormatting sqref="C971">
    <cfRule type="expression" dxfId="0" priority="51" stopIfTrue="1">
      <formula>AND(COUNTIF(B969:B969,C971)+COUNTIF(#REF!,C971)+COUNTIF(B969:B969,C971)+COUNTIF(#REF!,C971)&gt;1,NOT(ISBLANK(C971)))</formula>
    </cfRule>
  </conditionalFormatting>
  <hyperlinks>
    <hyperlink ref="P947" r:id="rId1" display="http://10.2.0.85/sadif.gt/inicio.php?pagina=boton_reporte&amp;tpcon=rucs" xr:uid="{C5C1653B-8E15-46B2-9A0F-F0EE8408B9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136.07</vt:lpstr>
      <vt:lpstr>Listado empresas fantasmas 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2023-01-22T09:40:22Z</dcterms:created>
  <dcterms:modified xsi:type="dcterms:W3CDTF">2026-04-17T00:07:56Z</dcterms:modified>
</cp:coreProperties>
</file>