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4. Activos por impuestos corrientes\"/>
    </mc:Choice>
  </mc:AlternateContent>
  <xr:revisionPtr revIDLastSave="0" documentId="13_ncr:1_{47EAB02C-BD0F-45CC-975C-0B2E1218C2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36.03" sheetId="2" r:id="rId1"/>
    <sheet name="Base de mayor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2" l="1"/>
  <c r="F69" i="2" s="1"/>
  <c r="E67" i="2"/>
  <c r="E66" i="2"/>
  <c r="F67" i="2"/>
  <c r="D66" i="2"/>
  <c r="D67" i="2"/>
  <c r="L44" i="2"/>
  <c r="K57" i="2"/>
  <c r="L55" i="2"/>
  <c r="L54" i="2"/>
  <c r="L53" i="2"/>
  <c r="L52" i="2"/>
  <c r="L51" i="2"/>
  <c r="L50" i="2"/>
  <c r="L49" i="2"/>
  <c r="L48" i="2"/>
  <c r="L47" i="2"/>
  <c r="L46" i="2"/>
  <c r="L45" i="2"/>
  <c r="E69" i="2" l="1"/>
  <c r="J57" i="2"/>
  <c r="I57" i="2"/>
  <c r="F71" i="2" s="1"/>
  <c r="F72" i="2" s="1"/>
  <c r="H57" i="2"/>
  <c r="G57" i="2"/>
  <c r="F57" i="2"/>
  <c r="E57" i="2"/>
  <c r="D57" i="2"/>
  <c r="E71" i="2" l="1"/>
  <c r="E72" i="2" s="1"/>
  <c r="L57" i="2"/>
</calcChain>
</file>

<file path=xl/sharedStrings.xml><?xml version="1.0" encoding="utf-8"?>
<sst xmlns="http://schemas.openxmlformats.org/spreadsheetml/2006/main" count="87" uniqueCount="81">
  <si>
    <t>Total general</t>
  </si>
  <si>
    <t>Marcas de auditoría:</t>
  </si>
  <si>
    <t>MOVIMIENTO IVA COMPRAS Y RETENCIONES EN LA FUENTE DEL IVA</t>
  </si>
  <si>
    <t>Objetivo:</t>
  </si>
  <si>
    <t xml:space="preserve">Procedimiento: </t>
  </si>
  <si>
    <t xml:space="preserve">Desarrollo: </t>
  </si>
  <si>
    <t>COMPAÑÍA MODELO S.A.</t>
  </si>
  <si>
    <t>Base de decisión: Materialidad</t>
  </si>
  <si>
    <t>Ref.</t>
  </si>
  <si>
    <t>General</t>
  </si>
  <si>
    <t>XXX.XXX</t>
  </si>
  <si>
    <t>Desempeño</t>
  </si>
  <si>
    <t>Errores Triviales</t>
  </si>
  <si>
    <t>1.-</t>
  </si>
  <si>
    <t>2.-</t>
  </si>
  <si>
    <t>3.-</t>
  </si>
  <si>
    <t>5.-</t>
  </si>
  <si>
    <t>Sumatoria</t>
  </si>
  <si>
    <t>Conclusión:</t>
  </si>
  <si>
    <t>AL 31 DE DICIEMBRE DE 20XX</t>
  </si>
  <si>
    <t>136.03</t>
  </si>
  <si>
    <t>Final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</si>
  <si>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</si>
  <si>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</si>
  <si>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</si>
  <si>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</si>
  <si>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</si>
  <si>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</si>
  <si>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</si>
  <si>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</si>
  <si>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</si>
  <si>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</si>
  <si>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</si>
  <si>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Código cuenta contable</t>
  </si>
  <si>
    <t>Nombre cuenta contable</t>
  </si>
  <si>
    <t>***El número de filas depende del Nro. cuentas por  IVA Compras de la Compañía</t>
  </si>
  <si>
    <t>***(Concluir en función al objetivo)</t>
  </si>
  <si>
    <t>FECHA DE CORTE: _/_/20XX</t>
  </si>
  <si>
    <t>Solicitar a la Compañía los mayores contables al _/_/20XX.</t>
  </si>
  <si>
    <t>Solicitar a la Compañía los estados financieros al _/_/20XX.</t>
  </si>
  <si>
    <t>Documentar el papel de trabajo y concluir en base al objetivo.</t>
  </si>
  <si>
    <t>Conciliar íntegramente el saldo final del movimiento con estados financieros.</t>
  </si>
  <si>
    <t>6.-</t>
  </si>
  <si>
    <t>Diferencia</t>
  </si>
  <si>
    <t>Según movimiento</t>
  </si>
  <si>
    <t>Tomado de mayores contables al 31/xx/20xx (Año de revisión)</t>
  </si>
  <si>
    <t>Cálculos de Auditoría</t>
  </si>
  <si>
    <t xml:space="preserve">Identificar los tipos de transacciones que se han registrado en los activos por impuestos corrientes al _/_/20XX. </t>
  </si>
  <si>
    <t>Clasificar los movimientos en el mayor contable de los activos por impuestos corrientes.</t>
  </si>
  <si>
    <t>IVA compras y retenciones en la fuente del IVA</t>
  </si>
  <si>
    <t>Según Estado Financiero al 31/12/202x (Año anterior)</t>
  </si>
  <si>
    <t>Devolución</t>
  </si>
  <si>
    <t>IVA compras</t>
  </si>
  <si>
    <t>***El movimiento depende de la naturaleza de cada cuenta.</t>
  </si>
  <si>
    <t>Base imponible</t>
  </si>
  <si>
    <t>Retención en la fuente del IVA</t>
  </si>
  <si>
    <t>Retención en la fuente del impuesto a la renta</t>
  </si>
  <si>
    <t>Según Estado Financiero al 31/12/202x (Año de revisión)</t>
  </si>
  <si>
    <t>Verificaciones:</t>
  </si>
  <si>
    <t>Preparado por:</t>
  </si>
  <si>
    <t>Revisado por:</t>
  </si>
  <si>
    <t>XX</t>
  </si>
  <si>
    <t>***Base de mayores con la que se efectúa el movimiento</t>
  </si>
  <si>
    <t>Preliminar</t>
  </si>
  <si>
    <t>Saldo según EFFF al _/ _/ 20XX.</t>
  </si>
  <si>
    <t>Saldo según EFFF al _/ _/ 20XX</t>
  </si>
  <si>
    <t>Ajustes</t>
  </si>
  <si>
    <t>7.-</t>
  </si>
  <si>
    <t xml:space="preserve">Base de facturación </t>
  </si>
  <si>
    <t xml:space="preserve">IVA </t>
  </si>
  <si>
    <t xml:space="preserve">Total </t>
  </si>
  <si>
    <t xml:space="preserve">*** BI venta de servicios </t>
  </si>
  <si>
    <t xml:space="preserve">*** BI venta de bienes </t>
  </si>
  <si>
    <t>Retención en la fuente de renta</t>
  </si>
  <si>
    <t xml:space="preserve">Retención en la fuente de IVA </t>
  </si>
  <si>
    <t xml:space="preserve">Cálculo según auditoría </t>
  </si>
  <si>
    <t>***Los porcentajes dependen del tipo de bien o servicio que vende la Compañía</t>
  </si>
  <si>
    <t>***El cálculo es factible si se conoce cuáles son los tipo de clientes de la Compañía (agentes de retención)</t>
  </si>
  <si>
    <t>Realizar el recálculo de las retenciones de IVA e impuesto a la renta</t>
  </si>
  <si>
    <t>Crédito tributario ISD</t>
  </si>
  <si>
    <t>***Referenciar con p/t (validación del crédito tributario ISD)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</si>
</sst>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_);_(@_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3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1"/>
      <color indexed="8"/>
      <name val="Calibri"/>
      <family val="2"/>
    </font>
    <font>
      <b/>
      <u/>
      <sz val="10"/>
      <color rgb="FF002060"/>
      <name val="Tahoma"/>
      <family val="2"/>
    </font>
    <font>
      <sz val="11"/>
      <color theme="1"/>
      <name val="Calibri"/>
      <family val="2"/>
    </font>
    <font>
      <sz val="10"/>
      <color indexed="8"/>
      <name val="Tahoma"/>
      <family val="2"/>
    </font>
    <font>
      <u/>
      <sz val="10"/>
      <name val="Tahoma"/>
      <family val="2"/>
    </font>
    <font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2" fillId="0" borderId="0"/>
    <xf numFmtId="0" fontId="13" fillId="0" borderId="0"/>
    <xf numFmtId="0" fontId="11" fillId="0" borderId="0"/>
    <xf numFmtId="0" fontId="2" fillId="0" borderId="0"/>
  </cellStyleXfs>
  <cellXfs count="74">
    <xf numFmtId="0" fontId="0" fillId="0" borderId="0" xfId="0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Border="1"/>
    <xf numFmtId="0" fontId="4" fillId="0" borderId="0" xfId="0" applyFont="1" applyAlignment="1">
      <alignment horizontal="right" vertical="top"/>
    </xf>
    <xf numFmtId="0" fontId="6" fillId="0" borderId="0" xfId="0" applyFont="1" applyFill="1"/>
    <xf numFmtId="0" fontId="5" fillId="2" borderId="0" xfId="4" applyFont="1" applyFill="1" applyBorder="1" applyAlignment="1">
      <alignment horizontal="left" indent="1"/>
    </xf>
    <xf numFmtId="0" fontId="6" fillId="2" borderId="0" xfId="4" applyFont="1" applyFill="1" applyBorder="1" applyAlignment="1">
      <alignment horizontal="left" indent="1"/>
    </xf>
    <xf numFmtId="0" fontId="6" fillId="0" borderId="0" xfId="0" applyFont="1" applyAlignment="1">
      <alignment horizontal="right"/>
    </xf>
    <xf numFmtId="0" fontId="5" fillId="0" borderId="0" xfId="0" applyFont="1" applyFill="1" applyAlignment="1">
      <alignment vertical="center"/>
    </xf>
    <xf numFmtId="0" fontId="8" fillId="2" borderId="2" xfId="0" applyFont="1" applyFill="1" applyBorder="1" applyAlignment="1">
      <alignment horizontal="center" vertical="top"/>
    </xf>
    <xf numFmtId="0" fontId="9" fillId="2" borderId="0" xfId="4" applyFont="1" applyFill="1" applyAlignment="1" applyProtection="1">
      <alignment horizontal="left" vertical="center"/>
      <protection hidden="1"/>
    </xf>
    <xf numFmtId="1" fontId="7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2" fillId="0" borderId="0" xfId="0" applyFont="1" applyAlignment="1">
      <alignment vertical="top"/>
    </xf>
    <xf numFmtId="0" fontId="6" fillId="0" borderId="4" xfId="0" applyFont="1" applyBorder="1"/>
    <xf numFmtId="0" fontId="9" fillId="3" borderId="2" xfId="0" applyFont="1" applyFill="1" applyBorder="1" applyAlignment="1" applyProtection="1">
      <alignment horizontal="center" vertical="center"/>
      <protection hidden="1"/>
    </xf>
    <xf numFmtId="0" fontId="9" fillId="0" borderId="0" xfId="8" applyFont="1" applyAlignment="1" applyProtection="1">
      <alignment horizontal="left" vertical="center"/>
      <protection hidden="1"/>
    </xf>
    <xf numFmtId="0" fontId="9" fillId="2" borderId="0" xfId="0" applyFont="1" applyFill="1" applyAlignment="1">
      <alignment horizontal="left" vertical="top"/>
    </xf>
    <xf numFmtId="43" fontId="8" fillId="5" borderId="0" xfId="3" applyFont="1" applyFill="1" applyBorder="1" applyAlignment="1">
      <alignment horizontal="center"/>
    </xf>
    <xf numFmtId="165" fontId="14" fillId="2" borderId="0" xfId="9" applyNumberFormat="1" applyFont="1" applyFill="1" applyAlignment="1">
      <alignment horizontal="left"/>
    </xf>
    <xf numFmtId="0" fontId="9" fillId="4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164" fontId="4" fillId="0" borderId="2" xfId="0" applyNumberFormat="1" applyFont="1" applyBorder="1"/>
    <xf numFmtId="0" fontId="6" fillId="0" borderId="2" xfId="0" applyFont="1" applyBorder="1"/>
    <xf numFmtId="0" fontId="4" fillId="0" borderId="2" xfId="7" applyFont="1" applyBorder="1" applyAlignment="1">
      <alignment horizontal="center"/>
    </xf>
    <xf numFmtId="0" fontId="15" fillId="2" borderId="0" xfId="6" applyFont="1" applyFill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/>
    <xf numFmtId="0" fontId="5" fillId="0" borderId="0" xfId="0" applyFont="1" applyBorder="1"/>
    <xf numFmtId="164" fontId="4" fillId="0" borderId="0" xfId="0" applyNumberFormat="1" applyFont="1" applyBorder="1"/>
    <xf numFmtId="0" fontId="16" fillId="0" borderId="0" xfId="0" applyFont="1"/>
    <xf numFmtId="0" fontId="6" fillId="2" borderId="0" xfId="4" applyFont="1" applyFill="1" applyBorder="1" applyAlignment="1"/>
    <xf numFmtId="0" fontId="4" fillId="0" borderId="0" xfId="10" applyFont="1"/>
    <xf numFmtId="0" fontId="14" fillId="0" borderId="0" xfId="0" applyFont="1"/>
    <xf numFmtId="0" fontId="16" fillId="0" borderId="0" xfId="0" applyFont="1" applyBorder="1"/>
    <xf numFmtId="0" fontId="4" fillId="0" borderId="0" xfId="0" applyFont="1" applyBorder="1" applyAlignment="1">
      <alignment vertical="top"/>
    </xf>
    <xf numFmtId="0" fontId="6" fillId="0" borderId="0" xfId="4" applyFont="1" applyFill="1" applyBorder="1" applyAlignment="1">
      <alignment vertical="center"/>
    </xf>
    <xf numFmtId="0" fontId="5" fillId="0" borderId="0" xfId="4" applyFont="1" applyFill="1" applyBorder="1" applyAlignment="1">
      <alignment horizontal="left" indent="1"/>
    </xf>
    <xf numFmtId="0" fontId="6" fillId="0" borderId="0" xfId="4" applyFont="1" applyFill="1" applyBorder="1" applyAlignment="1"/>
    <xf numFmtId="0" fontId="9" fillId="0" borderId="0" xfId="0" applyFont="1" applyAlignment="1">
      <alignment vertical="top"/>
    </xf>
    <xf numFmtId="0" fontId="9" fillId="0" borderId="0" xfId="0" applyFont="1"/>
    <xf numFmtId="0" fontId="6" fillId="0" borderId="0" xfId="0" applyFont="1" applyBorder="1" applyAlignment="1">
      <alignment horizontal="right"/>
    </xf>
    <xf numFmtId="164" fontId="4" fillId="0" borderId="1" xfId="0" applyNumberFormat="1" applyFont="1" applyBorder="1"/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3" borderId="3" xfId="0" applyFont="1" applyFill="1" applyBorder="1" applyAlignment="1" applyProtection="1">
      <alignment horizontal="center" vertical="center"/>
      <protection hidden="1"/>
    </xf>
    <xf numFmtId="0" fontId="4" fillId="2" borderId="2" xfId="7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>
      <alignment horizontal="right"/>
    </xf>
    <xf numFmtId="164" fontId="6" fillId="0" borderId="0" xfId="3" applyNumberFormat="1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/>
    <xf numFmtId="164" fontId="6" fillId="0" borderId="2" xfId="3" applyNumberFormat="1" applyFont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43" fontId="6" fillId="0" borderId="2" xfId="3" applyFont="1" applyFill="1" applyBorder="1" applyAlignment="1">
      <alignment horizontal="center"/>
    </xf>
    <xf numFmtId="43" fontId="6" fillId="0" borderId="2" xfId="3" applyFont="1" applyBorder="1" applyAlignment="1">
      <alignment horizontal="center"/>
    </xf>
    <xf numFmtId="43" fontId="16" fillId="0" borderId="2" xfId="3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43" fontId="6" fillId="0" borderId="1" xfId="0" applyNumberFormat="1" applyFont="1" applyBorder="1"/>
    <xf numFmtId="164" fontId="6" fillId="0" borderId="0" xfId="0" applyNumberFormat="1" applyFont="1" applyBorder="1"/>
    <xf numFmtId="164" fontId="8" fillId="0" borderId="1" xfId="0" applyNumberFormat="1" applyFont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164" fontId="8" fillId="0" borderId="0" xfId="0" applyNumberFormat="1" applyFont="1" applyBorder="1"/>
    <xf numFmtId="0" fontId="9" fillId="6" borderId="3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</cellXfs>
  <cellStyles count="11">
    <cellStyle name="Millares" xfId="3" builtinId="3"/>
    <cellStyle name="Millares 2" xfId="1" xr:uid="{00000000-0005-0000-0000-000001000000}"/>
    <cellStyle name="Normal" xfId="0" builtinId="0"/>
    <cellStyle name="Normal 12" xfId="4" xr:uid="{B3926995-F157-4C8E-BCEF-234A87710817}"/>
    <cellStyle name="Normal 2 10" xfId="7" xr:uid="{44ABB0FB-7175-44D0-9D44-C2DB74442EA2}"/>
    <cellStyle name="Normal 2 2" xfId="2" xr:uid="{00000000-0005-0000-0000-000004000000}"/>
    <cellStyle name="Normal 2 3 2 5" xfId="10" xr:uid="{A92BAD88-6905-4928-A9FB-753188AA91A4}"/>
    <cellStyle name="Normal 3" xfId="5" xr:uid="{CC9EC0E3-10DF-4A84-9573-0BA8D8E69BD0}"/>
    <cellStyle name="Normal 7" xfId="8" xr:uid="{5F58D487-9021-4471-950C-3E17848EB74A}"/>
    <cellStyle name="Normal_2102 Sumaria de Efectivo y Equivalentes" xfId="9" xr:uid="{1F4EEFAF-D67C-43C0-806E-518943945C89}"/>
    <cellStyle name="Normal_2102.1.1 Analisis de Partidas Conciliatorias" xfId="6" xr:uid="{58CC6EAC-0A36-4DB0-B10F-C44F2B1A0F16}"/>
  </cellStyles>
  <dxfs count="0"/>
  <tableStyles count="0" defaultTableStyle="TableStyleMedium2" defaultPivotStyle="PivotStyleLight16"/>
  <colors>
    <mruColors>
      <color rgb="FF000099"/>
      <color rgb="FFFF0066"/>
      <color rgb="FFCCEC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175419</xdr:colOff>
      <xdr:row>41</xdr:row>
      <xdr:rowOff>39687</xdr:rowOff>
    </xdr:from>
    <xdr:to>
      <xdr:col>2</xdr:col>
      <xdr:colOff>2440205</xdr:colOff>
      <xdr:row>41</xdr:row>
      <xdr:rowOff>55561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97EF275F-0D75-4D15-BEF6-267B7B43DD8C}"/>
            </a:ext>
          </a:extLst>
        </xdr:cNvPr>
        <xdr:cNvCxnSpPr>
          <a:stCxn id="11" idx="3"/>
        </xdr:cNvCxnSpPr>
      </xdr:nvCxnSpPr>
      <xdr:spPr>
        <a:xfrm flipV="1">
          <a:off x="674348" y="6099401"/>
          <a:ext cx="3816000" cy="158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157619</xdr:colOff>
      <xdr:row>75</xdr:row>
      <xdr:rowOff>72571</xdr:rowOff>
    </xdr:from>
    <xdr:to>
      <xdr:col>0</xdr:col>
      <xdr:colOff>339701</xdr:colOff>
      <xdr:row>77</xdr:row>
      <xdr:rowOff>3106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8F905EB-055F-446D-B968-B6D58F09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19" y="12255500"/>
          <a:ext cx="182082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483394</xdr:colOff>
      <xdr:row>40</xdr:row>
      <xdr:rowOff>118267</xdr:rowOff>
    </xdr:from>
    <xdr:to>
      <xdr:col>1</xdr:col>
      <xdr:colOff>175419</xdr:colOff>
      <xdr:row>41</xdr:row>
      <xdr:rowOff>151605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3D2D26-6A8F-4DD7-8C78-747BAE65A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394" y="492839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146281</xdr:colOff>
      <xdr:row>80</xdr:row>
      <xdr:rowOff>0</xdr:rowOff>
    </xdr:from>
    <xdr:ext cx="158750" cy="158750"/>
    <xdr:pic>
      <xdr:nvPicPr>
        <xdr:cNvPr id="15" name="Imagen 14">
          <a:extLst>
            <a:ext uri="{FF2B5EF4-FFF2-40B4-BE49-F238E27FC236}">
              <a16:creationId xmlns:a16="http://schemas.microsoft.com/office/drawing/2014/main" id="{1721C173-4914-4B54-B579-42709E6E4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81" y="1871662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148208</xdr:colOff>
      <xdr:row>79</xdr:row>
      <xdr:rowOff>0</xdr:rowOff>
    </xdr:from>
    <xdr:to>
      <xdr:col>0</xdr:col>
      <xdr:colOff>306958</xdr:colOff>
      <xdr:row>80</xdr:row>
      <xdr:rowOff>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3BB22FF-EDC5-4027-B68E-9633A0FBC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08" y="12600214"/>
          <a:ext cx="158750" cy="163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222249</xdr:colOff>
      <xdr:row>39</xdr:row>
      <xdr:rowOff>75404</xdr:rowOff>
    </xdr:from>
    <xdr:to>
      <xdr:col>11</xdr:col>
      <xdr:colOff>1333500</xdr:colOff>
      <xdr:row>40</xdr:row>
      <xdr:rowOff>119065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47785010-82CB-4174-BAEB-FE4E31F958C5}"/>
            </a:ext>
          </a:extLst>
        </xdr:cNvPr>
        <xdr:cNvSpPr/>
      </xdr:nvSpPr>
      <xdr:spPr>
        <a:xfrm rot="5400000">
          <a:off x="11368482" y="-4824016"/>
          <a:ext cx="202411" cy="21494751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145142</xdr:colOff>
      <xdr:row>76</xdr:row>
      <xdr:rowOff>154215</xdr:rowOff>
    </xdr:from>
    <xdr:to>
      <xdr:col>0</xdr:col>
      <xdr:colOff>325142</xdr:colOff>
      <xdr:row>78</xdr:row>
      <xdr:rowOff>7644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68AFFED-A697-40B7-8363-E8165121E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42" y="12427858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616857</xdr:colOff>
      <xdr:row>40</xdr:row>
      <xdr:rowOff>151945</xdr:rowOff>
    </xdr:from>
    <xdr:to>
      <xdr:col>3</xdr:col>
      <xdr:colOff>796857</xdr:colOff>
      <xdr:row>42</xdr:row>
      <xdr:rowOff>9910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2708C07-91DA-479F-A50E-461ED98D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5045" y="5898695"/>
          <a:ext cx="180000" cy="175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7938</xdr:colOff>
      <xdr:row>40</xdr:row>
      <xdr:rowOff>126998</xdr:rowOff>
    </xdr:from>
    <xdr:to>
      <xdr:col>4</xdr:col>
      <xdr:colOff>200026</xdr:colOff>
      <xdr:row>42</xdr:row>
      <xdr:rowOff>1586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35F353E-1300-4152-8E02-C6FC6E182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1" y="5873748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230188</xdr:colOff>
      <xdr:row>41</xdr:row>
      <xdr:rowOff>55563</xdr:rowOff>
    </xdr:from>
    <xdr:to>
      <xdr:col>9</xdr:col>
      <xdr:colOff>1137438</xdr:colOff>
      <xdr:row>41</xdr:row>
      <xdr:rowOff>71437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BB1D4709-93C9-49FF-8C73-0EC160F6021F}"/>
            </a:ext>
          </a:extLst>
        </xdr:cNvPr>
        <xdr:cNvCxnSpPr/>
      </xdr:nvCxnSpPr>
      <xdr:spPr>
        <a:xfrm flipV="1">
          <a:off x="6453188" y="6119813"/>
          <a:ext cx="7416000" cy="158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690562</xdr:colOff>
      <xdr:row>40</xdr:row>
      <xdr:rowOff>134938</xdr:rowOff>
    </xdr:from>
    <xdr:to>
      <xdr:col>11</xdr:col>
      <xdr:colOff>849312</xdr:colOff>
      <xdr:row>41</xdr:row>
      <xdr:rowOff>134939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43A87ED4-6C3D-4B68-A3FC-006B3A628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0" y="5881688"/>
          <a:ext cx="158750" cy="158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1520825</xdr:colOff>
      <xdr:row>55</xdr:row>
      <xdr:rowOff>79375</xdr:rowOff>
    </xdr:from>
    <xdr:ext cx="180000" cy="180000"/>
    <xdr:pic>
      <xdr:nvPicPr>
        <xdr:cNvPr id="31" name="Imagen 30">
          <a:extLst>
            <a:ext uri="{FF2B5EF4-FFF2-40B4-BE49-F238E27FC236}">
              <a16:creationId xmlns:a16="http://schemas.microsoft.com/office/drawing/2014/main" id="{A72B8FC5-2D6A-4F84-95EA-6F45D89A0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2388" y="8699500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142881</xdr:colOff>
      <xdr:row>78</xdr:row>
      <xdr:rowOff>0</xdr:rowOff>
    </xdr:from>
    <xdr:to>
      <xdr:col>0</xdr:col>
      <xdr:colOff>322881</xdr:colOff>
      <xdr:row>79</xdr:row>
      <xdr:rowOff>21250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223FD22-D802-428A-AF1A-ABF6EB5B7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81" y="14501813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515938</xdr:colOff>
      <xdr:row>40</xdr:row>
      <xdr:rowOff>127000</xdr:rowOff>
    </xdr:from>
    <xdr:to>
      <xdr:col>10</xdr:col>
      <xdr:colOff>695938</xdr:colOff>
      <xdr:row>41</xdr:row>
      <xdr:rowOff>148250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201FEE61-4891-4AD1-952F-A103B6B76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6" y="6032500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1317627</xdr:colOff>
      <xdr:row>68</xdr:row>
      <xdr:rowOff>6</xdr:rowOff>
    </xdr:from>
    <xdr:ext cx="180000" cy="180000"/>
    <xdr:pic>
      <xdr:nvPicPr>
        <xdr:cNvPr id="17" name="Imagen 16">
          <a:extLst>
            <a:ext uri="{FF2B5EF4-FFF2-40B4-BE49-F238E27FC236}">
              <a16:creationId xmlns:a16="http://schemas.microsoft.com/office/drawing/2014/main" id="{4133AFBE-8796-43D1-84F6-940D9A1E5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9565" y="10715631"/>
          <a:ext cx="180000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87312</xdr:colOff>
      <xdr:row>62</xdr:row>
      <xdr:rowOff>111125</xdr:rowOff>
    </xdr:from>
    <xdr:to>
      <xdr:col>6</xdr:col>
      <xdr:colOff>293687</xdr:colOff>
      <xdr:row>69</xdr:row>
      <xdr:rowOff>119062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24C28DE4-92D8-4465-B6A5-8DEF4DC8BF71}"/>
            </a:ext>
          </a:extLst>
        </xdr:cNvPr>
        <xdr:cNvSpPr/>
      </xdr:nvSpPr>
      <xdr:spPr>
        <a:xfrm>
          <a:off x="8048625" y="9786938"/>
          <a:ext cx="206375" cy="1214437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481728</xdr:colOff>
      <xdr:row>61</xdr:row>
      <xdr:rowOff>124719</xdr:rowOff>
    </xdr:from>
    <xdr:to>
      <xdr:col>1</xdr:col>
      <xdr:colOff>192962</xdr:colOff>
      <xdr:row>63</xdr:row>
      <xdr:rowOff>17068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90AACAC-50DB-4C3D-B928-BD78BDAD9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28" y="9641782"/>
          <a:ext cx="211297" cy="209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192962</xdr:colOff>
      <xdr:row>62</xdr:row>
      <xdr:rowOff>70894</xdr:rowOff>
    </xdr:from>
    <xdr:to>
      <xdr:col>3</xdr:col>
      <xdr:colOff>1476375</xdr:colOff>
      <xdr:row>62</xdr:row>
      <xdr:rowOff>71437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ADA33BB-D39E-44DE-B3FB-E54E58A5BAA5}"/>
            </a:ext>
          </a:extLst>
        </xdr:cNvPr>
        <xdr:cNvCxnSpPr>
          <a:stCxn id="19" idx="3"/>
        </xdr:cNvCxnSpPr>
      </xdr:nvCxnSpPr>
      <xdr:spPr>
        <a:xfrm>
          <a:off x="693025" y="9746707"/>
          <a:ext cx="4855288" cy="54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1521541</xdr:colOff>
      <xdr:row>61</xdr:row>
      <xdr:rowOff>124539</xdr:rowOff>
    </xdr:from>
    <xdr:to>
      <xdr:col>4</xdr:col>
      <xdr:colOff>208838</xdr:colOff>
      <xdr:row>63</xdr:row>
      <xdr:rowOff>18336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825A51D-33C8-439F-86D7-8DFBAD2F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479" y="9641602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208838</xdr:colOff>
      <xdr:row>62</xdr:row>
      <xdr:rowOff>71437</xdr:rowOff>
    </xdr:from>
    <xdr:to>
      <xdr:col>5</xdr:col>
      <xdr:colOff>1127125</xdr:colOff>
      <xdr:row>62</xdr:row>
      <xdr:rowOff>71438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FE2907DB-AB06-4ADA-ABFA-3E3382AF7A10}"/>
            </a:ext>
          </a:extLst>
        </xdr:cNvPr>
        <xdr:cNvCxnSpPr>
          <a:stCxn id="22" idx="3"/>
        </xdr:cNvCxnSpPr>
      </xdr:nvCxnSpPr>
      <xdr:spPr>
        <a:xfrm flipV="1">
          <a:off x="5804776" y="9747250"/>
          <a:ext cx="2100974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103"/>
  <sheetViews>
    <sheetView showGridLines="0" tabSelected="1" zoomScale="80" zoomScaleNormal="80" workbookViewId="0">
      <selection activeCell="H66" sqref="H66"/>
    </sheetView>
  </sheetViews>
  <sheetFormatPr baseColWidth="10" defaultColWidth="11.453125" defaultRowHeight="12.5" x14ac:dyDescent="0.25"/>
  <cols>
    <col min="1" max="1" width="7.1796875" style="1" customWidth="1"/>
    <col min="2" max="2" width="26.36328125" style="1" customWidth="1"/>
    <col min="3" max="3" width="24.81640625" style="1" customWidth="1"/>
    <col min="4" max="4" width="21.81640625" style="1" customWidth="1"/>
    <col min="5" max="8" width="16.90625" style="1" customWidth="1"/>
    <col min="9" max="9" width="25.453125" style="1" customWidth="1"/>
    <col min="10" max="10" width="16.90625" style="1" customWidth="1"/>
    <col min="11" max="11" width="20.54296875" style="1" customWidth="1"/>
    <col min="12" max="12" width="21.6328125" style="1" customWidth="1"/>
    <col min="13" max="13" width="15.453125" style="1" customWidth="1"/>
    <col min="14" max="17" width="14.1796875" style="1" bestFit="1" customWidth="1"/>
    <col min="18" max="16384" width="11.453125" style="1"/>
  </cols>
  <sheetData>
    <row r="5" spans="2:12" x14ac:dyDescent="0.25">
      <c r="J5" s="53" t="s">
        <v>59</v>
      </c>
      <c r="K5" s="53" t="s">
        <v>60</v>
      </c>
      <c r="L5" s="23" t="s">
        <v>8</v>
      </c>
    </row>
    <row r="6" spans="2:12" x14ac:dyDescent="0.25">
      <c r="B6" s="16" t="s">
        <v>6</v>
      </c>
      <c r="C6" s="17"/>
      <c r="J6" s="54" t="s">
        <v>61</v>
      </c>
      <c r="K6" s="55" t="s">
        <v>61</v>
      </c>
      <c r="L6" s="15" t="s">
        <v>20</v>
      </c>
    </row>
    <row r="7" spans="2:12" x14ac:dyDescent="0.25">
      <c r="B7" s="19" t="s">
        <v>2</v>
      </c>
      <c r="C7" s="17"/>
      <c r="J7" s="2"/>
      <c r="K7" s="2"/>
    </row>
    <row r="8" spans="2:12" x14ac:dyDescent="0.25">
      <c r="B8" s="24" t="s">
        <v>19</v>
      </c>
      <c r="C8" s="18"/>
      <c r="D8" s="5"/>
    </row>
    <row r="9" spans="2:12" x14ac:dyDescent="0.25">
      <c r="B9" s="25" t="s">
        <v>37</v>
      </c>
      <c r="C9" s="18"/>
      <c r="D9" s="5"/>
    </row>
    <row r="10" spans="2:12" ht="6" customHeight="1" thickBot="1" x14ac:dyDescent="0.3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2:12" ht="13" thickTop="1" x14ac:dyDescent="0.25"/>
    <row r="12" spans="2:12" x14ac:dyDescent="0.25">
      <c r="B12" s="20" t="s">
        <v>3</v>
      </c>
      <c r="C12" s="11"/>
      <c r="D12" s="11"/>
      <c r="E12" s="11"/>
      <c r="F12" s="11"/>
      <c r="G12" s="11"/>
      <c r="H12" s="11"/>
      <c r="I12" s="11"/>
    </row>
    <row r="13" spans="2:12" ht="7" customHeight="1" x14ac:dyDescent="0.25">
      <c r="B13" s="20"/>
      <c r="C13" s="11"/>
      <c r="D13" s="11"/>
      <c r="E13" s="11"/>
      <c r="F13" s="11"/>
      <c r="G13" s="11"/>
      <c r="H13" s="11"/>
      <c r="I13" s="11"/>
    </row>
    <row r="14" spans="2:12" s="10" customFormat="1" x14ac:dyDescent="0.25">
      <c r="B14" s="44" t="s">
        <v>47</v>
      </c>
      <c r="C14" s="45"/>
      <c r="D14" s="45"/>
      <c r="E14" s="45"/>
      <c r="F14" s="45"/>
      <c r="G14" s="45"/>
      <c r="H14" s="45"/>
      <c r="I14" s="45"/>
    </row>
    <row r="15" spans="2:12" x14ac:dyDescent="0.25">
      <c r="B15" s="12"/>
      <c r="C15" s="11"/>
      <c r="D15" s="11"/>
      <c r="E15" s="11"/>
      <c r="F15" s="11"/>
      <c r="G15" s="11"/>
      <c r="H15" s="11"/>
      <c r="I15" s="11"/>
    </row>
    <row r="16" spans="2:12" x14ac:dyDescent="0.25">
      <c r="B16" s="20" t="s">
        <v>7</v>
      </c>
      <c r="D16" s="11"/>
      <c r="E16" s="11"/>
      <c r="F16" s="11"/>
      <c r="G16" s="11"/>
      <c r="H16" s="11"/>
      <c r="I16" s="11"/>
    </row>
    <row r="17" spans="1:9" ht="7" customHeight="1" x14ac:dyDescent="0.25">
      <c r="B17" s="20"/>
      <c r="D17" s="11"/>
      <c r="E17" s="11"/>
      <c r="F17" s="11"/>
      <c r="G17" s="11"/>
      <c r="H17" s="11"/>
      <c r="I17" s="11"/>
    </row>
    <row r="18" spans="1:9" x14ac:dyDescent="0.25">
      <c r="B18" s="20"/>
      <c r="D18" s="11"/>
      <c r="E18" s="11"/>
      <c r="F18" s="11"/>
      <c r="G18" s="11"/>
      <c r="H18" s="11"/>
      <c r="I18" s="11"/>
    </row>
    <row r="19" spans="1:9" x14ac:dyDescent="0.25">
      <c r="B19" s="33"/>
      <c r="C19" s="34" t="s">
        <v>63</v>
      </c>
      <c r="D19" s="34" t="s">
        <v>21</v>
      </c>
      <c r="E19" s="11"/>
      <c r="F19" s="11"/>
      <c r="G19" s="11"/>
      <c r="H19" s="11"/>
      <c r="I19" s="11"/>
    </row>
    <row r="20" spans="1:9" x14ac:dyDescent="0.25">
      <c r="B20" s="35" t="s">
        <v>9</v>
      </c>
      <c r="C20" s="32" t="s">
        <v>10</v>
      </c>
      <c r="D20" s="32" t="s">
        <v>10</v>
      </c>
      <c r="E20" s="11"/>
      <c r="F20" s="11"/>
      <c r="G20" s="11"/>
      <c r="H20" s="11"/>
      <c r="I20" s="11"/>
    </row>
    <row r="21" spans="1:9" x14ac:dyDescent="0.25">
      <c r="B21" s="35" t="s">
        <v>11</v>
      </c>
      <c r="C21" s="32" t="s">
        <v>10</v>
      </c>
      <c r="D21" s="32" t="s">
        <v>10</v>
      </c>
      <c r="E21" s="11"/>
      <c r="F21" s="11"/>
      <c r="G21" s="11"/>
      <c r="H21" s="11"/>
      <c r="I21" s="11"/>
    </row>
    <row r="22" spans="1:9" x14ac:dyDescent="0.25">
      <c r="B22" s="35" t="s">
        <v>12</v>
      </c>
      <c r="C22" s="32" t="s">
        <v>10</v>
      </c>
      <c r="D22" s="32" t="s">
        <v>10</v>
      </c>
      <c r="E22" s="11"/>
      <c r="F22" s="11"/>
      <c r="G22" s="11"/>
      <c r="H22" s="11"/>
      <c r="I22" s="11"/>
    </row>
    <row r="23" spans="1:9" x14ac:dyDescent="0.25">
      <c r="B23" s="11"/>
      <c r="C23" s="11"/>
      <c r="D23" s="11"/>
      <c r="E23" s="11"/>
      <c r="F23" s="11"/>
      <c r="G23" s="11"/>
      <c r="H23" s="11"/>
      <c r="I23" s="11"/>
    </row>
    <row r="24" spans="1:9" x14ac:dyDescent="0.25">
      <c r="B24" s="20" t="s">
        <v>4</v>
      </c>
      <c r="C24" s="11"/>
      <c r="D24" s="11"/>
      <c r="E24" s="11"/>
      <c r="F24" s="11"/>
      <c r="G24" s="11"/>
      <c r="H24" s="11"/>
      <c r="I24" s="11"/>
    </row>
    <row r="25" spans="1:9" ht="7" customHeight="1" x14ac:dyDescent="0.25">
      <c r="B25" s="20"/>
      <c r="C25" s="11"/>
      <c r="D25" s="11"/>
      <c r="E25" s="11"/>
      <c r="F25" s="11"/>
      <c r="G25" s="11"/>
      <c r="H25" s="11"/>
      <c r="I25" s="11"/>
    </row>
    <row r="26" spans="1:9" x14ac:dyDescent="0.25">
      <c r="A26" s="13" t="s">
        <v>13</v>
      </c>
      <c r="B26" s="39" t="s">
        <v>39</v>
      </c>
      <c r="C26" s="11"/>
      <c r="D26" s="11"/>
      <c r="E26" s="11"/>
      <c r="F26" s="11"/>
      <c r="G26" s="11"/>
      <c r="H26" s="11"/>
      <c r="I26" s="11"/>
    </row>
    <row r="27" spans="1:9" x14ac:dyDescent="0.25">
      <c r="A27" s="13" t="s">
        <v>14</v>
      </c>
      <c r="B27" s="39" t="s">
        <v>38</v>
      </c>
      <c r="C27" s="11"/>
      <c r="D27" s="11"/>
      <c r="E27" s="11"/>
      <c r="F27" s="11"/>
      <c r="G27" s="11"/>
      <c r="H27" s="11"/>
      <c r="I27" s="11"/>
    </row>
    <row r="28" spans="1:9" x14ac:dyDescent="0.25">
      <c r="A28" s="13" t="s">
        <v>15</v>
      </c>
      <c r="B28" s="46" t="s">
        <v>48</v>
      </c>
      <c r="C28" s="11"/>
      <c r="D28" s="11"/>
      <c r="E28" s="11"/>
      <c r="F28" s="11"/>
      <c r="G28" s="11"/>
      <c r="H28" s="11"/>
      <c r="I28" s="11"/>
    </row>
    <row r="29" spans="1:9" x14ac:dyDescent="0.25">
      <c r="A29" s="13" t="s">
        <v>16</v>
      </c>
      <c r="B29" s="41" t="s">
        <v>41</v>
      </c>
      <c r="C29" s="11"/>
      <c r="D29" s="11"/>
      <c r="E29" s="11"/>
      <c r="F29" s="11"/>
      <c r="G29" s="11"/>
      <c r="H29" s="11"/>
      <c r="I29" s="11"/>
    </row>
    <row r="30" spans="1:9" x14ac:dyDescent="0.25">
      <c r="A30" s="13" t="s">
        <v>42</v>
      </c>
      <c r="B30" s="41" t="s">
        <v>78</v>
      </c>
      <c r="C30" s="11"/>
      <c r="D30" s="11"/>
      <c r="E30" s="11"/>
      <c r="F30" s="11"/>
      <c r="G30" s="11"/>
      <c r="H30" s="11"/>
      <c r="I30" s="11"/>
    </row>
    <row r="31" spans="1:9" x14ac:dyDescent="0.25">
      <c r="A31" s="13" t="s">
        <v>67</v>
      </c>
      <c r="B31" s="40" t="s">
        <v>40</v>
      </c>
      <c r="C31" s="11"/>
      <c r="D31" s="11"/>
      <c r="E31" s="11"/>
      <c r="F31" s="11"/>
      <c r="G31" s="11"/>
      <c r="H31" s="11"/>
      <c r="I31" s="11"/>
    </row>
    <row r="32" spans="1:9" x14ac:dyDescent="0.25">
      <c r="B32" s="20"/>
      <c r="C32" s="11"/>
      <c r="D32" s="11"/>
      <c r="E32" s="11"/>
      <c r="F32" s="11"/>
      <c r="G32" s="11"/>
      <c r="H32" s="11"/>
      <c r="I32" s="11"/>
    </row>
    <row r="33" spans="2:17" x14ac:dyDescent="0.25">
      <c r="B33" s="20" t="s">
        <v>5</v>
      </c>
      <c r="C33" s="11"/>
      <c r="D33" s="11"/>
      <c r="E33" s="11"/>
      <c r="F33" s="11"/>
      <c r="G33" s="11"/>
      <c r="H33" s="11"/>
      <c r="I33" s="11"/>
    </row>
    <row r="34" spans="2:17" x14ac:dyDescent="0.25">
      <c r="B34" s="11"/>
      <c r="C34" s="11"/>
      <c r="D34" s="11"/>
      <c r="E34" s="11"/>
      <c r="F34" s="11"/>
      <c r="G34" s="11"/>
      <c r="H34" s="11"/>
      <c r="I34" s="11"/>
    </row>
    <row r="35" spans="2:17" x14ac:dyDescent="0.25">
      <c r="B35" s="4"/>
      <c r="C35" s="4"/>
      <c r="D35" s="4"/>
      <c r="E35" s="4"/>
      <c r="F35" s="4"/>
      <c r="G35" s="4"/>
      <c r="H35" s="4"/>
      <c r="I35" s="4"/>
    </row>
    <row r="36" spans="2:17" x14ac:dyDescent="0.25">
      <c r="B36" s="47" t="s">
        <v>49</v>
      </c>
      <c r="C36" s="4"/>
      <c r="D36" s="4"/>
      <c r="E36" s="4"/>
      <c r="F36" s="4"/>
      <c r="G36" s="4"/>
      <c r="H36" s="4"/>
      <c r="I36" s="4"/>
    </row>
    <row r="37" spans="2:17" x14ac:dyDescent="0.25">
      <c r="B37" s="47"/>
      <c r="C37" s="4"/>
      <c r="D37" s="4"/>
      <c r="E37" s="4"/>
      <c r="F37" s="4"/>
      <c r="G37" s="4"/>
      <c r="H37" s="4"/>
      <c r="I37" s="4"/>
    </row>
    <row r="38" spans="2:17" x14ac:dyDescent="0.25">
      <c r="B38" s="21"/>
      <c r="C38" s="4"/>
      <c r="D38" s="4"/>
      <c r="E38" s="4"/>
      <c r="F38" s="42" t="s">
        <v>35</v>
      </c>
      <c r="G38" s="4"/>
      <c r="H38" s="4"/>
      <c r="I38" s="4"/>
    </row>
    <row r="39" spans="2:17" x14ac:dyDescent="0.25">
      <c r="B39" s="21"/>
      <c r="C39" s="4"/>
      <c r="D39" s="4"/>
      <c r="E39" s="4"/>
      <c r="F39" s="42" t="s">
        <v>53</v>
      </c>
      <c r="G39" s="4"/>
      <c r="I39" s="43"/>
      <c r="J39" s="8"/>
      <c r="K39" s="8"/>
    </row>
    <row r="40" spans="2:17" x14ac:dyDescent="0.25">
      <c r="B40" s="21"/>
      <c r="C40" s="4"/>
      <c r="D40" s="4"/>
      <c r="E40" s="4"/>
      <c r="F40" s="4"/>
      <c r="G40" s="4"/>
      <c r="H40" s="4"/>
      <c r="I40" s="4"/>
    </row>
    <row r="41" spans="2:17" x14ac:dyDescent="0.25">
      <c r="B41" s="4"/>
      <c r="C41" s="4"/>
      <c r="D41" s="4"/>
      <c r="E41" s="4"/>
      <c r="F41" s="4"/>
      <c r="G41" s="4"/>
      <c r="H41" s="4"/>
      <c r="I41" s="4"/>
      <c r="L41" s="5"/>
      <c r="M41" s="5"/>
      <c r="N41" s="5"/>
      <c r="O41" s="5"/>
      <c r="P41" s="5"/>
      <c r="Q41" s="5"/>
    </row>
    <row r="42" spans="2:17" x14ac:dyDescent="0.25">
      <c r="B42" s="6"/>
      <c r="L42" s="5"/>
      <c r="M42" s="5"/>
      <c r="N42" s="5"/>
      <c r="O42" s="5"/>
      <c r="P42" s="5"/>
      <c r="Q42" s="5"/>
    </row>
    <row r="43" spans="2:17" s="51" customFormat="1" ht="26.25" customHeight="1" x14ac:dyDescent="0.25">
      <c r="B43" s="28" t="s">
        <v>33</v>
      </c>
      <c r="C43" s="28" t="s">
        <v>34</v>
      </c>
      <c r="D43" s="28" t="s">
        <v>64</v>
      </c>
      <c r="E43" s="28" t="s">
        <v>51</v>
      </c>
      <c r="F43" s="28" t="s">
        <v>52</v>
      </c>
      <c r="G43" s="28" t="s">
        <v>66</v>
      </c>
      <c r="H43" s="28" t="s">
        <v>79</v>
      </c>
      <c r="I43" s="28" t="s">
        <v>56</v>
      </c>
      <c r="J43" s="28" t="s">
        <v>55</v>
      </c>
      <c r="K43" s="28" t="s">
        <v>65</v>
      </c>
      <c r="L43" s="28" t="s">
        <v>0</v>
      </c>
      <c r="N43" s="52"/>
      <c r="O43" s="52"/>
      <c r="P43" s="52"/>
      <c r="Q43" s="52"/>
    </row>
    <row r="44" spans="2:17" x14ac:dyDescent="0.25">
      <c r="B44" s="29"/>
      <c r="C44" s="29"/>
      <c r="D44" s="29"/>
      <c r="E44" s="30"/>
      <c r="F44" s="30"/>
      <c r="G44" s="30"/>
      <c r="H44" s="30"/>
      <c r="I44" s="30"/>
      <c r="J44" s="30"/>
      <c r="K44" s="30"/>
      <c r="L44" s="30">
        <f t="shared" ref="L44:L55" si="0">+SUM(E44:K44)</f>
        <v>0</v>
      </c>
      <c r="N44" s="5"/>
      <c r="O44" s="5"/>
      <c r="P44" s="5"/>
      <c r="Q44" s="5"/>
    </row>
    <row r="45" spans="2:17" x14ac:dyDescent="0.25">
      <c r="B45" s="29"/>
      <c r="C45" s="29"/>
      <c r="D45" s="29"/>
      <c r="E45" s="30"/>
      <c r="F45" s="30"/>
      <c r="G45" s="30"/>
      <c r="H45" s="30"/>
      <c r="I45" s="30"/>
      <c r="J45" s="30"/>
      <c r="K45" s="30"/>
      <c r="L45" s="30">
        <f t="shared" si="0"/>
        <v>0</v>
      </c>
      <c r="N45" s="5"/>
      <c r="O45" s="5"/>
      <c r="P45" s="5"/>
      <c r="Q45" s="5"/>
    </row>
    <row r="46" spans="2:17" x14ac:dyDescent="0.25">
      <c r="B46" s="29"/>
      <c r="C46" s="29"/>
      <c r="D46" s="29"/>
      <c r="E46" s="30"/>
      <c r="F46" s="30"/>
      <c r="G46" s="30"/>
      <c r="H46" s="30"/>
      <c r="I46" s="30"/>
      <c r="J46" s="30"/>
      <c r="K46" s="30"/>
      <c r="L46" s="30">
        <f t="shared" si="0"/>
        <v>0</v>
      </c>
      <c r="N46" s="5"/>
      <c r="O46" s="5"/>
      <c r="P46" s="5"/>
      <c r="Q46" s="5"/>
    </row>
    <row r="47" spans="2:17" x14ac:dyDescent="0.25">
      <c r="B47" s="29"/>
      <c r="C47" s="29"/>
      <c r="D47" s="29"/>
      <c r="E47" s="30"/>
      <c r="F47" s="30"/>
      <c r="G47" s="30"/>
      <c r="H47" s="30"/>
      <c r="I47" s="30"/>
      <c r="J47" s="30"/>
      <c r="K47" s="30"/>
      <c r="L47" s="30">
        <f t="shared" si="0"/>
        <v>0</v>
      </c>
      <c r="N47" s="5"/>
      <c r="O47" s="5"/>
      <c r="P47" s="5"/>
      <c r="Q47" s="5"/>
    </row>
    <row r="48" spans="2:17" x14ac:dyDescent="0.25">
      <c r="B48" s="29"/>
      <c r="C48" s="29"/>
      <c r="D48" s="29"/>
      <c r="E48" s="30"/>
      <c r="F48" s="30"/>
      <c r="G48" s="30"/>
      <c r="H48" s="30"/>
      <c r="I48" s="30"/>
      <c r="J48" s="30"/>
      <c r="K48" s="30"/>
      <c r="L48" s="30">
        <f t="shared" si="0"/>
        <v>0</v>
      </c>
      <c r="N48" s="5"/>
      <c r="O48" s="5"/>
      <c r="P48" s="5"/>
      <c r="Q48" s="5"/>
    </row>
    <row r="49" spans="2:17" x14ac:dyDescent="0.25">
      <c r="B49" s="29"/>
      <c r="C49" s="29"/>
      <c r="D49" s="29"/>
      <c r="E49" s="30"/>
      <c r="F49" s="30"/>
      <c r="G49" s="30"/>
      <c r="H49" s="30"/>
      <c r="I49" s="30"/>
      <c r="J49" s="30"/>
      <c r="K49" s="30"/>
      <c r="L49" s="30">
        <f t="shared" si="0"/>
        <v>0</v>
      </c>
      <c r="N49" s="5"/>
      <c r="O49" s="5"/>
      <c r="P49" s="5"/>
      <c r="Q49" s="5"/>
    </row>
    <row r="50" spans="2:17" x14ac:dyDescent="0.25">
      <c r="B50" s="29"/>
      <c r="C50" s="29"/>
      <c r="D50" s="29"/>
      <c r="E50" s="30"/>
      <c r="F50" s="30"/>
      <c r="G50" s="30"/>
      <c r="H50" s="30"/>
      <c r="I50" s="30"/>
      <c r="J50" s="30"/>
      <c r="K50" s="30"/>
      <c r="L50" s="30">
        <f t="shared" si="0"/>
        <v>0</v>
      </c>
      <c r="N50" s="5"/>
      <c r="O50" s="5"/>
      <c r="P50" s="5"/>
      <c r="Q50" s="5"/>
    </row>
    <row r="51" spans="2:17" x14ac:dyDescent="0.25">
      <c r="B51" s="29"/>
      <c r="C51" s="29"/>
      <c r="D51" s="29"/>
      <c r="E51" s="30"/>
      <c r="F51" s="30"/>
      <c r="G51" s="30"/>
      <c r="H51" s="30"/>
      <c r="I51" s="30"/>
      <c r="J51" s="30"/>
      <c r="K51" s="30"/>
      <c r="L51" s="30">
        <f t="shared" si="0"/>
        <v>0</v>
      </c>
      <c r="N51" s="5"/>
      <c r="O51" s="5"/>
      <c r="P51" s="5"/>
      <c r="Q51" s="5"/>
    </row>
    <row r="52" spans="2:17" x14ac:dyDescent="0.25">
      <c r="B52" s="29"/>
      <c r="C52" s="29"/>
      <c r="D52" s="29"/>
      <c r="E52" s="30"/>
      <c r="F52" s="30"/>
      <c r="G52" s="30"/>
      <c r="H52" s="30"/>
      <c r="I52" s="30"/>
      <c r="J52" s="30"/>
      <c r="K52" s="30"/>
      <c r="L52" s="30">
        <f t="shared" si="0"/>
        <v>0</v>
      </c>
      <c r="N52" s="5"/>
      <c r="O52" s="5"/>
      <c r="P52" s="5"/>
      <c r="Q52" s="5"/>
    </row>
    <row r="53" spans="2:17" x14ac:dyDescent="0.25">
      <c r="B53" s="29"/>
      <c r="C53" s="29"/>
      <c r="D53" s="29"/>
      <c r="E53" s="30"/>
      <c r="F53" s="30"/>
      <c r="G53" s="30"/>
      <c r="H53" s="30"/>
      <c r="I53" s="30"/>
      <c r="J53" s="30"/>
      <c r="K53" s="30"/>
      <c r="L53" s="30">
        <f t="shared" si="0"/>
        <v>0</v>
      </c>
      <c r="N53" s="5"/>
      <c r="O53" s="5"/>
      <c r="P53" s="5"/>
      <c r="Q53" s="5"/>
    </row>
    <row r="54" spans="2:17" x14ac:dyDescent="0.25">
      <c r="B54" s="29"/>
      <c r="C54" s="29"/>
      <c r="D54" s="29"/>
      <c r="E54" s="30"/>
      <c r="F54" s="30"/>
      <c r="G54" s="30"/>
      <c r="H54" s="30"/>
      <c r="I54" s="30"/>
      <c r="J54" s="30"/>
      <c r="K54" s="30"/>
      <c r="L54" s="30">
        <f t="shared" si="0"/>
        <v>0</v>
      </c>
      <c r="N54" s="5"/>
      <c r="O54" s="5"/>
      <c r="P54" s="5"/>
      <c r="Q54" s="5"/>
    </row>
    <row r="55" spans="2:17" x14ac:dyDescent="0.25">
      <c r="B55" s="29"/>
      <c r="C55" s="29"/>
      <c r="D55" s="29"/>
      <c r="E55" s="30"/>
      <c r="F55" s="30"/>
      <c r="G55" s="30"/>
      <c r="H55" s="30"/>
      <c r="I55" s="30"/>
      <c r="J55" s="30"/>
      <c r="K55" s="30"/>
      <c r="L55" s="30">
        <f t="shared" si="0"/>
        <v>0</v>
      </c>
      <c r="N55" s="5"/>
      <c r="O55" s="5"/>
      <c r="P55" s="5"/>
      <c r="Q55" s="5"/>
    </row>
    <row r="56" spans="2:17" ht="7" customHeight="1" x14ac:dyDescent="0.25">
      <c r="B56" s="36"/>
      <c r="C56" s="36"/>
      <c r="D56" s="36"/>
      <c r="E56" s="37"/>
      <c r="F56" s="37"/>
      <c r="G56" s="37"/>
      <c r="H56" s="37"/>
      <c r="I56" s="37"/>
      <c r="J56" s="37"/>
      <c r="K56" s="37"/>
      <c r="L56" s="37"/>
      <c r="N56" s="5"/>
      <c r="O56" s="5"/>
      <c r="P56" s="5"/>
      <c r="Q56" s="5"/>
    </row>
    <row r="57" spans="2:17" ht="13" thickBot="1" x14ac:dyDescent="0.3">
      <c r="B57" s="36"/>
      <c r="C57" s="36"/>
      <c r="D57" s="50">
        <f>SUM(D44:D55)</f>
        <v>0</v>
      </c>
      <c r="E57" s="50">
        <f t="shared" ref="E57:L57" si="1">SUM(E44:E55)</f>
        <v>0</v>
      </c>
      <c r="F57" s="50">
        <f t="shared" si="1"/>
        <v>0</v>
      </c>
      <c r="G57" s="50">
        <f t="shared" si="1"/>
        <v>0</v>
      </c>
      <c r="H57" s="50">
        <f t="shared" si="1"/>
        <v>0</v>
      </c>
      <c r="I57" s="50">
        <f t="shared" si="1"/>
        <v>0</v>
      </c>
      <c r="J57" s="50">
        <f t="shared" si="1"/>
        <v>0</v>
      </c>
      <c r="K57" s="50">
        <f t="shared" si="1"/>
        <v>0</v>
      </c>
      <c r="L57" s="50">
        <f t="shared" si="1"/>
        <v>0</v>
      </c>
      <c r="N57" s="5"/>
      <c r="O57" s="5"/>
      <c r="P57" s="5"/>
      <c r="Q57" s="5"/>
    </row>
    <row r="58" spans="2:17" ht="13" thickTop="1" x14ac:dyDescent="0.25">
      <c r="B58" s="36"/>
      <c r="C58" s="36"/>
      <c r="D58" s="37"/>
      <c r="E58" s="37"/>
      <c r="F58" s="37"/>
      <c r="G58" s="37"/>
      <c r="H58" s="70" t="s">
        <v>80</v>
      </c>
      <c r="I58" s="37"/>
      <c r="J58" s="37"/>
      <c r="K58" s="37"/>
      <c r="L58" s="37"/>
      <c r="N58" s="5"/>
      <c r="O58" s="5"/>
      <c r="P58" s="5"/>
      <c r="Q58" s="5"/>
    </row>
    <row r="59" spans="2:17" x14ac:dyDescent="0.25">
      <c r="B59" s="36"/>
      <c r="C59" s="36"/>
      <c r="D59" s="37"/>
      <c r="E59" s="37"/>
      <c r="F59" s="37"/>
      <c r="G59" s="37"/>
      <c r="H59" s="37"/>
      <c r="I59" s="37"/>
      <c r="J59" s="37"/>
      <c r="K59" s="37"/>
      <c r="L59" s="37"/>
      <c r="N59" s="5"/>
      <c r="O59" s="5"/>
      <c r="P59" s="5"/>
      <c r="Q59" s="5"/>
    </row>
    <row r="60" spans="2:17" x14ac:dyDescent="0.25">
      <c r="B60" s="36"/>
      <c r="C60" s="36"/>
      <c r="D60" s="37"/>
      <c r="E60" s="37"/>
      <c r="F60" s="37"/>
      <c r="G60" s="37"/>
      <c r="H60" s="37"/>
      <c r="I60" s="37"/>
      <c r="J60" s="37"/>
      <c r="K60" s="37"/>
      <c r="L60" s="37"/>
      <c r="N60" s="5"/>
      <c r="O60" s="5"/>
      <c r="P60" s="5"/>
      <c r="Q60" s="5"/>
    </row>
    <row r="61" spans="2:17" x14ac:dyDescent="0.25">
      <c r="B61" s="36"/>
      <c r="C61" s="36"/>
      <c r="D61" s="37"/>
      <c r="E61" s="37"/>
      <c r="F61" s="37"/>
      <c r="G61" s="37"/>
      <c r="H61" s="37"/>
      <c r="I61" s="37"/>
      <c r="J61" s="37"/>
      <c r="K61" s="37"/>
      <c r="L61" s="37"/>
      <c r="N61" s="5"/>
      <c r="O61" s="5"/>
      <c r="P61" s="5"/>
      <c r="Q61" s="5"/>
    </row>
    <row r="62" spans="2:17" x14ac:dyDescent="0.25">
      <c r="B62" s="36"/>
      <c r="C62" s="36"/>
      <c r="D62" s="37"/>
      <c r="E62" s="37"/>
      <c r="F62" s="37"/>
      <c r="G62" s="37"/>
      <c r="H62" s="37"/>
      <c r="I62" s="37"/>
      <c r="J62" s="37"/>
      <c r="K62" s="37"/>
      <c r="L62" s="37"/>
      <c r="N62" s="5"/>
      <c r="O62" s="5"/>
      <c r="P62" s="5"/>
      <c r="Q62" s="5"/>
    </row>
    <row r="63" spans="2:17" x14ac:dyDescent="0.25">
      <c r="B63" s="48"/>
      <c r="G63" s="37"/>
      <c r="H63" s="37"/>
      <c r="I63" s="37"/>
      <c r="J63" s="37"/>
      <c r="K63" s="37"/>
      <c r="L63" s="37"/>
      <c r="N63" s="5"/>
      <c r="O63" s="5"/>
      <c r="P63" s="5"/>
      <c r="Q63" s="5"/>
    </row>
    <row r="64" spans="2:17" x14ac:dyDescent="0.25">
      <c r="B64" s="73" t="s">
        <v>68</v>
      </c>
      <c r="C64" s="73"/>
      <c r="D64" s="73"/>
      <c r="E64" s="71" t="s">
        <v>75</v>
      </c>
      <c r="F64" s="72"/>
      <c r="G64"/>
      <c r="H64"/>
      <c r="J64" s="37"/>
      <c r="K64" s="37"/>
      <c r="L64" s="37"/>
      <c r="N64" s="5"/>
      <c r="O64" s="5"/>
      <c r="P64" s="5"/>
      <c r="Q64" s="5"/>
    </row>
    <row r="65" spans="1:17" ht="25" x14ac:dyDescent="0.25">
      <c r="B65" s="61" t="s">
        <v>54</v>
      </c>
      <c r="C65" s="61" t="s">
        <v>69</v>
      </c>
      <c r="D65" s="61" t="s">
        <v>70</v>
      </c>
      <c r="E65" s="65" t="s">
        <v>74</v>
      </c>
      <c r="F65" s="65" t="s">
        <v>73</v>
      </c>
      <c r="G65"/>
      <c r="H65"/>
      <c r="J65"/>
      <c r="K65"/>
      <c r="L65" s="37"/>
      <c r="N65" s="5"/>
      <c r="O65" s="5"/>
      <c r="P65" s="5"/>
      <c r="Q65" s="5"/>
    </row>
    <row r="66" spans="1:17" x14ac:dyDescent="0.25">
      <c r="B66" s="64" t="s">
        <v>72</v>
      </c>
      <c r="C66" s="62">
        <v>0</v>
      </c>
      <c r="D66" s="63">
        <f>+SUM(B66:C66)</f>
        <v>0</v>
      </c>
      <c r="E66" s="31">
        <f>+C66*30%</f>
        <v>0</v>
      </c>
      <c r="F66" s="31" t="e">
        <f>+B66*1.75%</f>
        <v>#VALUE!</v>
      </c>
      <c r="G66"/>
      <c r="H66" s="38" t="s">
        <v>77</v>
      </c>
      <c r="I66"/>
      <c r="J66" s="37"/>
      <c r="K66" s="37"/>
      <c r="L66" s="37"/>
      <c r="N66" s="5"/>
      <c r="O66" s="5"/>
      <c r="P66" s="5"/>
      <c r="Q66" s="5"/>
    </row>
    <row r="67" spans="1:17" x14ac:dyDescent="0.25">
      <c r="B67" s="64" t="s">
        <v>71</v>
      </c>
      <c r="C67" s="60">
        <v>0</v>
      </c>
      <c r="D67" s="60">
        <f>+SUM(B67:C67)</f>
        <v>0</v>
      </c>
      <c r="E67" s="31">
        <f>+C67*70%</f>
        <v>0</v>
      </c>
      <c r="F67" s="31" t="e">
        <f>+B67*2.75%</f>
        <v>#VALUE!</v>
      </c>
      <c r="G67"/>
      <c r="H67" s="42" t="s">
        <v>76</v>
      </c>
      <c r="I67"/>
      <c r="J67" s="37"/>
      <c r="K67" s="37"/>
      <c r="L67" s="37"/>
      <c r="N67" s="5"/>
      <c r="O67" s="5"/>
      <c r="P67" s="5"/>
      <c r="Q67" s="5"/>
    </row>
    <row r="68" spans="1:17" ht="7" customHeight="1" x14ac:dyDescent="0.25">
      <c r="B68" s="8"/>
      <c r="C68" s="57"/>
      <c r="D68" s="58"/>
      <c r="H68" s="37"/>
      <c r="I68"/>
      <c r="J68" s="37"/>
      <c r="K68" s="37"/>
      <c r="L68" s="37"/>
      <c r="N68" s="5"/>
      <c r="O68" s="5"/>
      <c r="P68" s="5"/>
      <c r="Q68" s="5"/>
    </row>
    <row r="69" spans="1:17" s="8" customFormat="1" ht="13" thickBot="1" x14ac:dyDescent="0.3">
      <c r="D69"/>
      <c r="E69" s="66">
        <f t="shared" ref="E69:F69" si="2">+SUM(E66:E67)</f>
        <v>0</v>
      </c>
      <c r="F69" s="66" t="e">
        <f t="shared" si="2"/>
        <v>#VALUE!</v>
      </c>
      <c r="H69" s="37"/>
      <c r="I69" s="37"/>
      <c r="J69" s="37"/>
      <c r="K69" s="37"/>
      <c r="L69" s="37"/>
      <c r="N69" s="59"/>
      <c r="O69" s="59"/>
      <c r="P69" s="59"/>
      <c r="Q69" s="59"/>
    </row>
    <row r="70" spans="1:17" s="8" customFormat="1" ht="13" thickTop="1" x14ac:dyDescent="0.25">
      <c r="D70" s="58"/>
      <c r="E70" s="58"/>
      <c r="H70" s="37"/>
      <c r="I70" s="37"/>
      <c r="J70" s="37"/>
      <c r="K70" s="37"/>
      <c r="L70" s="37"/>
      <c r="N70" s="59"/>
      <c r="O70" s="59"/>
      <c r="P70" s="59"/>
      <c r="Q70" s="59"/>
    </row>
    <row r="71" spans="1:17" s="8" customFormat="1" x14ac:dyDescent="0.25">
      <c r="D71" s="49" t="s">
        <v>44</v>
      </c>
      <c r="E71" s="69">
        <f>+J57</f>
        <v>0</v>
      </c>
      <c r="F71" s="67">
        <f>+I57</f>
        <v>0</v>
      </c>
      <c r="H71" s="37"/>
      <c r="I71" s="37"/>
      <c r="J71" s="37"/>
      <c r="K71" s="37"/>
      <c r="L71" s="37"/>
      <c r="N71" s="59"/>
      <c r="O71" s="59"/>
      <c r="P71" s="59"/>
      <c r="Q71" s="59"/>
    </row>
    <row r="72" spans="1:17" s="8" customFormat="1" ht="13" thickBot="1" x14ac:dyDescent="0.3">
      <c r="D72" s="56" t="s">
        <v>43</v>
      </c>
      <c r="E72" s="68">
        <f>+E69-E71</f>
        <v>0</v>
      </c>
      <c r="F72" s="68" t="e">
        <f>+F69-F71</f>
        <v>#VALUE!</v>
      </c>
      <c r="H72" s="37"/>
      <c r="I72" s="37"/>
      <c r="J72" s="37"/>
      <c r="K72" s="37"/>
      <c r="L72" s="37"/>
      <c r="N72" s="59"/>
      <c r="O72" s="59"/>
      <c r="P72" s="59"/>
      <c r="Q72" s="59"/>
    </row>
    <row r="73" spans="1:17" s="8" customFormat="1" ht="13" thickTop="1" x14ac:dyDescent="0.25">
      <c r="D73" s="58"/>
      <c r="E73" s="58"/>
      <c r="H73" s="37"/>
      <c r="I73" s="37"/>
      <c r="J73" s="37"/>
      <c r="K73" s="37"/>
      <c r="L73" s="37"/>
      <c r="N73" s="59"/>
      <c r="O73" s="59"/>
      <c r="P73" s="59"/>
      <c r="Q73" s="59"/>
    </row>
    <row r="74" spans="1:17" x14ac:dyDescent="0.25">
      <c r="C74" s="4"/>
      <c r="D74" s="9"/>
      <c r="E74" s="4"/>
      <c r="F74" s="4"/>
      <c r="G74" s="4"/>
      <c r="H74" s="4"/>
      <c r="I74" s="4"/>
      <c r="J74" s="4"/>
      <c r="K74" s="4"/>
      <c r="L74" s="3"/>
    </row>
    <row r="75" spans="1:17" x14ac:dyDescent="0.25">
      <c r="B75" s="20" t="s">
        <v>1</v>
      </c>
    </row>
    <row r="76" spans="1:17" ht="7" customHeight="1" x14ac:dyDescent="0.25">
      <c r="B76" s="20"/>
    </row>
    <row r="77" spans="1:17" x14ac:dyDescent="0.25">
      <c r="A77" s="6"/>
      <c r="B77" s="1" t="s">
        <v>45</v>
      </c>
    </row>
    <row r="78" spans="1:17" x14ac:dyDescent="0.25">
      <c r="A78" s="6"/>
      <c r="B78" s="1" t="s">
        <v>50</v>
      </c>
    </row>
    <row r="79" spans="1:17" x14ac:dyDescent="0.25">
      <c r="A79" s="6"/>
      <c r="B79" s="1" t="s">
        <v>57</v>
      </c>
    </row>
    <row r="80" spans="1:17" x14ac:dyDescent="0.25">
      <c r="A80" s="6"/>
      <c r="B80" s="1" t="s">
        <v>46</v>
      </c>
    </row>
    <row r="81" spans="1:9" x14ac:dyDescent="0.25">
      <c r="A81" s="6"/>
      <c r="B81" s="1" t="s">
        <v>17</v>
      </c>
    </row>
    <row r="83" spans="1:9" x14ac:dyDescent="0.25">
      <c r="A83" s="26"/>
      <c r="B83" s="20" t="s">
        <v>58</v>
      </c>
    </row>
    <row r="84" spans="1:9" ht="7" customHeight="1" x14ac:dyDescent="0.25">
      <c r="A84" s="26"/>
      <c r="B84" s="20"/>
    </row>
    <row r="85" spans="1:9" x14ac:dyDescent="0.25">
      <c r="A85" s="26" t="s">
        <v>22</v>
      </c>
      <c r="B85" s="20"/>
      <c r="D85" s="7"/>
      <c r="E85" s="7"/>
      <c r="F85" s="7"/>
      <c r="G85" s="14"/>
      <c r="H85" s="14"/>
      <c r="I85" s="7"/>
    </row>
    <row r="86" spans="1:9" x14ac:dyDescent="0.25">
      <c r="A86" s="26" t="s">
        <v>23</v>
      </c>
      <c r="B86" s="20"/>
    </row>
    <row r="87" spans="1:9" x14ac:dyDescent="0.25">
      <c r="A87" s="26" t="s">
        <v>24</v>
      </c>
      <c r="B87" s="20"/>
    </row>
    <row r="88" spans="1:9" x14ac:dyDescent="0.25">
      <c r="A88" s="26"/>
      <c r="B88" s="20"/>
    </row>
    <row r="89" spans="1:9" x14ac:dyDescent="0.25">
      <c r="A89" s="26"/>
      <c r="B89" s="20" t="s">
        <v>25</v>
      </c>
    </row>
    <row r="90" spans="1:9" ht="7" customHeight="1" x14ac:dyDescent="0.25">
      <c r="A90" s="26"/>
      <c r="B90" s="20"/>
    </row>
    <row r="91" spans="1:9" x14ac:dyDescent="0.25">
      <c r="A91" s="26" t="s">
        <v>26</v>
      </c>
      <c r="B91" s="20"/>
    </row>
    <row r="92" spans="1:9" x14ac:dyDescent="0.25">
      <c r="A92" s="26" t="s">
        <v>27</v>
      </c>
      <c r="B92" s="20"/>
    </row>
    <row r="93" spans="1:9" x14ac:dyDescent="0.25">
      <c r="A93" s="26" t="s">
        <v>28</v>
      </c>
      <c r="B93" s="20"/>
    </row>
    <row r="94" spans="1:9" x14ac:dyDescent="0.25">
      <c r="A94" s="26"/>
      <c r="B94" s="27"/>
    </row>
    <row r="95" spans="1:9" x14ac:dyDescent="0.25">
      <c r="A95" s="26"/>
      <c r="B95" s="20" t="s">
        <v>29</v>
      </c>
    </row>
    <row r="96" spans="1:9" ht="7" customHeight="1" x14ac:dyDescent="0.25">
      <c r="A96" s="26"/>
      <c r="B96" s="20"/>
    </row>
    <row r="97" spans="1:2" x14ac:dyDescent="0.25">
      <c r="A97" s="26" t="s">
        <v>30</v>
      </c>
      <c r="B97" s="20"/>
    </row>
    <row r="98" spans="1:2" x14ac:dyDescent="0.25">
      <c r="A98" s="26" t="s">
        <v>31</v>
      </c>
      <c r="B98" s="20"/>
    </row>
    <row r="99" spans="1:2" x14ac:dyDescent="0.25">
      <c r="A99" s="26" t="s">
        <v>32</v>
      </c>
      <c r="B99" s="20"/>
    </row>
    <row r="100" spans="1:2" x14ac:dyDescent="0.25">
      <c r="A100" s="26"/>
      <c r="B100" s="27"/>
    </row>
    <row r="101" spans="1:2" x14ac:dyDescent="0.25">
      <c r="B101" s="20" t="s">
        <v>18</v>
      </c>
    </row>
    <row r="102" spans="1:2" ht="7" customHeight="1" x14ac:dyDescent="0.25">
      <c r="B102" s="20"/>
    </row>
    <row r="103" spans="1:2" x14ac:dyDescent="0.25">
      <c r="B103" s="38" t="s">
        <v>36</v>
      </c>
    </row>
  </sheetData>
  <mergeCells count="2">
    <mergeCell ref="E64:F64"/>
    <mergeCell ref="B64:D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6537-510A-4AD6-A30E-73237AD08B53}">
  <dimension ref="B2"/>
  <sheetViews>
    <sheetView showGridLines="0" zoomScale="80" zoomScaleNormal="80" workbookViewId="0"/>
  </sheetViews>
  <sheetFormatPr baseColWidth="10" defaultRowHeight="12.5" x14ac:dyDescent="0.25"/>
  <cols>
    <col min="1" max="1" width="6.36328125" customWidth="1"/>
  </cols>
  <sheetData>
    <row r="2" spans="2:2" x14ac:dyDescent="0.25">
      <c r="B2" s="3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136.03</vt:lpstr>
      <vt:lpstr>Base de mayores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Sanchez</dc:creator>
  <cp:lastModifiedBy>Admin</cp:lastModifiedBy>
  <dcterms:created xsi:type="dcterms:W3CDTF">2021-03-29T19:58:29Z</dcterms:created>
  <dcterms:modified xsi:type="dcterms:W3CDTF">2026-04-17T00:06:43Z</dcterms:modified>
</cp:coreProperties>
</file>