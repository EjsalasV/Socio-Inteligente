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2. Cuentas por cobrar\"/>
    </mc:Choice>
  </mc:AlternateContent>
  <xr:revisionPtr revIDLastSave="0" documentId="13_ncr:1_{A54AB565-A895-4BAE-945D-B57515938791}" xr6:coauthVersionLast="47" xr6:coauthVersionMax="47" xr10:uidLastSave="{00000000-0000-0000-0000-000000000000}"/>
  <bookViews>
    <workbookView xWindow="-110" yWindow="-110" windowWidth="19420" windowHeight="10300" xr2:uid="{1A144FAC-45C5-43FB-89EA-FE04C3CDAC21}"/>
  </bookViews>
  <sheets>
    <sheet name="130.05" sheetId="1" r:id="rId1"/>
  </sheets>
  <externalReferences>
    <externalReference r:id="rId2"/>
  </externalReferences>
  <definedNames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val2">[1]anaislis!$D$2:$D$18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0" hidden="1">'130.05'!$B$35:$D$57</definedName>
    <definedName name="_val2">[1]anaislis!$D$2:$D$18</definedName>
    <definedName name="TEST0">#REF!</definedName>
    <definedName name="TESTHKEY">#REF!</definedName>
    <definedName name="TESTKEYS">#REF!</definedName>
    <definedName name="TESTVKEY">#REF!</definedName>
    <definedName name="V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1" l="1"/>
  <c r="D46" i="1" s="1"/>
  <c r="D45" i="1" l="1"/>
  <c r="D41" i="1"/>
  <c r="D42" i="1"/>
  <c r="D44" i="1"/>
  <c r="D38" i="1"/>
  <c r="D43" i="1"/>
  <c r="D37" i="1"/>
  <c r="D40" i="1"/>
  <c r="D36" i="1"/>
  <c r="D39" i="1"/>
  <c r="D48" i="1" l="1"/>
</calcChain>
</file>

<file path=xl/sharedStrings.xml><?xml version="1.0" encoding="utf-8"?>
<sst xmlns="http://schemas.openxmlformats.org/spreadsheetml/2006/main" count="58" uniqueCount="52">
  <si>
    <t>Conclusión:</t>
  </si>
  <si>
    <t>%</t>
  </si>
  <si>
    <t>Objetivo:</t>
  </si>
  <si>
    <t>Revisado por:</t>
  </si>
  <si>
    <t>Preparado por:</t>
  </si>
  <si>
    <t>COMPAÑÍA MODELO S.A.</t>
  </si>
  <si>
    <t>ANÁLISIS DE CONCENTRACIÓN DE CLIENTES</t>
  </si>
  <si>
    <t>Base de decisión: Materialidad</t>
  </si>
  <si>
    <t>Ref.</t>
  </si>
  <si>
    <t>General</t>
  </si>
  <si>
    <t>XXX.XXX</t>
  </si>
  <si>
    <t>Desempeño</t>
  </si>
  <si>
    <t>Errores Triviales</t>
  </si>
  <si>
    <t>1.-</t>
  </si>
  <si>
    <t>2.-</t>
  </si>
  <si>
    <t>3.-</t>
  </si>
  <si>
    <t>4.-</t>
  </si>
  <si>
    <t>5.-</t>
  </si>
  <si>
    <t>Representar la concentración mediante un grafico.</t>
  </si>
  <si>
    <t>Procedimientos:</t>
  </si>
  <si>
    <t>Marcas de auditoría:</t>
  </si>
  <si>
    <t>Sumatoria</t>
  </si>
  <si>
    <t xml:space="preserve">Cálculos realizados por auditoría </t>
  </si>
  <si>
    <t>XX</t>
  </si>
  <si>
    <t>AL 31 DE DICIEMBRE DE 20XX</t>
  </si>
  <si>
    <t>Notas aclaratorias:</t>
  </si>
  <si>
    <t>Observaciones:</t>
  </si>
  <si>
    <t>Preliminar</t>
  </si>
  <si>
    <t>Final</t>
  </si>
  <si>
    <t>Cliente</t>
  </si>
  <si>
    <t>Saldo</t>
  </si>
  <si>
    <t>A</t>
  </si>
  <si>
    <t>B</t>
  </si>
  <si>
    <t>C</t>
  </si>
  <si>
    <t>a)</t>
  </si>
  <si>
    <t>b)</t>
  </si>
  <si>
    <t>c)</t>
  </si>
  <si>
    <t>Obs. 1</t>
  </si>
  <si>
    <t>Obs. 2</t>
  </si>
  <si>
    <t>Obs. 3</t>
  </si>
  <si>
    <t>***(Concluir en base al objetivo)</t>
  </si>
  <si>
    <t>FECHA DE CORTE: _/_/20XX</t>
  </si>
  <si>
    <t>Determinar y analizar en qué clientes se concentran las ventas de la Compañía al _/ _ /20XX.</t>
  </si>
  <si>
    <t>Análisis de concentración</t>
  </si>
  <si>
    <t>***Incluir análisis del gráfico...</t>
  </si>
  <si>
    <t>Solicitar a la Compañía el detalle de cuentas por cobrar al _/_/20XX.</t>
  </si>
  <si>
    <t>Realizar una tabla dinámica que refleje; el cliente, el saldo y determinar el porcentaje que representa en cartera.</t>
  </si>
  <si>
    <t>Analizar los porcentajes obtenidos.</t>
  </si>
  <si>
    <t>130.05</t>
  </si>
  <si>
    <t>Documentar el papel de trabajo y concluir en base al objetivo.</t>
  </si>
  <si>
    <t>Verificaciones:</t>
  </si>
  <si>
    <t>***Referenciar al p/t en donde conste el detalle de cuentas por cobrar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</si>
</sst>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_);_(@_)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u/>
      <sz val="10"/>
      <color rgb="FF0000FF"/>
      <name val="Tahoma"/>
      <family val="2"/>
    </font>
    <font>
      <b/>
      <sz val="10"/>
      <color rgb="FFFF0000"/>
      <name val="Tahoma"/>
      <family val="2"/>
    </font>
    <font>
      <b/>
      <sz val="10"/>
      <color theme="4" tint="-0.499984740745262"/>
      <name val="Tahoma"/>
      <family val="2"/>
    </font>
    <font>
      <sz val="10"/>
      <name val="Arial"/>
      <family val="2"/>
    </font>
    <font>
      <b/>
      <sz val="10"/>
      <color theme="3"/>
      <name val="Tahoma"/>
      <family val="2"/>
    </font>
    <font>
      <sz val="10"/>
      <name val="Tahoma"/>
      <family val="2"/>
    </font>
    <font>
      <sz val="10"/>
      <color rgb="FF000000"/>
      <name val="Tahoma"/>
      <family val="2"/>
    </font>
    <font>
      <sz val="10"/>
      <color indexed="8"/>
      <name val="Tahoma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0"/>
      <color theme="8" tint="-0.499984740745262"/>
      <name val="Tahoma"/>
      <family val="2"/>
    </font>
    <font>
      <b/>
      <sz val="10"/>
      <name val="Tahoma"/>
      <family val="2"/>
    </font>
    <font>
      <b/>
      <sz val="10"/>
      <color rgb="FF002060"/>
      <name val="Tahoma"/>
      <family val="2"/>
    </font>
    <font>
      <u/>
      <sz val="10"/>
      <name val="Tahoma"/>
      <family val="2"/>
    </font>
    <font>
      <sz val="10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9" fontId="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3" fillId="0" borderId="0"/>
    <xf numFmtId="164" fontId="3" fillId="0" borderId="0" applyFont="0" applyFill="0" applyBorder="0" applyAlignment="0" applyProtection="0"/>
    <xf numFmtId="0" fontId="12" fillId="0" borderId="0"/>
    <xf numFmtId="0" fontId="7" fillId="0" borderId="0"/>
    <xf numFmtId="0" fontId="12" fillId="0" borderId="0"/>
  </cellStyleXfs>
  <cellXfs count="53">
    <xf numFmtId="0" fontId="0" fillId="0" borderId="0" xfId="0"/>
    <xf numFmtId="0" fontId="1" fillId="2" borderId="0" xfId="0" applyFont="1" applyFill="1"/>
    <xf numFmtId="0" fontId="5" fillId="0" borderId="0" xfId="0" applyFont="1" applyAlignment="1">
      <alignment horizontal="center"/>
    </xf>
    <xf numFmtId="9" fontId="1" fillId="2" borderId="1" xfId="1" applyFont="1" applyFill="1" applyBorder="1"/>
    <xf numFmtId="4" fontId="1" fillId="2" borderId="1" xfId="0" applyNumberFormat="1" applyFont="1" applyFill="1" applyBorder="1"/>
    <xf numFmtId="0" fontId="1" fillId="2" borderId="1" xfId="0" applyFont="1" applyFill="1" applyBorder="1"/>
    <xf numFmtId="0" fontId="8" fillId="2" borderId="0" xfId="2" applyFont="1" applyFill="1" applyAlignment="1">
      <alignment vertical="center"/>
    </xf>
    <xf numFmtId="0" fontId="9" fillId="2" borderId="0" xfId="3" applyFont="1" applyFill="1"/>
    <xf numFmtId="0" fontId="1" fillId="2" borderId="0" xfId="0" applyFont="1" applyFill="1" applyAlignment="1">
      <alignment horizontal="right"/>
    </xf>
    <xf numFmtId="0" fontId="10" fillId="2" borderId="0" xfId="4" applyFont="1" applyFill="1" applyAlignment="1">
      <alignment horizontal="left"/>
    </xf>
    <xf numFmtId="0" fontId="11" fillId="2" borderId="0" xfId="0" applyFont="1" applyFill="1"/>
    <xf numFmtId="0" fontId="10" fillId="2" borderId="0" xfId="4" applyFont="1" applyFill="1" applyAlignment="1">
      <alignment horizontal="left" wrapText="1"/>
    </xf>
    <xf numFmtId="0" fontId="10" fillId="2" borderId="0" xfId="4" applyFont="1" applyFill="1"/>
    <xf numFmtId="0" fontId="14" fillId="2" borderId="0" xfId="5" applyFont="1" applyFill="1" applyAlignment="1" applyProtection="1">
      <alignment horizontal="left" vertical="center"/>
      <protection hidden="1"/>
    </xf>
    <xf numFmtId="0" fontId="2" fillId="2" borderId="0" xfId="5" applyFont="1" applyFill="1" applyAlignment="1" applyProtection="1">
      <alignment horizontal="left" vertical="center"/>
      <protection hidden="1"/>
    </xf>
    <xf numFmtId="0" fontId="9" fillId="2" borderId="0" xfId="5" applyFont="1" applyFill="1" applyAlignment="1">
      <alignment horizontal="center"/>
    </xf>
    <xf numFmtId="0" fontId="8" fillId="2" borderId="0" xfId="2" applyFont="1" applyFill="1" applyAlignment="1">
      <alignment horizontal="right" vertical="center" wrapText="1"/>
    </xf>
    <xf numFmtId="0" fontId="9" fillId="2" borderId="0" xfId="3" applyFont="1" applyFill="1" applyAlignment="1">
      <alignment horizontal="center" vertical="center"/>
    </xf>
    <xf numFmtId="0" fontId="9" fillId="2" borderId="0" xfId="3" applyFont="1" applyFill="1" applyBorder="1"/>
    <xf numFmtId="0" fontId="14" fillId="2" borderId="0" xfId="5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Border="1"/>
    <xf numFmtId="0" fontId="16" fillId="2" borderId="0" xfId="5" applyFont="1" applyFill="1" applyBorder="1" applyAlignment="1" applyProtection="1">
      <alignment horizontal="left" vertical="center"/>
      <protection hidden="1"/>
    </xf>
    <xf numFmtId="0" fontId="16" fillId="3" borderId="1" xfId="0" applyFont="1" applyFill="1" applyBorder="1" applyAlignment="1">
      <alignment horizontal="center" vertical="center"/>
    </xf>
    <xf numFmtId="0" fontId="4" fillId="0" borderId="0" xfId="0" applyFont="1"/>
    <xf numFmtId="0" fontId="2" fillId="2" borderId="0" xfId="5" applyFont="1" applyFill="1" applyBorder="1" applyAlignment="1" applyProtection="1">
      <alignment horizontal="left" vertical="center"/>
      <protection hidden="1"/>
    </xf>
    <xf numFmtId="0" fontId="1" fillId="0" borderId="3" xfId="0" applyFont="1" applyBorder="1"/>
    <xf numFmtId="0" fontId="15" fillId="2" borderId="0" xfId="8" applyFont="1" applyFill="1" applyAlignment="1">
      <alignment horizontal="left" vertical="center" indent="1"/>
    </xf>
    <xf numFmtId="0" fontId="16" fillId="3" borderId="2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 wrapText="1"/>
    </xf>
    <xf numFmtId="165" fontId="11" fillId="2" borderId="0" xfId="9" applyNumberFormat="1" applyFont="1" applyFill="1" applyAlignment="1">
      <alignment horizontal="left"/>
    </xf>
    <xf numFmtId="0" fontId="16" fillId="2" borderId="0" xfId="0" applyFont="1" applyFill="1" applyAlignment="1">
      <alignment horizontal="left" vertical="top"/>
    </xf>
    <xf numFmtId="0" fontId="6" fillId="2" borderId="0" xfId="0" applyFont="1" applyFill="1" applyBorder="1"/>
    <xf numFmtId="9" fontId="6" fillId="2" borderId="0" xfId="1" applyFont="1" applyFill="1" applyBorder="1"/>
    <xf numFmtId="4" fontId="6" fillId="2" borderId="4" xfId="0" applyNumberFormat="1" applyFont="1" applyFill="1" applyBorder="1"/>
    <xf numFmtId="0" fontId="1" fillId="0" borderId="0" xfId="0" applyFont="1"/>
    <xf numFmtId="165" fontId="5" fillId="2" borderId="0" xfId="9" applyNumberFormat="1" applyFont="1" applyFill="1" applyAlignment="1">
      <alignment horizontal="center"/>
    </xf>
    <xf numFmtId="164" fontId="5" fillId="4" borderId="0" xfId="6" applyFont="1" applyFill="1" applyBorder="1" applyAlignment="1">
      <alignment horizontal="center"/>
    </xf>
    <xf numFmtId="0" fontId="1" fillId="2" borderId="1" xfId="4" applyFont="1" applyFill="1" applyBorder="1" applyAlignment="1" applyProtection="1">
      <alignment horizontal="center" vertical="center"/>
      <protection hidden="1"/>
    </xf>
    <xf numFmtId="0" fontId="1" fillId="4" borderId="1" xfId="8" applyFont="1" applyFill="1" applyBorder="1" applyAlignment="1">
      <alignment horizontal="center" vertical="center" wrapText="1"/>
    </xf>
    <xf numFmtId="0" fontId="17" fillId="2" borderId="0" xfId="7" applyFont="1" applyFill="1" applyAlignment="1">
      <alignment horizontal="left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9" fillId="0" borderId="1" xfId="4" applyFont="1" applyBorder="1" applyAlignment="1">
      <alignment horizontal="center"/>
    </xf>
    <xf numFmtId="0" fontId="18" fillId="0" borderId="0" xfId="0" applyFont="1"/>
    <xf numFmtId="0" fontId="11" fillId="0" borderId="0" xfId="0" applyFont="1"/>
    <xf numFmtId="0" fontId="1" fillId="0" borderId="0" xfId="0" applyFont="1" applyFill="1" applyAlignment="1">
      <alignment horizontal="right"/>
    </xf>
    <xf numFmtId="0" fontId="1" fillId="0" borderId="0" xfId="0" applyFont="1" applyFill="1"/>
    <xf numFmtId="0" fontId="9" fillId="0" borderId="0" xfId="3" applyFont="1"/>
    <xf numFmtId="0" fontId="5" fillId="0" borderId="0" xfId="0" applyFont="1"/>
    <xf numFmtId="0" fontId="18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6" fillId="5" borderId="1" xfId="0" applyFont="1" applyFill="1" applyBorder="1" applyAlignment="1">
      <alignment horizontal="center"/>
    </xf>
  </cellXfs>
  <cellStyles count="10">
    <cellStyle name="Millares" xfId="6" builtinId="3"/>
    <cellStyle name="Normal" xfId="0" builtinId="0"/>
    <cellStyle name="Normal 2 10" xfId="4" xr:uid="{AE3EA1E3-5785-4CAA-9F50-0E4457E9B652}"/>
    <cellStyle name="Normal 2 2" xfId="8" xr:uid="{EC04CC85-B070-4147-9649-1670DC3FFB43}"/>
    <cellStyle name="Normal 2 3 2 5" xfId="3" xr:uid="{FDE18558-2BDC-4A83-95AB-52011602CA46}"/>
    <cellStyle name="Normal 3 2" xfId="2" xr:uid="{7EA4A853-3838-46A0-B1D0-102869E9D029}"/>
    <cellStyle name="Normal 7" xfId="5" xr:uid="{727C363A-9C75-41B3-95C8-25407905C4F2}"/>
    <cellStyle name="Normal_2102 Sumaria de Efectivo y Equivalentes" xfId="9" xr:uid="{C6BC81AA-0C72-4BF2-A10F-ABC5022840E6}"/>
    <cellStyle name="Normal_2102.1.1 Analisis de Partidas Conciliatorias" xfId="7" xr:uid="{2304D09C-2266-4F07-BF85-4921D7CC9B43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b="1">
                <a:solidFill>
                  <a:schemeClr val="accent5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CONCENTRACIÓN</a:t>
            </a:r>
            <a:r>
              <a:rPr lang="en-US" b="1" baseline="0">
                <a:solidFill>
                  <a:schemeClr val="accent5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DE CLIENTES</a:t>
            </a:r>
            <a:endParaRPr lang="en-US" b="1">
              <a:solidFill>
                <a:schemeClr val="accent5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layout>
        <c:manualLayout>
          <c:xMode val="edge"/>
          <c:yMode val="edge"/>
          <c:x val="3.9510795416307164E-4"/>
          <c:y val="5.3095557502081672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32100936937778918"/>
          <c:y val="0.17121050464324392"/>
          <c:w val="0.35501390219397649"/>
          <c:h val="0.73737882323594706"/>
        </c:manualLayout>
      </c:layout>
      <c:pieChart>
        <c:varyColors val="1"/>
        <c:ser>
          <c:idx val="1"/>
          <c:order val="0"/>
          <c:tx>
            <c:strRef>
              <c:f>'130.05'!$D$35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8E-4283-98DC-D94EAA46EC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8E-4283-98DC-D94EAA46EC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8E-4283-98DC-D94EAA46EC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8E-4283-98DC-D94EAA46EC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8E-4283-98DC-D94EAA46EC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8E-4283-98DC-D94EAA46EC7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8E-4283-98DC-D94EAA46EC7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D8E-4283-98DC-D94EAA46EC7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D8E-4283-98DC-D94EAA46EC7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D8E-4283-98DC-D94EAA46EC77}"/>
              </c:ext>
            </c:extLst>
          </c:dPt>
          <c:dLbls>
            <c:dLbl>
              <c:idx val="6"/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343115493352648"/>
                      <c:h val="2.62943659644434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CD8E-4283-98DC-D94EAA46EC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0" rIns="72000" bIns="0" anchor="b" anchorCtr="1">
                <a:no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EC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numRef>
              <c:f>'130.05'!$B$36:$B$45</c:f>
              <c:numCache>
                <c:formatCode>General</c:formatCode>
                <c:ptCount val="10"/>
              </c:numCache>
            </c:numRef>
          </c:cat>
          <c:val>
            <c:numRef>
              <c:f>'130.05'!$D$36:$D$45</c:f>
              <c:numCache>
                <c:formatCode>0%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D8E-4283-98DC-D94EAA46EC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3174</xdr:colOff>
      <xdr:row>33</xdr:row>
      <xdr:rowOff>92072</xdr:rowOff>
    </xdr:from>
    <xdr:to>
      <xdr:col>14</xdr:col>
      <xdr:colOff>0</xdr:colOff>
      <xdr:row>56</xdr:row>
      <xdr:rowOff>140322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BD8498-FE99-4CC9-88F1-FC227B6C7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3643317</xdr:colOff>
      <xdr:row>46</xdr:row>
      <xdr:rowOff>71438</xdr:rowOff>
    </xdr:from>
    <xdr:ext cx="192088" cy="192088"/>
    <xdr:pic>
      <xdr:nvPicPr>
        <xdr:cNvPr id="4" name="Imagen 3">
          <a:extLst>
            <a:ext uri="{FF2B5EF4-FFF2-40B4-BE49-F238E27FC236}">
              <a16:creationId xmlns:a16="http://schemas.microsoft.com/office/drawing/2014/main" id="{F3ED61FD-2FD6-475D-A366-7733B044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0692" y="6667501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88107</xdr:colOff>
      <xdr:row>62</xdr:row>
      <xdr:rowOff>16669</xdr:rowOff>
    </xdr:from>
    <xdr:ext cx="158750" cy="158750"/>
    <xdr:pic>
      <xdr:nvPicPr>
        <xdr:cNvPr id="5" name="Imagen 4">
          <a:extLst>
            <a:ext uri="{FF2B5EF4-FFF2-40B4-BE49-F238E27FC236}">
              <a16:creationId xmlns:a16="http://schemas.microsoft.com/office/drawing/2014/main" id="{C0F43A20-5818-4185-BB8A-9898233F8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7" y="161357469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352424</xdr:colOff>
      <xdr:row>32</xdr:row>
      <xdr:rowOff>87310</xdr:rowOff>
    </xdr:from>
    <xdr:to>
      <xdr:col>3</xdr:col>
      <xdr:colOff>563721</xdr:colOff>
      <xdr:row>33</xdr:row>
      <xdr:rowOff>150970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66CE6C1-8077-4741-B2EE-334AAF9C3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1612" y="5040310"/>
          <a:ext cx="211297" cy="222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97714</xdr:colOff>
      <xdr:row>63</xdr:row>
      <xdr:rowOff>18336</xdr:rowOff>
    </xdr:from>
    <xdr:to>
      <xdr:col>0</xdr:col>
      <xdr:colOff>272339</xdr:colOff>
      <xdr:row>64</xdr:row>
      <xdr:rowOff>32624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D234842-C611-4EA3-8993-CE8E42D48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14" y="161162286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OS_FREDDY_FREDDY/FREDDY/Impuestos%202010/FREDDY%20RETENFTE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2010"/>
      <sheetName val="FEBRER2010"/>
      <sheetName val="marzo2010"/>
      <sheetName val="ABRIL 2010"/>
      <sheetName val="MAYO 2010"/>
      <sheetName val="JUNIO 2010"/>
      <sheetName val="JULIO 2010"/>
      <sheetName val="AGOSTO 2010"/>
      <sheetName val="SEPTIEMBRE 2010"/>
      <sheetName val="OCTUBRE 2010"/>
      <sheetName val="anaislis"/>
      <sheetName val="42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D2">
            <v>-88.39</v>
          </cell>
        </row>
        <row r="3">
          <cell r="D3">
            <v>-114.85</v>
          </cell>
        </row>
        <row r="4">
          <cell r="D4">
            <v>-2325.75</v>
          </cell>
        </row>
        <row r="5">
          <cell r="D5">
            <v>-135.55000000000001</v>
          </cell>
        </row>
        <row r="6">
          <cell r="D6">
            <v>-126.5</v>
          </cell>
        </row>
        <row r="7">
          <cell r="D7">
            <v>-437.91</v>
          </cell>
        </row>
        <row r="8">
          <cell r="D8">
            <v>-325.48</v>
          </cell>
        </row>
        <row r="9">
          <cell r="D9">
            <v>-231.03</v>
          </cell>
        </row>
        <row r="10">
          <cell r="D10">
            <v>-235.11</v>
          </cell>
        </row>
        <row r="11">
          <cell r="D11">
            <v>-684.9</v>
          </cell>
        </row>
        <row r="12">
          <cell r="D12">
            <v>-247</v>
          </cell>
        </row>
        <row r="13">
          <cell r="D13">
            <v>-461.61</v>
          </cell>
        </row>
        <row r="14">
          <cell r="D14">
            <v>-552.9</v>
          </cell>
        </row>
        <row r="15">
          <cell r="D15">
            <v>-17</v>
          </cell>
        </row>
        <row r="16">
          <cell r="D16">
            <v>-1006.95</v>
          </cell>
        </row>
        <row r="17">
          <cell r="D17">
            <v>-139.22999999999999</v>
          </cell>
        </row>
        <row r="18">
          <cell r="D18">
            <v>-2112.71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C173-D2C7-4289-8C3C-FDC31F2C6CF7}">
  <dimension ref="A2:N86"/>
  <sheetViews>
    <sheetView showGridLines="0" tabSelected="1" zoomScale="80" zoomScaleNormal="80" workbookViewId="0">
      <selection activeCell="F28" sqref="F28"/>
    </sheetView>
  </sheetViews>
  <sheetFormatPr baseColWidth="10" defaultColWidth="10.81640625" defaultRowHeight="12.5" x14ac:dyDescent="0.25"/>
  <cols>
    <col min="1" max="1" width="7.1796875" style="1" customWidth="1"/>
    <col min="2" max="2" width="55.453125" style="1" customWidth="1"/>
    <col min="3" max="3" width="26.1796875" style="1" customWidth="1"/>
    <col min="4" max="4" width="12.1796875" style="1" customWidth="1"/>
    <col min="5" max="5" width="7.1796875" style="1" customWidth="1"/>
    <col min="6" max="11" width="10.81640625" style="1"/>
    <col min="12" max="14" width="14.26953125" style="1" customWidth="1"/>
    <col min="15" max="16384" width="10.81640625" style="1"/>
  </cols>
  <sheetData>
    <row r="2" spans="1:14" x14ac:dyDescent="0.25">
      <c r="A2" s="7"/>
      <c r="B2" s="17"/>
      <c r="C2" s="17"/>
      <c r="D2" s="7"/>
      <c r="E2" s="7"/>
      <c r="F2" s="7"/>
      <c r="G2" s="7"/>
      <c r="H2" s="7"/>
      <c r="L2" s="27" t="s">
        <v>4</v>
      </c>
      <c r="M2" s="27" t="s">
        <v>3</v>
      </c>
      <c r="N2" s="28" t="s">
        <v>8</v>
      </c>
    </row>
    <row r="3" spans="1:14" x14ac:dyDescent="0.25">
      <c r="A3" s="7"/>
      <c r="B3" s="6"/>
      <c r="C3" s="6"/>
      <c r="D3" s="7"/>
      <c r="E3" s="7"/>
      <c r="F3" s="7"/>
      <c r="G3" s="7"/>
      <c r="H3" s="7"/>
      <c r="L3" s="38" t="s">
        <v>23</v>
      </c>
      <c r="M3" s="39" t="s">
        <v>23</v>
      </c>
      <c r="N3" s="29" t="s">
        <v>48</v>
      </c>
    </row>
    <row r="4" spans="1:14" x14ac:dyDescent="0.25">
      <c r="A4" s="7"/>
      <c r="B4" s="6"/>
      <c r="C4" s="6"/>
      <c r="D4" s="7"/>
      <c r="E4" s="7"/>
      <c r="F4" s="7"/>
      <c r="G4" s="7"/>
      <c r="H4" s="7"/>
      <c r="I4" s="16"/>
      <c r="J4" s="15"/>
      <c r="K4" s="7"/>
    </row>
    <row r="5" spans="1:14" x14ac:dyDescent="0.25">
      <c r="A5" s="7"/>
      <c r="B5" s="6"/>
      <c r="C5" s="6"/>
      <c r="D5" s="7"/>
      <c r="E5" s="7"/>
      <c r="F5" s="7"/>
      <c r="G5" s="7"/>
      <c r="H5" s="7"/>
      <c r="I5" s="16"/>
      <c r="J5" s="15"/>
      <c r="K5" s="7"/>
    </row>
    <row r="6" spans="1:14" s="20" customFormat="1" x14ac:dyDescent="0.25">
      <c r="A6" s="18"/>
      <c r="B6" s="21" t="s">
        <v>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x14ac:dyDescent="0.25">
      <c r="A7" s="7"/>
      <c r="B7" s="21" t="s">
        <v>6</v>
      </c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x14ac:dyDescent="0.25">
      <c r="A8" s="7"/>
      <c r="B8" s="21" t="s">
        <v>24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x14ac:dyDescent="0.25">
      <c r="A9" s="7"/>
      <c r="B9" s="31" t="s">
        <v>41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ht="6" customHeight="1" thickBot="1" x14ac:dyDescent="0.3">
      <c r="A10" s="7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3" thickTop="1" x14ac:dyDescent="0.25">
      <c r="A11" s="7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spans="1:14" x14ac:dyDescent="0.25">
      <c r="B12" s="23" t="s">
        <v>2</v>
      </c>
      <c r="C12" s="9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4" ht="7" customHeight="1" x14ac:dyDescent="0.25">
      <c r="B13" s="23"/>
      <c r="C13" s="9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4" x14ac:dyDescent="0.25">
      <c r="A14" s="8"/>
      <c r="B14" s="1" t="s">
        <v>42</v>
      </c>
      <c r="C14" s="12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4" x14ac:dyDescent="0.25">
      <c r="A15" s="8"/>
      <c r="C15" s="12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4" x14ac:dyDescent="0.25">
      <c r="A16" s="8"/>
      <c r="B16" s="23" t="s">
        <v>7</v>
      </c>
      <c r="C16" s="35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7" customHeight="1" x14ac:dyDescent="0.25">
      <c r="A17" s="8"/>
      <c r="B17" s="23"/>
      <c r="C17" s="35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8"/>
      <c r="B18" s="23"/>
      <c r="C18" s="35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8"/>
      <c r="B19" s="40"/>
      <c r="C19" s="41" t="s">
        <v>27</v>
      </c>
      <c r="D19" s="41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25">
      <c r="A20" s="8"/>
      <c r="B20" s="42" t="s">
        <v>9</v>
      </c>
      <c r="C20" s="43" t="s">
        <v>10</v>
      </c>
      <c r="D20" s="43" t="s">
        <v>10</v>
      </c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25">
      <c r="A21" s="8"/>
      <c r="B21" s="42" t="s">
        <v>11</v>
      </c>
      <c r="C21" s="43" t="s">
        <v>10</v>
      </c>
      <c r="D21" s="43" t="s">
        <v>10</v>
      </c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25">
      <c r="A22" s="8"/>
      <c r="B22" s="42" t="s">
        <v>12</v>
      </c>
      <c r="C22" s="43" t="s">
        <v>10</v>
      </c>
      <c r="D22" s="43" t="s">
        <v>10</v>
      </c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25">
      <c r="A23" s="8"/>
      <c r="C23" s="12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25">
      <c r="A24" s="8"/>
      <c r="B24" s="11"/>
      <c r="C24" s="11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s="8"/>
      <c r="B25" s="23" t="s">
        <v>19</v>
      </c>
      <c r="C25" s="9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7" customHeight="1" x14ac:dyDescent="0.25">
      <c r="A26" s="8"/>
      <c r="B26" s="23"/>
      <c r="C26" s="9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25">
      <c r="A27" s="8" t="s">
        <v>13</v>
      </c>
      <c r="B27" s="10" t="s">
        <v>45</v>
      </c>
      <c r="C27" s="9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25">
      <c r="A28" s="8" t="s">
        <v>14</v>
      </c>
      <c r="B28" s="10" t="s">
        <v>46</v>
      </c>
      <c r="C28" s="9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25">
      <c r="A29" s="8" t="s">
        <v>15</v>
      </c>
      <c r="B29" s="1" t="s">
        <v>18</v>
      </c>
    </row>
    <row r="30" spans="1:13" x14ac:dyDescent="0.25">
      <c r="A30" s="8" t="s">
        <v>16</v>
      </c>
      <c r="B30" s="47" t="s">
        <v>47</v>
      </c>
    </row>
    <row r="31" spans="1:13" x14ac:dyDescent="0.25">
      <c r="A31" s="46" t="s">
        <v>17</v>
      </c>
      <c r="B31" s="48" t="s">
        <v>49</v>
      </c>
    </row>
    <row r="32" spans="1:13" x14ac:dyDescent="0.25">
      <c r="A32" s="46"/>
      <c r="B32" s="45"/>
    </row>
    <row r="34" spans="2:5" x14ac:dyDescent="0.25">
      <c r="B34" s="36"/>
      <c r="C34" s="30"/>
    </row>
    <row r="35" spans="2:5" x14ac:dyDescent="0.25">
      <c r="B35" s="22" t="s">
        <v>29</v>
      </c>
      <c r="C35" s="22" t="s">
        <v>30</v>
      </c>
      <c r="D35" s="22" t="s">
        <v>1</v>
      </c>
    </row>
    <row r="36" spans="2:5" x14ac:dyDescent="0.25">
      <c r="B36" s="5"/>
      <c r="C36" s="4">
        <v>1</v>
      </c>
      <c r="D36" s="3">
        <f>+C36/$C$48</f>
        <v>1</v>
      </c>
    </row>
    <row r="37" spans="2:5" x14ac:dyDescent="0.25">
      <c r="B37" s="5"/>
      <c r="C37" s="4">
        <v>0</v>
      </c>
      <c r="D37" s="3">
        <f t="shared" ref="D37:D45" si="0">+C37/$C$48</f>
        <v>0</v>
      </c>
    </row>
    <row r="38" spans="2:5" x14ac:dyDescent="0.25">
      <c r="B38" s="5"/>
      <c r="C38" s="4">
        <v>0</v>
      </c>
      <c r="D38" s="3">
        <f t="shared" si="0"/>
        <v>0</v>
      </c>
    </row>
    <row r="39" spans="2:5" x14ac:dyDescent="0.25">
      <c r="B39" s="5"/>
      <c r="C39" s="4">
        <v>0</v>
      </c>
      <c r="D39" s="3">
        <f t="shared" si="0"/>
        <v>0</v>
      </c>
    </row>
    <row r="40" spans="2:5" x14ac:dyDescent="0.25">
      <c r="B40" s="5"/>
      <c r="C40" s="4">
        <v>0</v>
      </c>
      <c r="D40" s="3">
        <f t="shared" si="0"/>
        <v>0</v>
      </c>
    </row>
    <row r="41" spans="2:5" x14ac:dyDescent="0.25">
      <c r="B41" s="5"/>
      <c r="C41" s="4">
        <v>0</v>
      </c>
      <c r="D41" s="3">
        <f t="shared" si="0"/>
        <v>0</v>
      </c>
    </row>
    <row r="42" spans="2:5" x14ac:dyDescent="0.25">
      <c r="B42" s="5"/>
      <c r="C42" s="4">
        <v>0</v>
      </c>
      <c r="D42" s="3">
        <f t="shared" si="0"/>
        <v>0</v>
      </c>
    </row>
    <row r="43" spans="2:5" x14ac:dyDescent="0.25">
      <c r="B43" s="5"/>
      <c r="C43" s="4">
        <v>0</v>
      </c>
      <c r="D43" s="3">
        <f t="shared" si="0"/>
        <v>0</v>
      </c>
    </row>
    <row r="44" spans="2:5" x14ac:dyDescent="0.25">
      <c r="B44" s="5"/>
      <c r="C44" s="4">
        <v>0</v>
      </c>
      <c r="D44" s="3">
        <f t="shared" si="0"/>
        <v>0</v>
      </c>
    </row>
    <row r="45" spans="2:5" x14ac:dyDescent="0.25">
      <c r="B45" s="5"/>
      <c r="C45" s="4">
        <v>0</v>
      </c>
      <c r="D45" s="3">
        <f t="shared" si="0"/>
        <v>0</v>
      </c>
    </row>
    <row r="46" spans="2:5" x14ac:dyDescent="0.25">
      <c r="B46" s="5"/>
      <c r="C46" s="4">
        <v>0</v>
      </c>
      <c r="D46" s="3">
        <f>+C46/$C$48</f>
        <v>0</v>
      </c>
    </row>
    <row r="47" spans="2:5" ht="6.5" customHeight="1" x14ac:dyDescent="0.25">
      <c r="B47" s="35"/>
      <c r="C47" s="35"/>
      <c r="D47" s="35"/>
    </row>
    <row r="48" spans="2:5" ht="13" thickBot="1" x14ac:dyDescent="0.3">
      <c r="B48" s="32"/>
      <c r="C48" s="34">
        <f>SUM(C36:C47)</f>
        <v>1</v>
      </c>
      <c r="D48" s="33">
        <f>SUM(D36:D46)</f>
        <v>1</v>
      </c>
      <c r="E48" s="2"/>
    </row>
    <row r="49" spans="1:4" ht="13" thickTop="1" x14ac:dyDescent="0.25">
      <c r="B49" s="35"/>
      <c r="C49" s="49" t="s">
        <v>51</v>
      </c>
      <c r="D49" s="35"/>
    </row>
    <row r="50" spans="1:4" x14ac:dyDescent="0.25">
      <c r="B50" s="35"/>
      <c r="C50" s="35"/>
      <c r="D50" s="35"/>
    </row>
    <row r="51" spans="1:4" x14ac:dyDescent="0.25">
      <c r="B51" s="52" t="s">
        <v>43</v>
      </c>
      <c r="C51" s="52"/>
      <c r="D51" s="52"/>
    </row>
    <row r="52" spans="1:4" x14ac:dyDescent="0.25">
      <c r="B52" s="35"/>
      <c r="C52" s="35"/>
      <c r="D52" s="35"/>
    </row>
    <row r="53" spans="1:4" x14ac:dyDescent="0.25">
      <c r="B53" s="50" t="s">
        <v>44</v>
      </c>
      <c r="C53" s="51"/>
      <c r="D53" s="51"/>
    </row>
    <row r="54" spans="1:4" x14ac:dyDescent="0.25">
      <c r="B54" s="51"/>
      <c r="C54" s="51"/>
      <c r="D54" s="51"/>
    </row>
    <row r="55" spans="1:4" x14ac:dyDescent="0.25">
      <c r="B55" s="51"/>
      <c r="C55" s="51"/>
      <c r="D55" s="51"/>
    </row>
    <row r="56" spans="1:4" x14ac:dyDescent="0.25">
      <c r="B56" s="51"/>
      <c r="C56" s="51"/>
      <c r="D56" s="51"/>
    </row>
    <row r="57" spans="1:4" x14ac:dyDescent="0.25">
      <c r="B57" s="51"/>
      <c r="C57" s="51"/>
      <c r="D57" s="51"/>
    </row>
    <row r="61" spans="1:4" x14ac:dyDescent="0.25">
      <c r="B61" s="23" t="s">
        <v>20</v>
      </c>
    </row>
    <row r="62" spans="1:4" ht="7" customHeight="1" x14ac:dyDescent="0.25">
      <c r="B62" s="23"/>
    </row>
    <row r="63" spans="1:4" x14ac:dyDescent="0.25">
      <c r="A63" s="37"/>
      <c r="B63" s="30" t="s">
        <v>21</v>
      </c>
    </row>
    <row r="64" spans="1:4" x14ac:dyDescent="0.25">
      <c r="A64" s="37"/>
      <c r="B64" s="30" t="s">
        <v>22</v>
      </c>
    </row>
    <row r="65" spans="1:2" x14ac:dyDescent="0.25">
      <c r="A65" s="37"/>
      <c r="B65" s="30"/>
    </row>
    <row r="66" spans="1:2" x14ac:dyDescent="0.25">
      <c r="A66" s="37"/>
      <c r="B66" s="23" t="s">
        <v>50</v>
      </c>
    </row>
    <row r="67" spans="1:2" ht="7" customHeight="1" x14ac:dyDescent="0.25">
      <c r="A67" s="37"/>
      <c r="B67" s="23"/>
    </row>
    <row r="68" spans="1:2" x14ac:dyDescent="0.25">
      <c r="A68" s="37" t="s">
        <v>31</v>
      </c>
      <c r="B68" s="23"/>
    </row>
    <row r="69" spans="1:2" x14ac:dyDescent="0.25">
      <c r="A69" s="37" t="s">
        <v>32</v>
      </c>
      <c r="B69" s="23"/>
    </row>
    <row r="70" spans="1:2" x14ac:dyDescent="0.25">
      <c r="A70" s="37" t="s">
        <v>33</v>
      </c>
      <c r="B70" s="23"/>
    </row>
    <row r="71" spans="1:2" x14ac:dyDescent="0.25">
      <c r="A71" s="37"/>
      <c r="B71" s="23"/>
    </row>
    <row r="72" spans="1:2" x14ac:dyDescent="0.25">
      <c r="A72" s="37"/>
      <c r="B72" s="23" t="s">
        <v>25</v>
      </c>
    </row>
    <row r="73" spans="1:2" ht="7" customHeight="1" x14ac:dyDescent="0.25">
      <c r="A73" s="37"/>
      <c r="B73" s="23"/>
    </row>
    <row r="74" spans="1:2" x14ac:dyDescent="0.25">
      <c r="A74" s="37" t="s">
        <v>34</v>
      </c>
      <c r="B74" s="23"/>
    </row>
    <row r="75" spans="1:2" x14ac:dyDescent="0.25">
      <c r="A75" s="37" t="s">
        <v>35</v>
      </c>
      <c r="B75" s="23"/>
    </row>
    <row r="76" spans="1:2" x14ac:dyDescent="0.25">
      <c r="A76" s="37" t="s">
        <v>36</v>
      </c>
      <c r="B76" s="23"/>
    </row>
    <row r="77" spans="1:2" x14ac:dyDescent="0.25">
      <c r="A77" s="37"/>
      <c r="B77" s="30"/>
    </row>
    <row r="78" spans="1:2" x14ac:dyDescent="0.25">
      <c r="A78" s="37"/>
      <c r="B78" s="23" t="s">
        <v>26</v>
      </c>
    </row>
    <row r="79" spans="1:2" ht="7" customHeight="1" x14ac:dyDescent="0.25">
      <c r="A79" s="37"/>
      <c r="B79" s="23"/>
    </row>
    <row r="80" spans="1:2" x14ac:dyDescent="0.25">
      <c r="A80" s="37" t="s">
        <v>37</v>
      </c>
      <c r="B80" s="23"/>
    </row>
    <row r="81" spans="1:2" x14ac:dyDescent="0.25">
      <c r="A81" s="37" t="s">
        <v>38</v>
      </c>
      <c r="B81" s="23"/>
    </row>
    <row r="82" spans="1:2" x14ac:dyDescent="0.25">
      <c r="A82" s="37" t="s">
        <v>39</v>
      </c>
      <c r="B82" s="23"/>
    </row>
    <row r="83" spans="1:2" x14ac:dyDescent="0.25">
      <c r="A83" s="37"/>
      <c r="B83" s="30"/>
    </row>
    <row r="84" spans="1:2" x14ac:dyDescent="0.25">
      <c r="A84" s="35"/>
      <c r="B84" s="23" t="s">
        <v>0</v>
      </c>
    </row>
    <row r="85" spans="1:2" ht="7" customHeight="1" x14ac:dyDescent="0.25">
      <c r="A85" s="35"/>
      <c r="B85" s="23"/>
    </row>
    <row r="86" spans="1:2" x14ac:dyDescent="0.25">
      <c r="B86" s="44" t="s">
        <v>40</v>
      </c>
    </row>
  </sheetData>
  <autoFilter ref="B35:D57" xr:uid="{6F69AEB5-BD29-45D9-879E-72ABFBC16848}">
    <sortState xmlns:xlrd2="http://schemas.microsoft.com/office/spreadsheetml/2017/richdata2" ref="B36:D57">
      <sortCondition descending="1" ref="D35:D57"/>
    </sortState>
  </autoFilter>
  <mergeCells count="2">
    <mergeCell ref="B53:D57"/>
    <mergeCell ref="B51:D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130.05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Ortiz</dc:creator>
  <cp:lastModifiedBy>Admin</cp:lastModifiedBy>
  <dcterms:created xsi:type="dcterms:W3CDTF">2023-08-23T20:01:30Z</dcterms:created>
  <dcterms:modified xsi:type="dcterms:W3CDTF">2026-04-16T23:59:44Z</dcterms:modified>
</cp:coreProperties>
</file>