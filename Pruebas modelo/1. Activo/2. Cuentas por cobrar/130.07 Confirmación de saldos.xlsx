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2. Cuentas por cobrar\"/>
    </mc:Choice>
  </mc:AlternateContent>
  <xr:revisionPtr revIDLastSave="0" documentId="13_ncr:1_{28A56A62-CA24-40A2-BFFB-B7DADDB0729B}" xr6:coauthVersionLast="47" xr6:coauthVersionMax="47" xr10:uidLastSave="{00000000-0000-0000-0000-000000000000}"/>
  <bookViews>
    <workbookView xWindow="-110" yWindow="-110" windowWidth="19420" windowHeight="10300" activeTab="1" xr2:uid="{255FBFCB-452C-4B89-9605-F926644F8424}"/>
  </bookViews>
  <sheets>
    <sheet name="130.07.01" sheetId="2" r:id="rId1"/>
    <sheet name="130.07.02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j" localSheetId="1">#REF!</definedName>
    <definedName name="\j">#REF!</definedName>
    <definedName name="\p">#REF!</definedName>
    <definedName name="\z">#REF!</definedName>
    <definedName name="___">NA()</definedName>
    <definedName name="___________a116789" localSheetId="1">#REF!</definedName>
    <definedName name="___________a116789">#REF!</definedName>
    <definedName name="___________A129368" localSheetId="1">#REF!</definedName>
    <definedName name="___________A129368">#REF!</definedName>
    <definedName name="___________A129397" localSheetId="1">#REF!</definedName>
    <definedName name="___________A129397">#REF!</definedName>
    <definedName name="___________dal1">[1]datos!$K$3</definedName>
    <definedName name="___________dal2">[1]datos!$K$4</definedName>
    <definedName name="___________DLU8" localSheetId="1">#REF!</definedName>
    <definedName name="___________DLU8">#REF!</definedName>
    <definedName name="___________xlnm._FilterDatabase_1" localSheetId="1">#REF!</definedName>
    <definedName name="___________xlnm._FilterDatabase_1">#REF!</definedName>
    <definedName name="___________zz12943" localSheetId="1">#REF!</definedName>
    <definedName name="___________zz12943">#REF!</definedName>
    <definedName name="__________a116789">#REF!</definedName>
    <definedName name="__________A129368">#REF!</definedName>
    <definedName name="__________A129397">#REF!</definedName>
    <definedName name="__________dal1">[1]datos!$K$3</definedName>
    <definedName name="__________dal2">[1]datos!$K$4</definedName>
    <definedName name="__________DLU8" localSheetId="1">#REF!</definedName>
    <definedName name="__________DLU8">#REF!</definedName>
    <definedName name="__________xlnm._FilterDatabase_1" localSheetId="1">#REF!</definedName>
    <definedName name="__________xlnm._FilterDatabase_1">#REF!</definedName>
    <definedName name="__________zz12943" localSheetId="1">#REF!</definedName>
    <definedName name="__________zz12943">#REF!</definedName>
    <definedName name="_________a116789">#REF!</definedName>
    <definedName name="_________A129368">#REF!</definedName>
    <definedName name="_________A129397">#REF!</definedName>
    <definedName name="_________dal1">[1]datos!$K$3</definedName>
    <definedName name="_________dal2">[1]datos!$K$4</definedName>
    <definedName name="_________DLU8" localSheetId="1">#REF!</definedName>
    <definedName name="_________DLU8">#REF!</definedName>
    <definedName name="_________xlnm._FilterDatabase_1" localSheetId="1">#REF!</definedName>
    <definedName name="_________xlnm._FilterDatabase_1">#REF!</definedName>
    <definedName name="_________zz12943" localSheetId="1">#REF!</definedName>
    <definedName name="_________zz12943">#REF!</definedName>
    <definedName name="________a116789">#REF!</definedName>
    <definedName name="________A129368">#REF!</definedName>
    <definedName name="________A129397">#REF!</definedName>
    <definedName name="________dal1">[1]datos!$K$3</definedName>
    <definedName name="________dal2">[1]datos!$K$4</definedName>
    <definedName name="________DLU8" localSheetId="1">#REF!</definedName>
    <definedName name="________DLU8">#REF!</definedName>
    <definedName name="________xlnm._FilterDatabase_1" localSheetId="1">#REF!</definedName>
    <definedName name="________xlnm._FilterDatabase_1">#REF!</definedName>
    <definedName name="________zz12943" localSheetId="1">#REF!</definedName>
    <definedName name="________zz12943">#REF!</definedName>
    <definedName name="_______a116789">#REF!</definedName>
    <definedName name="_______A129368">#REF!</definedName>
    <definedName name="_______A129397">#REF!</definedName>
    <definedName name="_______dal1">[1]datos!$K$3</definedName>
    <definedName name="_______dal2">[1]datos!$K$4</definedName>
    <definedName name="_______DLU8" localSheetId="1">#REF!</definedName>
    <definedName name="_______DLU8">#REF!</definedName>
    <definedName name="_______xlnm._FilterDatabase_1" localSheetId="1">#REF!</definedName>
    <definedName name="_______xlnm._FilterDatabase_1">#REF!</definedName>
    <definedName name="_______zz12943" localSheetId="1">#REF!</definedName>
    <definedName name="_______zz12943">#REF!</definedName>
    <definedName name="______a116789">#REF!</definedName>
    <definedName name="______A129368">#REF!</definedName>
    <definedName name="______A129397">#REF!</definedName>
    <definedName name="______dal1">[1]datos!$K$3</definedName>
    <definedName name="______dal2">[1]datos!$K$4</definedName>
    <definedName name="______DLU8" localSheetId="1">#REF!</definedName>
    <definedName name="______DLU8">#REF!</definedName>
    <definedName name="______xlnm._FilterDatabase_1" localSheetId="1">#REF!</definedName>
    <definedName name="______xlnm._FilterDatabase_1">#REF!</definedName>
    <definedName name="______zz12943" localSheetId="1">#REF!</definedName>
    <definedName name="______zz12943">#REF!</definedName>
    <definedName name="_____a116789">#REF!</definedName>
    <definedName name="_____A129368">#REF!</definedName>
    <definedName name="_____A129397">#REF!</definedName>
    <definedName name="_____dal1">[1]datos!$K$3</definedName>
    <definedName name="_____dal2">[1]datos!$K$4</definedName>
    <definedName name="_____DLU8" localSheetId="1">#REF!</definedName>
    <definedName name="_____DLU8">#REF!</definedName>
    <definedName name="_____xlnm._FilterDatabase_1" localSheetId="1">#REF!</definedName>
    <definedName name="_____xlnm._FilterDatabase_1">#REF!</definedName>
    <definedName name="_____zz12943" localSheetId="1">#REF!</definedName>
    <definedName name="_____zz12943">#REF!</definedName>
    <definedName name="____a116789">#REF!</definedName>
    <definedName name="____A129368">#REF!</definedName>
    <definedName name="____A129397">#REF!</definedName>
    <definedName name="____dal1">[1]datos!$K$3</definedName>
    <definedName name="____dal2">[1]datos!$K$4</definedName>
    <definedName name="____DLU8" localSheetId="1">#REF!</definedName>
    <definedName name="____DLU8">#REF!</definedName>
    <definedName name="____xlnm._FilterDatabase_1" localSheetId="1">#REF!</definedName>
    <definedName name="____xlnm._FilterDatabase_1">#REF!</definedName>
    <definedName name="____zz12943" localSheetId="1">#REF!</definedName>
    <definedName name="____zz12943">#REF!</definedName>
    <definedName name="___a116789">#REF!</definedName>
    <definedName name="___A129368">#REF!</definedName>
    <definedName name="___A129397">#REF!</definedName>
    <definedName name="___dal1">[1]datos!$K$3</definedName>
    <definedName name="___dal2">[1]datos!$K$4</definedName>
    <definedName name="___DLU8" localSheetId="1">#REF!</definedName>
    <definedName name="___DLU8">#REF!</definedName>
    <definedName name="___xlnm._FilterDatabase_1" localSheetId="1">#REF!</definedName>
    <definedName name="___xlnm._FilterDatabase_1">#REF!</definedName>
    <definedName name="___zz12943" localSheetId="1">#REF!</definedName>
    <definedName name="___zz12943">#REF!</definedName>
    <definedName name="__a116789">#REF!</definedName>
    <definedName name="__A129368">#REF!</definedName>
    <definedName name="__A129397">#REF!</definedName>
    <definedName name="__Anonymous_Sheet_DB__1">#REF!</definedName>
    <definedName name="__Anonymous_Sheet_DB__2">#REF!</definedName>
    <definedName name="__dal1">[1]datos!$K$3</definedName>
    <definedName name="__dal2">[1]datos!$K$4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2">#REF!</definedName>
    <definedName name="__DAT23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LU8">#REF!</definedName>
    <definedName name="__RSE2">'[2]CMA Calculations'!$N$69</definedName>
    <definedName name="__val2">[3]anaislis!$D$2:$D$18</definedName>
    <definedName name="__xlnm._FilterDatabase_1" localSheetId="1">#REF!</definedName>
    <definedName name="__xlnm._FilterDatabase_1">#REF!</definedName>
    <definedName name="__zz12943" localSheetId="1">#REF!</definedName>
    <definedName name="__zz12943">#REF!</definedName>
    <definedName name="_1Sin_nombre" localSheetId="1">#REF!</definedName>
    <definedName name="_1Sin_nombre">#REF!</definedName>
    <definedName name="_2Sin_nombre_3">#REF!</definedName>
    <definedName name="_a116789">#REF!</definedName>
    <definedName name="_A129368">#REF!</definedName>
    <definedName name="_A129397">#REF!</definedName>
    <definedName name="_A70000">#REF!</definedName>
    <definedName name="_A99999">#REF!</definedName>
    <definedName name="_dal1">[1]datos!$K$3</definedName>
    <definedName name="_dal2">[1]datos!$K$4</definedName>
    <definedName name="_DAT1">#REF!</definedName>
    <definedName name="_DAT10" localSheetId="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LU8">#REF!</definedName>
    <definedName name="_Regression_Int" hidden="1">1</definedName>
    <definedName name="_RSE1" localSheetId="1">#REF!</definedName>
    <definedName name="_RSE1">#REF!</definedName>
    <definedName name="_RSE2" localSheetId="1">#REF!</definedName>
    <definedName name="_RSE2">#REF!</definedName>
    <definedName name="_RSE3" localSheetId="1">'[4]MUS Calculations- Figure 5410.1'!$H$22</definedName>
    <definedName name="_RSE3">'[5]MUS Calculations- Figure 5410.1'!$H$22</definedName>
    <definedName name="_val2">[3]anaislis!$D$2:$D$18</definedName>
    <definedName name="_zz12943" localSheetId="1">#REF!</definedName>
    <definedName name="_zz12943">#REF!</definedName>
    <definedName name="a" localSheetId="1">[6]Cartera!#REF!</definedName>
    <definedName name="a">#REF!</definedName>
    <definedName name="A_IMPRESIÓN_IM" localSheetId="1">#REF!</definedName>
    <definedName name="A_impresión_IM">#REF!</definedName>
    <definedName name="A12939777">#REF!</definedName>
    <definedName name="aa">#REF!</definedName>
    <definedName name="AC">#REF!</definedName>
    <definedName name="ACREEDORES">#REF!</definedName>
    <definedName name="actualcy">[7]Amie!$F$5:$Z$285</definedName>
    <definedName name="actualpy" localSheetId="1">[7]Amie!#REF!</definedName>
    <definedName name="actualpy">[7]Amie!#REF!</definedName>
    <definedName name="ANALISIS">[8]ANASIT!$B$2:$C$332</definedName>
    <definedName name="ARA_Threshold" localSheetId="1">#REF!</definedName>
    <definedName name="ARA_Threshold">#REF!</definedName>
    <definedName name="_xlnm.Print_Area" localSheetId="1">'130.07.02'!$A$1:$H$42</definedName>
    <definedName name="_xlnm.Print_Area">#REF!</definedName>
    <definedName name="ARP_Threshold" localSheetId="1">#REF!</definedName>
    <definedName name="ARP_Threshold">#REF!</definedName>
    <definedName name="arreglo" localSheetId="1">#REF!</definedName>
    <definedName name="arreglo">#REF!</definedName>
    <definedName name="AS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d" localSheetId="1">#REF!</definedName>
    <definedName name="asd">#REF!</definedName>
    <definedName name="asfdasfa" localSheetId="1">#REF!</definedName>
    <definedName name="asfdasfa">#REF!</definedName>
    <definedName name="ASIENTOS">[8]ANASIT!$B$2:$C$332</definedName>
    <definedName name="b" localSheetId="1">[6]Cartera!#REF!</definedName>
    <definedName name="b">[6]Cartera!#REF!</definedName>
    <definedName name="BAL">#N/A</definedName>
    <definedName name="balance" localSheetId="1">#REF!</definedName>
    <definedName name="balance">#REF!</definedName>
    <definedName name="BASE" localSheetId="1">#REF!</definedName>
    <definedName name="BASE">#REF!</definedName>
    <definedName name="BASE2001" localSheetId="1">#REF!</definedName>
    <definedName name="BASE2001">#REF!</definedName>
    <definedName name="BASEBG2001">#REF!</definedName>
    <definedName name="_xlnm.Database">#REF!</definedName>
    <definedName name="basic_level">'[9]Tabla del Límite'!$A$6:$C$11</definedName>
    <definedName name="BBBB" localSheetId="1">#REF!</definedName>
    <definedName name="BBBB">#REF!</definedName>
    <definedName name="Beg_Bal" localSheetId="1">#REF!</definedName>
    <definedName name="Beg_Bal">#REF!</definedName>
    <definedName name="BG_Del" hidden="1">15</definedName>
    <definedName name="BG_Ins" hidden="1">4</definedName>
    <definedName name="BG_Mod" hidden="1">6</definedName>
    <definedName name="bosque" localSheetId="1">#REF!</definedName>
    <definedName name="bosque">#REF!</definedName>
    <definedName name="BuiltIn_Print_Area" localSheetId="1">#REF!</definedName>
    <definedName name="BuiltIn_Print_Area">#REF!</definedName>
    <definedName name="BuiltIn_Print_Area___0" localSheetId="1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___0">#REF!</definedName>
    <definedName name="BuiltIn_Print_Area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carlos">#REF!</definedName>
    <definedName name="CATEGORIAS">[10]Categorias!$C$6:$E$18</definedName>
    <definedName name="cf" localSheetId="1">#REF!</definedName>
    <definedName name="cf">#REF!</definedName>
    <definedName name="ClientName" localSheetId="1">#REF!</definedName>
    <definedName name="ClientName">#REF!</definedName>
    <definedName name="Clients_Population_Total" localSheetId="1">#REF!</definedName>
    <definedName name="Clients_Population_Total">#REF!</definedName>
    <definedName name="COIMM">#REF!</definedName>
    <definedName name="Computed_Sample_Population_Total">#REF!</definedName>
    <definedName name="Conclusión">#REF!</definedName>
    <definedName name="Contab_Provision">#REF!</definedName>
    <definedName name="CONTROL">#REF!</definedName>
    <definedName name="COSTO">#REF!</definedName>
    <definedName name="COSTOCONT">#REF!</definedName>
    <definedName name="COSTOCONTABLE">#REF!</definedName>
    <definedName name="CTROL">'[11]111 a 113 - Disponible'!#REF!</definedName>
    <definedName name="CTROL1" localSheetId="1">#REF!</definedName>
    <definedName name="CTROL1">#REF!</definedName>
    <definedName name="CTROL2" localSheetId="1">#REF!</definedName>
    <definedName name="CTROL2">#REF!</definedName>
    <definedName name="CY_Accounts_Receivable">'[12]Balance Sheet'!$C$10</definedName>
    <definedName name="CY_Cash">'[12]Balance Sheet'!$C$8</definedName>
    <definedName name="CY_Common_Equity">'[12]Balance Sheet'!$C$35</definedName>
    <definedName name="CY_Cost_of_Sales">'[12]Income Statement'!$C$9</definedName>
    <definedName name="CY_Current_Liabilities">'[12]Balance Sheet'!$C$28</definedName>
    <definedName name="CY_Depreciation">'[12]Income Statement'!$C$16</definedName>
    <definedName name="CY_Gross_Profit">'[12]Income Statement'!$C$11</definedName>
    <definedName name="CY_INC_AFT_TAX">'[12]Income Statement'!$C$26</definedName>
    <definedName name="CY_Inc_Bef_Tax">'[12]Income Statement'!$C$22</definedName>
    <definedName name="CY_Interest_Expense">'[12]Income Statement'!$C$20</definedName>
    <definedName name="CY_Inventory">'[12]Balance Sheet'!$C$14</definedName>
    <definedName name="CY_lik_Equity" localSheetId="1">#REF!</definedName>
    <definedName name="CY_lik_Equity">#REF!</definedName>
    <definedName name="CY_lik_Income" localSheetId="1">#REF!</definedName>
    <definedName name="CY_lik_Income">#REF!</definedName>
    <definedName name="CY_lik_Liabs" localSheetId="1">#REF!</definedName>
    <definedName name="CY_lik_Liabs">#REF!</definedName>
    <definedName name="CY_lik_RetEarn_bf">#REF!</definedName>
    <definedName name="CY_Long_term_Debt__excl_Dfd_Taxes">'[12]Balance Sheet'!$C$29</definedName>
    <definedName name="CY_Net_Revenue">'[12]Income Statement'!$C$8</definedName>
    <definedName name="CY_QUICK_ASSETS">'[12]Balance Sheet'!$C$12</definedName>
    <definedName name="CY_Taxes">'[12]Income Statement'!$C$24</definedName>
    <definedName name="CY_TOTAL_ASSETS">'[12]Balance Sheet'!$C$25</definedName>
    <definedName name="CY_TOTAL_CURR_ASSETS">'[12]Balance Sheet'!$C$18</definedName>
    <definedName name="CY_TOTAL_DEBT">'[12]Balance Sheet'!$C$32</definedName>
    <definedName name="CY_TOTAL_EQUITY">'[12]Balance Sheet'!$C$38</definedName>
    <definedName name="CY_Trade_Payables">'[12]Balance Sheet'!$C$27</definedName>
    <definedName name="CY_tx_all_Equity" localSheetId="1">#REF!</definedName>
    <definedName name="CY_tx_all_Equity">#REF!</definedName>
    <definedName name="CY_tx_all_Income" localSheetId="1">#REF!</definedName>
    <definedName name="CY_tx_all_Income">#REF!</definedName>
    <definedName name="CY_tx_all_Liabs" localSheetId="1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Year_Income_Statement">'[12]Income Statement'!$C$3</definedName>
    <definedName name="d" localSheetId="1">[6]Cartera!#REF!</definedName>
    <definedName name="D">#REF!</definedName>
    <definedName name="daf" localSheetId="1">#REF!</definedName>
    <definedName name="daf">#REF!</definedName>
    <definedName name="Data" localSheetId="1">#REF!</definedName>
    <definedName name="Data">#REF!</definedName>
    <definedName name="datos">#REF!</definedName>
    <definedName name="DBDA" localSheetId="1">[13]Hoja3!$Q$41</definedName>
    <definedName name="DBDA">[14]Hoja3!$Q$41</definedName>
    <definedName name="detalle" localSheetId="1">#REF!</definedName>
    <definedName name="detalle">#REF!</definedName>
    <definedName name="dffd" localSheetId="1">Scheduled_Payment+Extra_Payment</definedName>
    <definedName name="dffd">Scheduled_Payment+Extra_Payment</definedName>
    <definedName name="DI" localSheetId="1">'[15]VEG. $ NEC'!#REF!</definedName>
    <definedName name="DI">'[15]VEG. $ NEC'!#REF!</definedName>
    <definedName name="DICIEMBRE">[16]DICIEMBRE!$A$2:$G$67</definedName>
    <definedName name="DMEI" localSheetId="1">[13]Hoja2!$Q$41</definedName>
    <definedName name="DMEI">[14]Hoja2!$Q$41</definedName>
    <definedName name="DS2PLHeader" localSheetId="1">#REF!</definedName>
    <definedName name="DS2PLHeader">#REF!</definedName>
    <definedName name="DS7RevProdHeader" localSheetId="1">#REF!</definedName>
    <definedName name="DS7RevProdHeader">#REF!</definedName>
    <definedName name="DS9PLFuncHeader" localSheetId="1">#REF!</definedName>
    <definedName name="DS9PLFuncHeader">#REF!</definedName>
    <definedName name="End_Bal">#REF!</definedName>
    <definedName name="EndFSPeriod">#REF!</definedName>
    <definedName name="Extra_Pay">#REF!</definedName>
    <definedName name="FolderItemNumber">#REF!</definedName>
    <definedName name="FolderItemTitle">#REF!</definedName>
    <definedName name="FTESFORE">#REF!</definedName>
    <definedName name="FTESYTD">#REF!</definedName>
    <definedName name="Full_Print">#REF!</definedName>
    <definedName name="_xlnm.Recorder">#REF!</definedName>
    <definedName name="Header_Row">ROW(#REF!)</definedName>
    <definedName name="HOJA">#REF!</definedName>
    <definedName name="inicial">#REF!</definedName>
    <definedName name="Int">#REF!</definedName>
    <definedName name="INTANGIBLES">#REF!</definedName>
    <definedName name="Interest_Rate">#REF!</definedName>
    <definedName name="interm_level">'[9]Tabla del Límite'!$D$6:$F$11</definedName>
    <definedName name="Interval" localSheetId="1">#REF!</definedName>
    <definedName name="Interval">#REF!</definedName>
    <definedName name="J" localSheetId="1">#REF!</definedName>
    <definedName name="J">#REF!</definedName>
    <definedName name="jj" localSheetId="1">Scheduled_Payment+Extra_Payment</definedName>
    <definedName name="jj">Scheduled_Payment+Extra_Payment</definedName>
    <definedName name="jkñl" localSheetId="1">#REF!</definedName>
    <definedName name="jkñl">#REF!</definedName>
    <definedName name="juan" localSheetId="1">#REF!</definedName>
    <definedName name="juan">#REF!</definedName>
    <definedName name="L_AJE_Tot">[17]Links!$G$1:$G$65536</definedName>
    <definedName name="L_CY_Beg" localSheetId="1">[18]Links!$F:$F</definedName>
    <definedName name="L_CY_Beg">[17]Links!$F$1:$F$65536</definedName>
    <definedName name="L_CY_End">[17]Links!$J$1:$J$65536</definedName>
    <definedName name="L_PY_End">[17]Links!$K$1:$K$65536</definedName>
    <definedName name="L_RJE_Tot">[17]Links!$I$1:$I$65536</definedName>
    <definedName name="Last_Row" localSheetId="1">IF('130.07.02'!Values_Entered,Header_Row+'130.07.02'!Number_of_Payments,Header_Row)</definedName>
    <definedName name="Last_Row">IF(Values_Entered,Header_Row+Number_of_Payments,Header_Row)</definedName>
    <definedName name="LM" localSheetId="1">#REF!</definedName>
    <definedName name="LM">#REF!</definedName>
    <definedName name="Loan_Amount" localSheetId="1">#REF!</definedName>
    <definedName name="Loan_Amount">#REF!</definedName>
    <definedName name="Loan_Start" localSheetId="1">#REF!</definedName>
    <definedName name="Loan_Start">#REF!</definedName>
    <definedName name="Loan_Years">#REF!</definedName>
    <definedName name="M">#REF!</definedName>
    <definedName name="M1189940">#REF!</definedName>
    <definedName name="M1262050">#REF!</definedName>
    <definedName name="M1262060">#REF!</definedName>
    <definedName name="M1262090">#REF!</definedName>
    <definedName name="M2311010" localSheetId="1">'[19]Det. Rec. Prov. Locales {PPC}'!#REF!</definedName>
    <definedName name="M2311010">'[19]Det. Rec. Prov. Locales {PPC}'!#REF!</definedName>
    <definedName name="M2311030" localSheetId="1">'[19]Det. Rec. Prov. Locales {PPC}'!#REF!</definedName>
    <definedName name="M2311030">'[19]Det. Rec. Prov. Locales {PPC}'!#REF!</definedName>
    <definedName name="MA" localSheetId="1">'[15]VEG. $ NEC'!#REF!</definedName>
    <definedName name="MA">'[15]VEG. $ NEC'!#REF!</definedName>
    <definedName name="MANUWL" localSheetId="1">#REF!</definedName>
    <definedName name="MANUWL">#REF!</definedName>
    <definedName name="MARIA" localSheetId="1">#REF!</definedName>
    <definedName name="MARIA">#REF!</definedName>
    <definedName name="MAS" localSheetId="1">#REF!</definedName>
    <definedName name="MAS">#REF!</definedName>
    <definedName name="Materiality">#REF!</definedName>
    <definedName name="mayor">#REF!</definedName>
    <definedName name="mayorg">#REF!</definedName>
    <definedName name="mes">#REF!</definedName>
    <definedName name="MONEDA">#REF!</definedName>
    <definedName name="Monetary_Precision">#REF!</definedName>
    <definedName name="MP">#REF!</definedName>
    <definedName name="NonTop_Stratum_Value">#REF!</definedName>
    <definedName name="NOVIEMBRE">[16]NOVIEMBRE!$A$1:$G$50</definedName>
    <definedName name="Num_Pmt_Per_Year" localSheetId="1">#REF!</definedName>
    <definedName name="Num_Pmt_Per_Year">#REF!</definedName>
    <definedName name="Number_of_Payments" localSheetId="1">MATCH(0.01,End_Bal,-1)+1</definedName>
    <definedName name="Number_of_Payments">MATCH(0.01,End_Bal,-1)+1</definedName>
    <definedName name="Number_of_Selections" localSheetId="1">'[2]CMA Calculations'!$L$69</definedName>
    <definedName name="Number_of_Selections">'[20]CMA Calculations'!$J$1642</definedName>
    <definedName name="NUMERICO">NA()</definedName>
    <definedName name="Observaciones">[21]A.01!$K$50:$K$53</definedName>
    <definedName name="octubre">[16]octubre!$A$1:$H$50</definedName>
    <definedName name="P" localSheetId="1">#REF!</definedName>
    <definedName name="P">#REF!</definedName>
    <definedName name="PAIS" localSheetId="1">#REF!</definedName>
    <definedName name="PAIS">#REF!</definedName>
    <definedName name="Pay_Date" localSheetId="1">#REF!</definedName>
    <definedName name="Pay_Date">#REF!</definedName>
    <definedName name="Pay_Num">#REF!</definedName>
    <definedName name="Payment_Date" localSheetId="1">DATE(YEAR('130.07.02'!Loan_Start),MONTH('130.07.02'!Loan_Start)+Payment_Number,DAY('130.07.02'!Loan_Start))</definedName>
    <definedName name="Payment_Date">DATE(YEAR(Loan_Start),MONTH(Loan_Start)+Payment_Number,DAY(Loan_Start))</definedName>
    <definedName name="PCOST" localSheetId="1">#REF!</definedName>
    <definedName name="PCOST">#REF!</definedName>
    <definedName name="PCOSTBYACTV" localSheetId="1">#REF!</definedName>
    <definedName name="PCOSTBYACTV">#REF!</definedName>
    <definedName name="pnot_fore" localSheetId="1">#REF!</definedName>
    <definedName name="pnot_fore">#REF!</definedName>
    <definedName name="pnot_month">#REF!</definedName>
    <definedName name="pnot_ytd">#REF!</definedName>
    <definedName name="PRANGE">#REF!</definedName>
    <definedName name="Pre_tax_materiality">#REF!</definedName>
    <definedName name="Princ">#REF!</definedName>
    <definedName name="Print_Area">#REF!</definedName>
    <definedName name="Print_Area_Reset" localSheetId="1">OFFSET(Full_Print,0,0,'130.07.02'!Last_Row)</definedName>
    <definedName name="Print_Area_Reset">OFFSET(Full_Print,0,0,Last_Row)</definedName>
    <definedName name="PY_Accounts_Receivable">'[12]Balance Sheet'!$D$10</definedName>
    <definedName name="PY_all_Equity" localSheetId="1">#REF!</definedName>
    <definedName name="PY_all_Equity">#REF!</definedName>
    <definedName name="PY_all_Income" localSheetId="1">#REF!</definedName>
    <definedName name="PY_all_Income">#REF!</definedName>
    <definedName name="PY_all_RetEarn" localSheetId="1">#REF!</definedName>
    <definedName name="PY_all_RetEarn">#REF!</definedName>
    <definedName name="PY_Cash">'[12]Balance Sheet'!$D$8</definedName>
    <definedName name="PY_Common_Equity">'[12]Balance Sheet'!$D$35</definedName>
    <definedName name="PY_Cost_of_Sales">'[12]Income Statement'!$E$9</definedName>
    <definedName name="PY_Current_Liabilities">'[12]Balance Sheet'!$D$28</definedName>
    <definedName name="PY_Depreciation">'[12]Income Statement'!$E$16</definedName>
    <definedName name="PY_Gross_Profit">'[12]Income Statement'!$E$11</definedName>
    <definedName name="PY_INC_AFT_TAX">'[12]Income Statement'!$E$26</definedName>
    <definedName name="PY_Inc_Bef_Tax">'[12]Income Statement'!$E$22</definedName>
    <definedName name="PY_Interest_Expense">'[12]Income Statement'!$E$20</definedName>
    <definedName name="PY_Inventory">'[12]Balance Sheet'!$D$14</definedName>
    <definedName name="PY_knw_Income" localSheetId="1">#REF!</definedName>
    <definedName name="PY_knw_Income">#REF!</definedName>
    <definedName name="PY_knw_RetEarn" localSheetId="1">#REF!</definedName>
    <definedName name="PY_knw_RetEarn">#REF!</definedName>
    <definedName name="PY_lik_Income" localSheetId="1">#REF!</definedName>
    <definedName name="PY_lik_Income">#REF!</definedName>
    <definedName name="PY_lik_RetEarn">#REF!</definedName>
    <definedName name="PY_Long_term_Debt__excl_Dfd_Taxes">'[12]Balance Sheet'!$D$29</definedName>
    <definedName name="PY_Net_Revenue">'[12]Income Statement'!$E$8</definedName>
    <definedName name="PY_QUICK_ASSETS">'[12]Balance Sheet'!$D$12</definedName>
    <definedName name="PY_Taxes">'[12]Income Statement'!$E$24</definedName>
    <definedName name="PY_tot_knw_Xfoot" localSheetId="1">#REF!</definedName>
    <definedName name="PY_tot_knw_Xfoot">#REF!</definedName>
    <definedName name="PY_tot_lik_Xfoot" localSheetId="1">#REF!</definedName>
    <definedName name="PY_tot_lik_Xfoot">#REF!</definedName>
    <definedName name="PY_TOTAL_ASSETS">'[12]Balance Sheet'!$D$25</definedName>
    <definedName name="PY_TOTAL_CURR_ASSETS">'[12]Balance Sheet'!$D$18</definedName>
    <definedName name="PY_TOTAL_DEBT">'[12]Balance Sheet'!$D$32</definedName>
    <definedName name="PY_TOTAL_EQUITY">'[12]Balance Sheet'!$D$38</definedName>
    <definedName name="PY_Trade_Payables">'[12]Balance Sheet'!$D$27</definedName>
    <definedName name="PY_tx_all_Income" localSheetId="1">#REF!</definedName>
    <definedName name="PY_tx_all_Income">#REF!</definedName>
    <definedName name="PY_tx_all_RetEarn" localSheetId="1">#REF!</definedName>
    <definedName name="PY_tx_all_RetEarn">#REF!</definedName>
    <definedName name="PY_tx_knw_Income" localSheetId="1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Year_Income_Statement">'[12]Income Statement'!$E$3</definedName>
    <definedName name="PY2_Common_Equity">'[12]Balance Sheet'!$J$35</definedName>
    <definedName name="PY2_TOTAL_ASSETS">'[12]Balance Sheet'!$J$25</definedName>
    <definedName name="PY2_TOTAL_EQUITY">'[12]Balance Sheet'!$J$38</definedName>
    <definedName name="PY2_Year_Income_Statement">'[12]Income Statement'!$L$3</definedName>
    <definedName name="R_Factor" localSheetId="1">#REF!</definedName>
    <definedName name="R_Factor">'[22]Threshold Table'!$A$2:$A$4</definedName>
    <definedName name="Ref_1" localSheetId="1">#REF!</definedName>
    <definedName name="Ref_1">#REF!</definedName>
    <definedName name="Ref_103" localSheetId="1">#REF!</definedName>
    <definedName name="Ref_103">#REF!</definedName>
    <definedName name="Ref_104" localSheetId="1">#REF!</definedName>
    <definedName name="Ref_104">#REF!</definedName>
    <definedName name="Ref_105" localSheetId="1">[23]Costo!#REF!</definedName>
    <definedName name="Ref_105">[23]Costo!#REF!</definedName>
    <definedName name="Ref_11" localSheetId="1">[24]Dólares!#REF!</definedName>
    <definedName name="Ref_11">[24]Dólares!#REF!</definedName>
    <definedName name="Ref_125" localSheetId="1">#REF!</definedName>
    <definedName name="Ref_125">#REF!</definedName>
    <definedName name="Ref_126" localSheetId="1">#REF!</definedName>
    <definedName name="Ref_126">#REF!</definedName>
    <definedName name="Ref_127" localSheetId="1">#REF!</definedName>
    <definedName name="Ref_127">#REF!</definedName>
    <definedName name="Ref_128">#REF!</definedName>
    <definedName name="Ref_129">#REF!</definedName>
    <definedName name="Ref_13">#REF!</definedName>
    <definedName name="Ref_130">#REF!</definedName>
    <definedName name="Ref_131">#REF!</definedName>
    <definedName name="Ref_132">#REF!</definedName>
    <definedName name="Ref_133">#REF!</definedName>
    <definedName name="Ref_134">#REF!</definedName>
    <definedName name="Ref_135">[23]Costo!#REF!</definedName>
    <definedName name="Ref_136">[23]Dep.!#REF!</definedName>
    <definedName name="Ref_20" localSheetId="1">#REF!</definedName>
    <definedName name="Ref_20">#REF!</definedName>
    <definedName name="Ref_21" localSheetId="1">#REF!</definedName>
    <definedName name="Ref_21">#REF!</definedName>
    <definedName name="Ref_22" localSheetId="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[25]Dep.Consol!$R$27</definedName>
    <definedName name="Ref_33">'[25]Dep.Costo. Rex'!$O$27</definedName>
    <definedName name="Ref_39">'[25]Dep.Costo. Rex'!$O$63</definedName>
    <definedName name="Ref_43" localSheetId="1">#REF!</definedName>
    <definedName name="Ref_43">#REF!</definedName>
    <definedName name="Ref_44" localSheetId="1">#REF!</definedName>
    <definedName name="Ref_44">#REF!</definedName>
    <definedName name="Ref_45" localSheetId="1">#REF!</definedName>
    <definedName name="Ref_45">#REF!</definedName>
    <definedName name="Ref_46">#REF!</definedName>
    <definedName name="Ref_47">#REF!</definedName>
    <definedName name="Ref_48">#REF!</definedName>
    <definedName name="Ref_49">#REF!</definedName>
    <definedName name="Ref_5">'[26]Dep.Costo.'!#REF!</definedName>
    <definedName name="Ref_54" localSheetId="1">#REF!</definedName>
    <definedName name="Ref_54">#REF!</definedName>
    <definedName name="Ref_55" localSheetId="1">#REF!</definedName>
    <definedName name="Ref_55">#REF!</definedName>
    <definedName name="Ref_57" localSheetId="1">[26]Detalle!#REF!</definedName>
    <definedName name="Ref_57">[26]Detalle!#REF!</definedName>
    <definedName name="Ref_58" localSheetId="1">[26]Detalle!#REF!</definedName>
    <definedName name="Ref_58">[26]Detalle!#REF!</definedName>
    <definedName name="Ref_62" localSheetId="1">#REF!</definedName>
    <definedName name="Ref_62">#REF!</definedName>
    <definedName name="Ref_63">[26]Detalle!$H$17</definedName>
    <definedName name="Ref_64">[26]Detalle!$H$15</definedName>
    <definedName name="Ref_72" localSheetId="1">'[27]Detalle 31-12-97'!#REF!</definedName>
    <definedName name="Ref_72">'[27]Detalle 31-12-97'!#REF!</definedName>
    <definedName name="Ref_74" localSheetId="1">'[27]Detalle 31-12-97'!#REF!</definedName>
    <definedName name="Ref_74">'[27]Detalle 31-12-97'!#REF!</definedName>
    <definedName name="Ref_84" localSheetId="1">[23]Costo!#REF!</definedName>
    <definedName name="Ref_84">[23]Costo!#REF!</definedName>
    <definedName name="Ref_85" localSheetId="1">[23]Costo!#REF!</definedName>
    <definedName name="Ref_85">[23]Costo!#REF!</definedName>
    <definedName name="Ref_86">[23]Costo!#REF!</definedName>
    <definedName name="Ref_87">[23]Costo!#REF!</definedName>
    <definedName name="Ref_88">[23]Costo!#REF!</definedName>
    <definedName name="Ref_89">[23]Costo!#REF!</definedName>
    <definedName name="Ref_9">[24]Dólares!#REF!</definedName>
    <definedName name="Ref_98">[23]Costo!#REF!</definedName>
    <definedName name="rev_fore" localSheetId="1">#REF!</definedName>
    <definedName name="rev_fore">#REF!</definedName>
    <definedName name="rev_month" localSheetId="1">#REF!</definedName>
    <definedName name="rev_month">#REF!</definedName>
    <definedName name="rev_ytd" localSheetId="1">#REF!</definedName>
    <definedName name="rev_ytd">#REF!</definedName>
    <definedName name="S_Adjust">#REF!</definedName>
    <definedName name="S_Adjust_Data">[17]Lead!$I$1:$I$43</definedName>
    <definedName name="S_CY_Beg_Data">[18]Lead!$F$1:$F$217</definedName>
    <definedName name="S_Headings" localSheetId="1">#REF!</definedName>
    <definedName name="S_Headings">#REF!</definedName>
    <definedName name="S_KeyValue" localSheetId="1">#REF!</definedName>
    <definedName name="S_KeyValue">#REF!</definedName>
    <definedName name="S_LSRange1" localSheetId="1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PY_End">#REF!</definedName>
    <definedName name="S_PY_End_Data">[17]Lead!$N$1:$N$43</definedName>
    <definedName name="S_Total2" localSheetId="1">#REF!</definedName>
    <definedName name="S_Total2">#REF!</definedName>
    <definedName name="S_Total3" localSheetId="1">#REF!</definedName>
    <definedName name="S_Total3">#REF!</definedName>
    <definedName name="SAPBEXhrIndnt" hidden="1">1</definedName>
    <definedName name="SAPBEXrevision" hidden="1">9</definedName>
    <definedName name="SAPBEXsysID" hidden="1">"BL6"</definedName>
    <definedName name="SAPBEXwbID" hidden="1">"3US4CVJVAYMOMMXFQAGC0TC14"</definedName>
    <definedName name="Scale" localSheetId="1">[28]Options!$B$1</definedName>
    <definedName name="Scale">[29]Options!$B$1</definedName>
    <definedName name="Sched_Pay" localSheetId="1">#REF!</definedName>
    <definedName name="Sched_Pay">#REF!</definedName>
    <definedName name="Scheduled_Extra_Payments" localSheetId="1">#REF!</definedName>
    <definedName name="Scheduled_Extra_Payments">#REF!</definedName>
    <definedName name="Scheduled_Interest_Rate" localSheetId="1">#REF!</definedName>
    <definedName name="Scheduled_Interest_Rate">#REF!</definedName>
    <definedName name="Scheduled_Monthly_Payment">#REF!</definedName>
    <definedName name="SCHEDUV">'[30]SCHEDULE V'!#REF!</definedName>
    <definedName name="SD" localSheetId="1">#REF!</definedName>
    <definedName name="SD">#REF!</definedName>
    <definedName name="SE" localSheetId="1">'[15]VEG. $ NEC'!#REF!</definedName>
    <definedName name="SE">'[15]VEG. $ NEC'!#REF!</definedName>
    <definedName name="Selection_Remainder" localSheetId="1">#REF!</definedName>
    <definedName name="Selection_Remainder">#REF!</definedName>
    <definedName name="seppg" localSheetId="1">#REF!</definedName>
    <definedName name="seppg">#REF!</definedName>
    <definedName name="SHARED_FORMULA_0">#N/A</definedName>
    <definedName name="SHARED_FORMULA_1">#N/A</definedName>
    <definedName name="SHARED_FORMULA_10">#N/A</definedName>
    <definedName name="SHARED_FORMULA_100">#N/A</definedName>
    <definedName name="SHARED_FORMULA_101">#N/A</definedName>
    <definedName name="SHARED_FORMULA_102">#N/A</definedName>
    <definedName name="SHARED_FORMULA_103">#N/A</definedName>
    <definedName name="SHARED_FORMULA_104">#N/A</definedName>
    <definedName name="SHARED_FORMULA_105">#N/A</definedName>
    <definedName name="SHARED_FORMULA_106">#N/A</definedName>
    <definedName name="SHARED_FORMULA_107">#N/A</definedName>
    <definedName name="SHARED_FORMULA_108">#N/A</definedName>
    <definedName name="SHARED_FORMULA_109">#N/A</definedName>
    <definedName name="SHARED_FORMULA_11">#N/A</definedName>
    <definedName name="SHARED_FORMULA_110">#N/A</definedName>
    <definedName name="SHARED_FORMULA_111">#N/A</definedName>
    <definedName name="SHARED_FORMULA_112">#N/A</definedName>
    <definedName name="SHARED_FORMULA_113">#N/A</definedName>
    <definedName name="SHARED_FORMULA_114">#N/A</definedName>
    <definedName name="SHARED_FORMULA_115">#N/A</definedName>
    <definedName name="SHARED_FORMULA_116">#N/A</definedName>
    <definedName name="SHARED_FORMULA_117">#N/A</definedName>
    <definedName name="SHARED_FORMULA_118">#N/A</definedName>
    <definedName name="SHARED_FORMULA_119">#N/A</definedName>
    <definedName name="SHARED_FORMULA_12">#N/A</definedName>
    <definedName name="SHARED_FORMULA_120">#N/A</definedName>
    <definedName name="SHARED_FORMULA_121">#N/A</definedName>
    <definedName name="SHARED_FORMULA_122">#N/A</definedName>
    <definedName name="SHARED_FORMULA_123">#N/A</definedName>
    <definedName name="SHARED_FORMULA_124">#N/A</definedName>
    <definedName name="SHARED_FORMULA_125">#N/A</definedName>
    <definedName name="SHARED_FORMULA_126">#N/A</definedName>
    <definedName name="SHARED_FORMULA_127">#N/A</definedName>
    <definedName name="SHARED_FORMULA_128">#N/A</definedName>
    <definedName name="SHARED_FORMULA_129">#N/A</definedName>
    <definedName name="SHARED_FORMULA_13">#N/A</definedName>
    <definedName name="SHARED_FORMULA_130">#N/A</definedName>
    <definedName name="SHARED_FORMULA_131">#N/A</definedName>
    <definedName name="SHARED_FORMULA_132">#N/A</definedName>
    <definedName name="SHARED_FORMULA_133">#N/A</definedName>
    <definedName name="SHARED_FORMULA_134">#N/A</definedName>
    <definedName name="SHARED_FORMULA_135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#N/A</definedName>
    <definedName name="SHARED_FORMULA_66">#N/A</definedName>
    <definedName name="SHARED_FORMULA_67">#N/A</definedName>
    <definedName name="SHARED_FORMULA_68">#N/A</definedName>
    <definedName name="SHARED_FORMULA_69">#N/A</definedName>
    <definedName name="SHARED_FORMULA_7">#N/A</definedName>
    <definedName name="SHARED_FORMULA_70">#N/A</definedName>
    <definedName name="SHARED_FORMULA_71">#N/A</definedName>
    <definedName name="SHARED_FORMULA_72">#N/A</definedName>
    <definedName name="SHARED_FORMULA_73">#N/A</definedName>
    <definedName name="SHARED_FORMULA_74">#N/A</definedName>
    <definedName name="SHARED_FORMULA_75">#N/A</definedName>
    <definedName name="SHARED_FORMULA_76">#N/A</definedName>
    <definedName name="SHARED_FORMULA_77">#N/A</definedName>
    <definedName name="SHARED_FORMULA_78">#N/A</definedName>
    <definedName name="SHARED_FORMULA_79">#N/A</definedName>
    <definedName name="SHARED_FORMULA_8">#N/A</definedName>
    <definedName name="SHARED_FORMULA_80">#N/A</definedName>
    <definedName name="SHARED_FORMULA_81">#N/A</definedName>
    <definedName name="SHARED_FORMULA_82">#N/A</definedName>
    <definedName name="SHARED_FORMULA_83">#N/A</definedName>
    <definedName name="SHARED_FORMULA_84">#N/A</definedName>
    <definedName name="SHARED_FORMULA_85">#N/A</definedName>
    <definedName name="SHARED_FORMULA_86">#N/A</definedName>
    <definedName name="SHARED_FORMULA_87">#N/A</definedName>
    <definedName name="SHARED_FORMULA_88">#N/A</definedName>
    <definedName name="SHARED_FORMULA_89">#N/A</definedName>
    <definedName name="SHARED_FORMULA_9">#N/A</definedName>
    <definedName name="SHARED_FORMULA_90">#N/A</definedName>
    <definedName name="SHARED_FORMULA_91">#N/A</definedName>
    <definedName name="SHARED_FORMULA_92">#N/A</definedName>
    <definedName name="SHARED_FORMULA_93">#N/A</definedName>
    <definedName name="SHARED_FORMULA_94">#N/A</definedName>
    <definedName name="SHARED_FORMULA_95">#N/A</definedName>
    <definedName name="SHARED_FORMULA_96">#N/A</definedName>
    <definedName name="SHARED_FORMULA_97">#N/A</definedName>
    <definedName name="SHARED_FORMULA_98">#N/A</definedName>
    <definedName name="SHARED_FORMULA_99">#N/A</definedName>
    <definedName name="Starting_Point" localSheetId="1">#REF!</definedName>
    <definedName name="Starting_Point">#REF!</definedName>
    <definedName name="T" localSheetId="1">#REF!</definedName>
    <definedName name="T">#REF!</definedName>
    <definedName name="Tax_Effect_Income" localSheetId="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C">#REF!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2">#REF!</definedName>
    <definedName name="TextRefCopy24">#REF!</definedName>
    <definedName name="TextRefCopy25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4">#REF!</definedName>
    <definedName name="TextRefCopy39">#REF!</definedName>
    <definedName name="TextRefCopy42">#REF!</definedName>
    <definedName name="TextRefCopy43">[31]Detalle!$G$2</definedName>
    <definedName name="TextRefCopy44" localSheetId="1">#REF!</definedName>
    <definedName name="TextRefCopy44">#REF!</definedName>
    <definedName name="TextRefCopy51" localSheetId="1">#REF!</definedName>
    <definedName name="TextRefCopy51">#REF!</definedName>
    <definedName name="TextRefCopy52" localSheetId="1">#REF!</definedName>
    <definedName name="TextRefCopy52">#REF!</definedName>
    <definedName name="TextRefCopy53">#REF!</definedName>
    <definedName name="TextRefCopy69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'[32]Mov. Costo'!#REF!</definedName>
    <definedName name="TextRefCopy9" localSheetId="1">#REF!</definedName>
    <definedName name="TextRefCopy9">#REF!</definedName>
    <definedName name="TextRefCopyRangeCount" hidden="1">6</definedName>
    <definedName name="tg" localSheetId="1">DATE(YEAR('130.07.02'!Loan_Start),MONTH('130.07.02'!Loan_Start)+Payment_Number,DAY('130.07.02'!Loan_Start))</definedName>
    <definedName name="tg">DATE(YEAR(Loan_Start),MONTH(Loan_Start)+Payment_Number,DAY(Loan_Start))</definedName>
    <definedName name="th" localSheetId="1">DATE(YEAR('130.07.02'!Loan_Start),MONTH('130.07.02'!Loan_Start)+Payment_Number,DAY('130.07.02'!Loan_Start))</definedName>
    <definedName name="th">DATE(YEAR(Loan_Start),MONTH(Loan_Start)+Payment_Number,DAY(Loan_Start))</definedName>
    <definedName name="TIPO" localSheetId="1">#REF!</definedName>
    <definedName name="TIPO">#REF!</definedName>
    <definedName name="_xlnm.Print_Titles">#N/A</definedName>
    <definedName name="TN" localSheetId="1">DATE(YEAR('130.07.02'!Loan_Start),MONTH('130.07.02'!Loan_Start)+Payment_Number,DAY('130.07.02'!Loan_Start))</definedName>
    <definedName name="TN">DATE(YEAR(Loan_Start),MONTH(Loan_Start)+Payment_Number,DAY(Loan_Start))</definedName>
    <definedName name="Top_Stratum_Number" localSheetId="1">#REF!</definedName>
    <definedName name="Top_Stratum_Number">#REF!</definedName>
    <definedName name="Top_Stratum_Value" localSheetId="1">#REF!</definedName>
    <definedName name="Top_Stratum_Value">#REF!</definedName>
    <definedName name="Tot_knw_Xfoot" localSheetId="1">#REF!</definedName>
    <definedName name="Tot_knw_Xfoot">#REF!</definedName>
    <definedName name="Tot_lik_Xfoot">#REF!</definedName>
    <definedName name="Total_Amount">#REF!</definedName>
    <definedName name="Total_Interest">#REF!</definedName>
    <definedName name="Total_Number_Selections">#REF!</definedName>
    <definedName name="Total_Pay">#REF!</definedName>
    <definedName name="Total_Payment" localSheetId="1">Scheduled_Payment+Extra_Payment</definedName>
    <definedName name="Total_Payment">Scheduled_Payment+Extra_Payment</definedName>
    <definedName name="Total_Population2" localSheetId="1">'[4]MUS Calculations- Figure 5410.1'!$D$22</definedName>
    <definedName name="Total_Population2">'[5]MUS Calculations- Figure 5410.1'!$D$22</definedName>
    <definedName name="VAL">#REF!</definedName>
    <definedName name="Values_Entered" localSheetId="1">IF('130.07.02'!Loan_Amount*Interest_Rate*Loan_Years*'130.07.02'!Loan_Start&gt;0,1,0)</definedName>
    <definedName name="Values_Entered">IF(Loan_Amount*Interest_Rate*Loan_Years*Loan_Start&gt;0,1,0)</definedName>
    <definedName name="verito" hidden="1">2</definedName>
    <definedName name="vero" hidden="1">2</definedName>
    <definedName name="wrn.Aging._.and._.Trend._.Analysis." hidden="1">{#N/A,#N/A,FALSE,"Aging Summary";#N/A,#N/A,FALSE,"Ratio Analysis";#N/A,#N/A,FALSE,"Test 120 Day Accts";#N/A,#N/A,FALSE,"Tickmarks"}</definedName>
    <definedName name="X" localSheetId="1">#REF!</definedName>
    <definedName name="X">#REF!</definedName>
    <definedName name="XREF_COLUMN_1" localSheetId="1" hidden="1">[33]CMA_Selections!#REF!</definedName>
    <definedName name="XREF_COLUMN_1" hidden="1">[34]CMA_Selections!#REF!</definedName>
    <definedName name="XREF_COLUMN_11" localSheetId="1" hidden="1">#REF!</definedName>
    <definedName name="XREF_COLUMN_11" hidden="1">#REF!</definedName>
    <definedName name="XREF_COLUMN_13" localSheetId="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6" localSheetId="1" hidden="1">'[35]Análisis IVA'!#REF!</definedName>
    <definedName name="XREF_COLUMN_16" hidden="1">'[35]Análisis IVA'!#REF!</definedName>
    <definedName name="XREF_COLUMN_17" localSheetId="1" hidden="1">'[35]Análisis IVA'!#REF!</definedName>
    <definedName name="XREF_COLUMN_17" hidden="1">'[35]Análisis IVA'!#REF!</definedName>
    <definedName name="XREF_COLUMN_18" localSheetId="1" hidden="1">'[35]Análisis IVA'!#REF!</definedName>
    <definedName name="XREF_COLUMN_18" hidden="1">'[35]Análisis IVA'!#REF!</definedName>
    <definedName name="XREF_COLUMN_19" localSheetId="1" hidden="1">#REF!</definedName>
    <definedName name="XREF_COLUMN_19" hidden="1">#REF!</definedName>
    <definedName name="XREF_COLUMN_2" localSheetId="1" hidden="1">'[2]CMA Selections'!#REF!</definedName>
    <definedName name="XREF_COLUMN_2" hidden="1">'[20]CMA Selections'!#REF!</definedName>
    <definedName name="XREF_COLUMN_21" localSheetId="1" hidden="1">#REF!</definedName>
    <definedName name="XREF_COLUMN_21" hidden="1">#REF!</definedName>
    <definedName name="XREF_COLUMN_22" localSheetId="1" hidden="1">#REF!</definedName>
    <definedName name="XREF_COLUMN_22" hidden="1">#REF!</definedName>
    <definedName name="XREF_COLUMN_28" localSheetId="1" hidden="1">[36]Detalle!#REF!</definedName>
    <definedName name="XREF_COLUMN_28" hidden="1">[36]Detalle!#REF!</definedName>
    <definedName name="XREF_COLUMN_29" localSheetId="1" hidden="1">[36]Detalle!#REF!</definedName>
    <definedName name="XREF_COLUMN_29" hidden="1">[36]Detalle!#REF!</definedName>
    <definedName name="XREF_COLUMN_3" localSheetId="1" hidden="1">'[37]Análisis Ret Fuente'!#REF!</definedName>
    <definedName name="XREF_COLUMN_3" hidden="1">'[37]Análisis Ret Fuente'!#REF!</definedName>
    <definedName name="XREF_COLUMN_5" localSheetId="1" hidden="1">#REF!</definedName>
    <definedName name="XREF_COLUMN_5" hidden="1">#REF!</definedName>
    <definedName name="XREF_COLUMN_6" hidden="1">[2]Base!#REF!</definedName>
    <definedName name="XREF_COLUMN_7" localSheetId="1" hidden="1">#REF!</definedName>
    <definedName name="XREF_COLUMN_7" hidden="1">#REF!</definedName>
    <definedName name="XREF_COLUMN_9" localSheetId="1" hidden="1">'[38]Varios dólares'!#REF!</definedName>
    <definedName name="XREF_COLUMN_9" hidden="1">'[38]Varios dólares'!#REF!</definedName>
    <definedName name="XRefActiveRow" localSheetId="1" hidden="1">#REF!</definedName>
    <definedName name="XRefActiveRow" hidden="1">#REF!</definedName>
    <definedName name="XRefColumnsCount" localSheetId="1" hidden="1">3</definedName>
    <definedName name="XRefColumnsCount" hidden="1">18</definedName>
    <definedName name="XRefCopy10" localSheetId="1" hidden="1">#REF!</definedName>
    <definedName name="XRefCopy10" hidden="1">#REF!</definedName>
    <definedName name="XRefCopy10Row" localSheetId="1" hidden="1">[2]XREF!#REF!</definedName>
    <definedName name="XRefCopy10Row" hidden="1">[20]XREF!#REF!</definedName>
    <definedName name="XRefCopy11Row" localSheetId="1" hidden="1">[2]XREF!#REF!</definedName>
    <definedName name="XRefCopy11Row" hidden="1">[20]XREF!#REF!</definedName>
    <definedName name="XRefCopy1Row" localSheetId="1" hidden="1">[35]XREF!#REF!</definedName>
    <definedName name="XRefCopy1Row" hidden="1">[35]XREF!#REF!</definedName>
    <definedName name="XRefCopy2" localSheetId="1" hidden="1">'[2]CMA Selections'!#REF!</definedName>
    <definedName name="XRefCopy2" hidden="1">'[20]CMA Selections'!#REF!</definedName>
    <definedName name="XRefCopy2Row" localSheetId="1" hidden="1">#REF!</definedName>
    <definedName name="XRefCopy2Row" hidden="1">#REF!</definedName>
    <definedName name="XRefCopy35Row" localSheetId="1" hidden="1">#REF!</definedName>
    <definedName name="XRefCopy35Row" hidden="1">#REF!</definedName>
    <definedName name="XRefCopy36Row" localSheetId="1" hidden="1">#REF!</definedName>
    <definedName name="XRefCopy36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localSheetId="1" hidden="1">[39]XREF!#REF!</definedName>
    <definedName name="XRefCopy3Row" hidden="1">[39]XREF!#REF!</definedName>
    <definedName name="XRefCopy4" localSheetId="1" hidden="1">[2]Base!#REF!</definedName>
    <definedName name="XRefCopy4" hidden="1">[20]Base!#REF!</definedName>
    <definedName name="XRefCopy43Row" localSheetId="1" hidden="1">#REF!</definedName>
    <definedName name="XRefCopy43Row" hidden="1">#REF!</definedName>
    <definedName name="XRefCopy4Row" localSheetId="1" hidden="1">[2]XREF!#REF!</definedName>
    <definedName name="XRefCopy4Row" hidden="1">#REF!</definedName>
    <definedName name="XRefCopy5" localSheetId="1" hidden="1">#REF!</definedName>
    <definedName name="XRefCopy5" hidden="1">#REF!</definedName>
    <definedName name="XRefCopy5Row" localSheetId="1" hidden="1">[2]XREF!#REF!</definedName>
    <definedName name="XRefCopy5Row" hidden="1">[20]XREF!#REF!</definedName>
    <definedName name="XRefCopy6" localSheetId="1" hidden="1">#REF!</definedName>
    <definedName name="XRefCopy6" hidden="1">#REF!</definedName>
    <definedName name="XRefCopy6Row" localSheetId="1" hidden="1">[2]XREF!#REF!</definedName>
    <definedName name="XRefCopy6Row" hidden="1">[20]XREF!#REF!</definedName>
    <definedName name="XRefCopy7" localSheetId="1" hidden="1">[2]Base!#REF!</definedName>
    <definedName name="XRefCopy7" hidden="1">[20]Base!#REF!</definedName>
    <definedName name="XRefCopy7Row" localSheetId="1" hidden="1">[2]XREF!#REF!</definedName>
    <definedName name="XRefCopy7Row" hidden="1">[20]XREF!#REF!</definedName>
    <definedName name="XRefCopy8Row" localSheetId="1" hidden="1">[2]XREF!#REF!</definedName>
    <definedName name="XRefCopy8Row" hidden="1">[20]XREF!#REF!</definedName>
    <definedName name="XRefCopy9" localSheetId="1" hidden="1">#REF!</definedName>
    <definedName name="XRefCopy9" hidden="1">#REF!</definedName>
    <definedName name="XRefCopy9Row" localSheetId="1" hidden="1">[2]XREF!#REF!</definedName>
    <definedName name="XRefCopy9Row" hidden="1">[20]XREF!#REF!</definedName>
    <definedName name="XRefCopyRangeCount" localSheetId="1" hidden="1">4</definedName>
    <definedName name="XRefCopyRangeCount" hidden="1">1</definedName>
    <definedName name="XRefPaste10Row" localSheetId="1" hidden="1">[35]XREF!#REF!</definedName>
    <definedName name="XRefPaste10Row" hidden="1">[35]XREF!#REF!</definedName>
    <definedName name="XRefPaste11Row" localSheetId="1" hidden="1">[2]XREF!#REF!</definedName>
    <definedName name="XRefPaste11Row" hidden="1">[35]XREF!#REF!</definedName>
    <definedName name="XRefPaste13" localSheetId="1" hidden="1">#REF!</definedName>
    <definedName name="XRefPaste13" hidden="1">#REF!</definedName>
    <definedName name="XRefPaste14" localSheetId="1" hidden="1">#REF!</definedName>
    <definedName name="XRefPaste14" hidden="1">#REF!</definedName>
    <definedName name="XRefPaste14Row" localSheetId="1" hidden="1">#REF!</definedName>
    <definedName name="XRefPaste14Row" hidden="1">#REF!</definedName>
    <definedName name="XRefPaste16" hidden="1">#REF!</definedName>
    <definedName name="XRefPaste17" hidden="1">#REF!</definedName>
    <definedName name="XRefPaste18" hidden="1">#REF!</definedName>
    <definedName name="XRefPaste19" hidden="1">#REF!</definedName>
    <definedName name="XRefPaste1Row" hidden="1">#REF!</definedName>
    <definedName name="XRefPaste20" hidden="1">#REF!</definedName>
    <definedName name="XRefPaste21" hidden="1">#REF!</definedName>
    <definedName name="XRefPaste22" hidden="1">#REF!</definedName>
    <definedName name="XRefPaste22Row" hidden="1">#REF!</definedName>
    <definedName name="XRefPaste28" hidden="1">#REF!</definedName>
    <definedName name="XRefPaste29" hidden="1">#REF!</definedName>
    <definedName name="XRefPaste3" localSheetId="1" hidden="1">'[2]CMA Selections'!#REF!</definedName>
    <definedName name="XRefPaste3" hidden="1">#REF!</definedName>
    <definedName name="XRefPaste31" localSheetId="1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3Row" hidden="1">#REF!</definedName>
    <definedName name="XRefPaste4" localSheetId="1" hidden="1">'[2]CMA Selections'!#REF!</definedName>
    <definedName name="XRefPaste4" hidden="1">'[20]CMA Selections'!#REF!</definedName>
    <definedName name="XRefPaste4Row" localSheetId="1" hidden="1">#REF!</definedName>
    <definedName name="XRefPaste4Row" hidden="1">[35]XREF!#REF!</definedName>
    <definedName name="XRefPaste5" localSheetId="1" hidden="1">'[2]CMA Selections'!#REF!</definedName>
    <definedName name="XRefPaste5" hidden="1">'[20]CMA Selections'!#REF!</definedName>
    <definedName name="XRefPaste5Row" localSheetId="1" hidden="1">#REF!</definedName>
    <definedName name="XRefPaste5Row" hidden="1">#REF!</definedName>
    <definedName name="XRefPaste6Row" localSheetId="1" hidden="1">[2]XREF!#REF!</definedName>
    <definedName name="XRefPaste6Row" hidden="1">[20]XREF!#REF!</definedName>
    <definedName name="XRefPaste7" localSheetId="1" hidden="1">[2]Base!#REF!</definedName>
    <definedName name="XRefPaste7" hidden="1">[20]Base!#REF!</definedName>
    <definedName name="XRefPaste7Row" localSheetId="1" hidden="1">[2]XREF!#REF!</definedName>
    <definedName name="XRefPaste7Row" hidden="1">[20]XREF!#REF!</definedName>
    <definedName name="XRefPaste8" hidden="1">[2]Base!#REF!</definedName>
    <definedName name="XRefPaste8Row" localSheetId="1" hidden="1">[2]XREF!#REF!</definedName>
    <definedName name="XRefPaste8Row" hidden="1">[20]XREF!#REF!</definedName>
    <definedName name="XRefPaste9Row" localSheetId="1" hidden="1">[2]XREF!#REF!</definedName>
    <definedName name="XRefPaste9Row" hidden="1">[35]XREF!#REF!</definedName>
    <definedName name="XRefPasteRangeCount" localSheetId="1" hidden="1">6</definedName>
    <definedName name="XRefPasteRangeCount" hidden="1">22</definedName>
    <definedName name="XXX" localSheetId="1">OFFSET(Full_Print,0,0,'130.07.02'!Last_Row)</definedName>
    <definedName name="XXX">OFFSET(Full_Print,0,0,Last_Row)</definedName>
    <definedName name="Z_EBA44620_2BDF_11D4_BF59_0050DA2023A6_.wvu.Cols" localSheetId="1" hidden="1">[40]EERR!#REF!,[40]EERR!#REF!</definedName>
    <definedName name="Z_EBA44620_2BDF_11D4_BF59_0050DA2023A6_.wvu.Cols" hidden="1">[40]EERR!#REF!,[40]EERR!#REF!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E43" i="1" s="1"/>
  <c r="H41" i="1"/>
  <c r="H40" i="1"/>
  <c r="H39" i="1"/>
  <c r="H38" i="1"/>
  <c r="H37" i="1"/>
</calcChain>
</file>

<file path=xl/sharedStrings.xml><?xml version="1.0" encoding="utf-8"?>
<sst xmlns="http://schemas.openxmlformats.org/spreadsheetml/2006/main" count="116" uniqueCount="66">
  <si>
    <t>Preparado por:</t>
  </si>
  <si>
    <t>Revisado por:</t>
  </si>
  <si>
    <t>Objetivo:</t>
  </si>
  <si>
    <t xml:space="preserve">Tipo </t>
  </si>
  <si>
    <t xml:space="preserve">Diferencia </t>
  </si>
  <si>
    <t>Clientes</t>
  </si>
  <si>
    <t>Conclusión:</t>
  </si>
  <si>
    <t>COMPAÑÍA MODELO S.A.</t>
  </si>
  <si>
    <t>Desarrollo:</t>
  </si>
  <si>
    <t>Base de decisión: Materialidad</t>
  </si>
  <si>
    <t>Ref.</t>
  </si>
  <si>
    <t>General</t>
  </si>
  <si>
    <t>XXX.XXX</t>
  </si>
  <si>
    <t>Desempeño</t>
  </si>
  <si>
    <t>Errores Triviales</t>
  </si>
  <si>
    <t>1.-</t>
  </si>
  <si>
    <t>2.-</t>
  </si>
  <si>
    <t>3.-</t>
  </si>
  <si>
    <t>4.-</t>
  </si>
  <si>
    <t>Procedimientos:</t>
  </si>
  <si>
    <t>Marcas de auditoría:</t>
  </si>
  <si>
    <t>AL 31 DE DICIEMBRE DE 20XX</t>
  </si>
  <si>
    <t>XX</t>
  </si>
  <si>
    <t>Nombre del cliente</t>
  </si>
  <si>
    <t>Notas aclaratorias:</t>
  </si>
  <si>
    <t>Observaciones:</t>
  </si>
  <si>
    <t>CONFIRMACIÓN DE SALDOS</t>
  </si>
  <si>
    <t>Preliminar</t>
  </si>
  <si>
    <t>Final</t>
  </si>
  <si>
    <t>A</t>
  </si>
  <si>
    <t>B</t>
  </si>
  <si>
    <t>C</t>
  </si>
  <si>
    <t>a)</t>
  </si>
  <si>
    <t>b)</t>
  </si>
  <si>
    <t>c)</t>
  </si>
  <si>
    <t>Obs. 1</t>
  </si>
  <si>
    <t>Obs. 2</t>
  </si>
  <si>
    <t>Obs. 3</t>
  </si>
  <si>
    <t>***(Concluir en función al objetivo)</t>
  </si>
  <si>
    <t>FECHA DE CORTE: _/_/20XX</t>
  </si>
  <si>
    <t>Circularizado</t>
  </si>
  <si>
    <t xml:space="preserve">Determinar las partidas seleccionadas. </t>
  </si>
  <si>
    <t>Cálculos de Auditoría</t>
  </si>
  <si>
    <t>Documentar el papel de trabajo y concluir en base al objetivo.</t>
  </si>
  <si>
    <t>Solicitar a la Compañía el detalle de cuentas por cobrar al _/ _/ 20XX.</t>
  </si>
  <si>
    <t>Documentar el juicio profesional aplicado para la selección de muestra.</t>
  </si>
  <si>
    <t>130.07.02</t>
  </si>
  <si>
    <t>Saldo según confirmación al _/_/20xx</t>
  </si>
  <si>
    <t>130.07.01</t>
  </si>
  <si>
    <t>p/t 130.07.01</t>
  </si>
  <si>
    <t>Saldo según detalle al _/_/20xx</t>
  </si>
  <si>
    <t>Cruzar los saldos de las confirmaciones recibidas vs. los saldos en el detalle.</t>
  </si>
  <si>
    <t>Documentar papel de trabajo y concluir en base al objetivo.</t>
  </si>
  <si>
    <t xml:space="preserve">Ref. </t>
  </si>
  <si>
    <t>MUESTRA PARA CONFIRMACIONES</t>
  </si>
  <si>
    <t>Documentar las diferencias en caso de aplicar.</t>
  </si>
  <si>
    <t>Sumatoria</t>
  </si>
  <si>
    <t>*** El auditor dejará documentado cómo seleccionó la muestra.</t>
  </si>
  <si>
    <t>Comprobar la existencia y exactitud de las cuentas por cobrar a través del envío de cartas de confirmación a la muestra de cuentas por cobrar.</t>
  </si>
  <si>
    <t>Determinar una muestra de cuentas por cobrar a quienes solicitar la respectiva confirmación de saldos de cuentas por cobrar al _/ _/ 20xx.</t>
  </si>
  <si>
    <t>¿Aplica pasos alternos?
SI/NO</t>
  </si>
  <si>
    <t>Verificaciones:</t>
  </si>
  <si>
    <r>
      <t xml:space="preserve">Enviar la carta de confirmación a las cuentas por cobrar seleccionadas en </t>
    </r>
    <r>
      <rPr>
        <b/>
        <sz val="10"/>
        <color rgb="FFFF0000"/>
        <rFont val="Tahoma"/>
        <family val="2"/>
      </rPr>
      <t>p/t 130.07.01</t>
    </r>
  </si>
  <si>
    <t>SI</t>
  </si>
  <si>
    <t>NO</t>
  </si>
  <si>
    <t>Información proporcionada por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</si>
</sst>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_);_(@_)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theme="1"/>
      <name val="Calibri"/>
      <family val="2"/>
    </font>
    <font>
      <sz val="10"/>
      <color indexed="8"/>
      <name val="Tahoma"/>
      <family val="2"/>
    </font>
    <font>
      <u/>
      <sz val="10"/>
      <name val="Tahoma"/>
      <family val="2"/>
    </font>
    <font>
      <b/>
      <i/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11" fillId="0" borderId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0" fontId="5" fillId="2" borderId="0" xfId="3" applyFont="1" applyFill="1"/>
    <xf numFmtId="0" fontId="5" fillId="2" borderId="0" xfId="3" applyFont="1" applyFill="1" applyBorder="1" applyAlignment="1">
      <alignment vertical="center" wrapText="1"/>
    </xf>
    <xf numFmtId="0" fontId="6" fillId="2" borderId="0" xfId="2" applyFont="1" applyFill="1" applyBorder="1" applyAlignment="1">
      <alignment vertical="center" wrapText="1"/>
    </xf>
    <xf numFmtId="0" fontId="1" fillId="2" borderId="0" xfId="2" applyFont="1" applyFill="1"/>
    <xf numFmtId="0" fontId="10" fillId="0" borderId="0" xfId="0" applyFont="1"/>
    <xf numFmtId="0" fontId="1" fillId="0" borderId="0" xfId="0" applyFont="1"/>
    <xf numFmtId="0" fontId="10" fillId="2" borderId="0" xfId="3" applyFont="1" applyFill="1"/>
    <xf numFmtId="0" fontId="10" fillId="2" borderId="0" xfId="2" applyFont="1" applyFill="1"/>
    <xf numFmtId="0" fontId="1" fillId="0" borderId="2" xfId="0" applyFont="1" applyBorder="1"/>
    <xf numFmtId="0" fontId="4" fillId="2" borderId="0" xfId="3" applyFont="1" applyFill="1" applyAlignment="1">
      <alignment horizontal="left" vertical="center" indent="1"/>
    </xf>
    <xf numFmtId="0" fontId="9" fillId="3" borderId="3" xfId="0" applyFont="1" applyFill="1" applyBorder="1" applyAlignment="1" applyProtection="1">
      <alignment horizontal="center" vertical="center"/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43" fontId="1" fillId="0" borderId="1" xfId="1" applyFont="1" applyFill="1" applyBorder="1"/>
    <xf numFmtId="0" fontId="1" fillId="0" borderId="0" xfId="0" applyFont="1" applyBorder="1"/>
    <xf numFmtId="0" fontId="9" fillId="0" borderId="0" xfId="7" applyFont="1" applyAlignment="1" applyProtection="1">
      <alignment horizontal="left" vertical="center"/>
      <protection hidden="1"/>
    </xf>
    <xf numFmtId="0" fontId="9" fillId="2" borderId="0" xfId="0" applyFont="1" applyFill="1" applyAlignment="1">
      <alignment horizontal="left" vertical="top"/>
    </xf>
    <xf numFmtId="164" fontId="12" fillId="2" borderId="0" xfId="4" applyNumberFormat="1" applyFont="1" applyFill="1" applyAlignment="1">
      <alignment horizontal="left"/>
    </xf>
    <xf numFmtId="0" fontId="1" fillId="2" borderId="0" xfId="2" applyFont="1" applyFill="1" applyAlignment="1">
      <alignment horizontal="right"/>
    </xf>
    <xf numFmtId="0" fontId="1" fillId="0" borderId="1" xfId="2" applyFont="1" applyBorder="1" applyAlignment="1">
      <alignment horizontal="left" vertical="top" wrapText="1"/>
    </xf>
    <xf numFmtId="43" fontId="1" fillId="0" borderId="1" xfId="1" applyFont="1" applyBorder="1"/>
    <xf numFmtId="43" fontId="1" fillId="2" borderId="0" xfId="1" applyFont="1" applyFill="1"/>
    <xf numFmtId="43" fontId="6" fillId="4" borderId="0" xfId="8" applyFont="1" applyFill="1" applyBorder="1" applyAlignment="1">
      <alignment horizontal="center"/>
    </xf>
    <xf numFmtId="0" fontId="9" fillId="2" borderId="0" xfId="2" applyFont="1" applyFill="1" applyAlignment="1" applyProtection="1">
      <alignment horizontal="left" vertical="center"/>
      <protection hidden="1"/>
    </xf>
    <xf numFmtId="0" fontId="1" fillId="2" borderId="1" xfId="6" applyFont="1" applyFill="1" applyBorder="1" applyAlignment="1" applyProtection="1">
      <alignment horizontal="center" vertical="center"/>
      <protection hidden="1"/>
    </xf>
    <xf numFmtId="0" fontId="1" fillId="4" borderId="1" xfId="3" applyFont="1" applyFill="1" applyBorder="1" applyAlignment="1">
      <alignment horizontal="center" vertical="center" wrapText="1"/>
    </xf>
    <xf numFmtId="0" fontId="5" fillId="0" borderId="4" xfId="6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13" fillId="2" borderId="0" xfId="5" applyFont="1" applyFill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/>
    <xf numFmtId="0" fontId="8" fillId="0" borderId="0" xfId="0" applyFont="1"/>
    <xf numFmtId="0" fontId="14" fillId="2" borderId="0" xfId="2" applyFont="1" applyFill="1"/>
    <xf numFmtId="0" fontId="5" fillId="0" borderId="0" xfId="9" applyFont="1"/>
    <xf numFmtId="0" fontId="1" fillId="2" borderId="0" xfId="2" applyFont="1" applyFill="1" applyAlignment="1">
      <alignment horizontal="left"/>
    </xf>
    <xf numFmtId="0" fontId="5" fillId="0" borderId="0" xfId="3" applyFont="1" applyFill="1"/>
    <xf numFmtId="0" fontId="5" fillId="0" borderId="0" xfId="0" applyFont="1" applyFill="1" applyBorder="1"/>
    <xf numFmtId="43" fontId="1" fillId="2" borderId="7" xfId="1" applyFont="1" applyFill="1" applyBorder="1"/>
    <xf numFmtId="43" fontId="1" fillId="2" borderId="6" xfId="8" applyFont="1" applyFill="1" applyBorder="1"/>
    <xf numFmtId="0" fontId="8" fillId="0" borderId="0" xfId="0" applyFont="1" applyFill="1"/>
    <xf numFmtId="49" fontId="1" fillId="0" borderId="1" xfId="1" applyNumberFormat="1" applyFont="1" applyFill="1" applyBorder="1"/>
    <xf numFmtId="0" fontId="6" fillId="2" borderId="0" xfId="2" applyFont="1" applyFill="1" applyAlignment="1">
      <alignment horizontal="center"/>
    </xf>
    <xf numFmtId="9" fontId="15" fillId="2" borderId="0" xfId="10" applyFont="1" applyFill="1"/>
    <xf numFmtId="0" fontId="16" fillId="2" borderId="0" xfId="2" applyFont="1" applyFill="1"/>
    <xf numFmtId="0" fontId="5" fillId="0" borderId="0" xfId="11" applyFont="1" applyBorder="1"/>
    <xf numFmtId="0" fontId="9" fillId="3" borderId="1" xfId="4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</cellXfs>
  <cellStyles count="12">
    <cellStyle name="Millares" xfId="8" builtinId="3"/>
    <cellStyle name="Millares 5" xfId="1" xr:uid="{C549D6C7-919F-4E49-BBA7-F4D5802A75BB}"/>
    <cellStyle name="Normal" xfId="0" builtinId="0"/>
    <cellStyle name="Normal 17 2" xfId="11" xr:uid="{6C725BFE-5498-4D8F-B6DA-F12A3FCB6AD6}"/>
    <cellStyle name="Normal 18" xfId="2" xr:uid="{74D91A30-AB16-4347-AD10-EBEA54ACFB4E}"/>
    <cellStyle name="Normal 2 10" xfId="6" xr:uid="{936B5AD7-9C7C-438D-AA66-28F19AF08547}"/>
    <cellStyle name="Normal 2 2" xfId="3" xr:uid="{41665194-139F-4BDB-A2D5-5F376E85BCB4}"/>
    <cellStyle name="Normal 2 3 2 5" xfId="9" xr:uid="{2B6289D6-7500-4B28-B09A-6BB77B2EC780}"/>
    <cellStyle name="Normal 7" xfId="7" xr:uid="{09FA5C51-66D4-41C6-A503-A50495365F01}"/>
    <cellStyle name="Normal_2102 Sumaria de Efectivo y Equivalentes" xfId="4" xr:uid="{67C71C07-B73C-4238-B85D-813D5E70F1FA}"/>
    <cellStyle name="Normal_2102.1.1 Analisis de Partidas Conciliatorias" xfId="5" xr:uid="{E0B0B9AD-D847-4690-988D-65D47BFF8104}"/>
    <cellStyle name="Porcentaje" xfId="10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32</xdr:row>
      <xdr:rowOff>39688</xdr:rowOff>
    </xdr:from>
    <xdr:to>
      <xdr:col>1</xdr:col>
      <xdr:colOff>254000</xdr:colOff>
      <xdr:row>49</xdr:row>
      <xdr:rowOff>15875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0D37F548-0D62-4C9C-87E3-3A25467140A7}"/>
            </a:ext>
          </a:extLst>
        </xdr:cNvPr>
        <xdr:cNvSpPr/>
      </xdr:nvSpPr>
      <xdr:spPr>
        <a:xfrm>
          <a:off x="261938" y="4095751"/>
          <a:ext cx="254000" cy="2674937"/>
        </a:xfrm>
        <a:prstGeom prst="lef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38893</xdr:colOff>
      <xdr:row>31</xdr:row>
      <xdr:rowOff>86518</xdr:rowOff>
    </xdr:from>
    <xdr:to>
      <xdr:col>5</xdr:col>
      <xdr:colOff>230981</xdr:colOff>
      <xdr:row>33</xdr:row>
      <xdr:rowOff>103981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8833558-4DFD-4AC9-9A12-4B88FA35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1643" y="4753768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800894</xdr:colOff>
      <xdr:row>31</xdr:row>
      <xdr:rowOff>118269</xdr:rowOff>
    </xdr:from>
    <xdr:to>
      <xdr:col>7</xdr:col>
      <xdr:colOff>992982</xdr:colOff>
      <xdr:row>33</xdr:row>
      <xdr:rowOff>103982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EAB92CE-D08C-407E-B54B-37FEA54E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4332" y="420608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167490</xdr:colOff>
      <xdr:row>50</xdr:row>
      <xdr:rowOff>8731</xdr:rowOff>
    </xdr:from>
    <xdr:to>
      <xdr:col>0</xdr:col>
      <xdr:colOff>326240</xdr:colOff>
      <xdr:row>51</xdr:row>
      <xdr:rowOff>8731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50E88EF-E601-4CAF-91DE-CD7E6EF2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90" y="7581106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167490</xdr:colOff>
      <xdr:row>49</xdr:row>
      <xdr:rowOff>16669</xdr:rowOff>
    </xdr:from>
    <xdr:ext cx="158750" cy="158750"/>
    <xdr:pic>
      <xdr:nvPicPr>
        <xdr:cNvPr id="16" name="Imagen 15">
          <a:extLst>
            <a:ext uri="{FF2B5EF4-FFF2-40B4-BE49-F238E27FC236}">
              <a16:creationId xmlns:a16="http://schemas.microsoft.com/office/drawing/2014/main" id="{EB75E9A9-E361-4238-83E4-B00F5E2F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90" y="790654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2500312</xdr:colOff>
      <xdr:row>42</xdr:row>
      <xdr:rowOff>0</xdr:rowOff>
    </xdr:from>
    <xdr:ext cx="158750" cy="158750"/>
    <xdr:pic>
      <xdr:nvPicPr>
        <xdr:cNvPr id="12" name="Imagen 11">
          <a:extLst>
            <a:ext uri="{FF2B5EF4-FFF2-40B4-BE49-F238E27FC236}">
              <a16:creationId xmlns:a16="http://schemas.microsoft.com/office/drawing/2014/main" id="{F365FF05-F831-484F-95DE-8DA2D7F4C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062" y="671512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166688</xdr:colOff>
      <xdr:row>51</xdr:row>
      <xdr:rowOff>31750</xdr:rowOff>
    </xdr:from>
    <xdr:ext cx="158750" cy="158750"/>
    <xdr:pic>
      <xdr:nvPicPr>
        <xdr:cNvPr id="14" name="Imagen 13">
          <a:extLst>
            <a:ext uri="{FF2B5EF4-FFF2-40B4-BE49-F238E27FC236}">
              <a16:creationId xmlns:a16="http://schemas.microsoft.com/office/drawing/2014/main" id="{27F2DDF0-AE10-42AE-B8BA-D8D642C41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8120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230981</xdr:colOff>
      <xdr:row>33</xdr:row>
      <xdr:rowOff>7937</xdr:rowOff>
    </xdr:from>
    <xdr:to>
      <xdr:col>7</xdr:col>
      <xdr:colOff>0</xdr:colOff>
      <xdr:row>33</xdr:row>
      <xdr:rowOff>7938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6DAFA8E-5653-4AC5-8E5E-318235B70A55}"/>
            </a:ext>
          </a:extLst>
        </xdr:cNvPr>
        <xdr:cNvCxnSpPr>
          <a:stCxn id="9" idx="3"/>
        </xdr:cNvCxnSpPr>
      </xdr:nvCxnSpPr>
      <xdr:spPr>
        <a:xfrm>
          <a:off x="6993731" y="4849812"/>
          <a:ext cx="2396332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166688</xdr:colOff>
      <xdr:row>33</xdr:row>
      <xdr:rowOff>7937</xdr:rowOff>
    </xdr:from>
    <xdr:to>
      <xdr:col>5</xdr:col>
      <xdr:colOff>38893</xdr:colOff>
      <xdr:row>33</xdr:row>
      <xdr:rowOff>11905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6665C1E5-F4B4-4F62-A0B9-BCA7CCE8DE7B}"/>
            </a:ext>
          </a:extLst>
        </xdr:cNvPr>
        <xdr:cNvCxnSpPr>
          <a:cxnSpLocks/>
          <a:stCxn id="17" idx="3"/>
          <a:endCxn id="9" idx="1"/>
        </xdr:cNvCxnSpPr>
      </xdr:nvCxnSpPr>
      <xdr:spPr>
        <a:xfrm flipV="1">
          <a:off x="1976438" y="4849812"/>
          <a:ext cx="4825205" cy="39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32</xdr:row>
      <xdr:rowOff>15873</xdr:rowOff>
    </xdr:from>
    <xdr:to>
      <xdr:col>2</xdr:col>
      <xdr:colOff>166688</xdr:colOff>
      <xdr:row>33</xdr:row>
      <xdr:rowOff>95249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1582A23-84DC-4E7F-8518-474652E1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4770436"/>
          <a:ext cx="166688" cy="16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158755</xdr:colOff>
      <xdr:row>48</xdr:row>
      <xdr:rowOff>0</xdr:rowOff>
    </xdr:from>
    <xdr:to>
      <xdr:col>0</xdr:col>
      <xdr:colOff>325443</xdr:colOff>
      <xdr:row>49</xdr:row>
      <xdr:rowOff>7938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2392403-DDDB-4FDF-8867-BCD3D11AE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5" y="7453313"/>
          <a:ext cx="166688" cy="16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-UIOEYAUMUNOS\aws\Mis%20documentos\Data\Clientes\OCP\2004\Final\Quarter\Copy%20of%20Quarter%20Report%20as%20of%20December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nunez\CaseWare\2016_UIO_AUDITOR&#205;A_HOLDUNTRUST%20(SYNC)\Audit%20Sample%20Proveedo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OS_FREDDY_FREDDY/FREDDY/Impuestos%202010/FREDDY%20RETENFTE2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ECERDA\Documents\Deloitte\Plantilla%20de%20Selecciones%20Nuevo%20Enfoqu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ECERDA\Documents\Deloitte\Plantilla%20de%20Selecciones%20Nuevo%20Enfoqu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auricio\2005\Contabilidad\An&#225;lisis%20de%20cuentas%20activo%2020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_Chile%20(655)\_2010%20MGR\_EEFF\Proyectado%202007%20Uruguay%202007\FY2007_Uruguay%20Projection_%20sin%20Bandes%202109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rre\sys\eudora\attach\BALIND1999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-1%20Revisi&#243;n%20Anal&#237;tica%20Sustantiva%20-%20Poblaciones%20Disgregadas%20%20Activo%20Fijo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tefan&#237;a%20N&#250;&#241;ez\AUDITORIA%202020\AUDITORIA%202020\1_Pasteurizadora\PPC\PQSA%20NIIFS\Matriz%20deterioro%20Cartera%20PQSA%202019o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pc\CONFIG~1\Temp\Directorio%20temporal%201%20para%202005.zip\Informe%20Mensual%20-Complet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ITA%20DELOITTE\anita%20backups\AS2\backup%20anita\metropolitan%20touring\2321%20Revisi&#243;n%20anal&#237;tica%20fina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sola\Mis%20documentos\INEC\Copia%20de%20formulario%20de%20manufactura%202009%202da%20entreg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sola\Mis%20documentos\INEC\Copia%20de%20formulario%20de%20manufactura%202009%202da%20entreg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RDEX%20VEGETATIVO\VEG.%20PLANTAS%20SL%20_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%202001\BDF\PLANIFICACION\analitb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0%20Hoja%20Resumen%20Gasto%20de%20Personal%20-%20Kamerino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1%20Sueldos%20y%20Salarios%20Combined%20Leadsheet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30%20An&#225;lisis%20de%20Gatos%20Anticipado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robalino\Desktop\AUD2016\Transportes%20y%20Log&#237;stica%20del%20&#193;rea%20Andina%20TRANDINA%20S.A\Planificaci&#243;n\Muestreo\Plantilla%20Seleccion_MS_Costos_Agosto%20Finalfd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orobalino\Desktop\AUD2015\Orion%20Casa%20de%20Valores\PPC\ORION\An&#225;lisis\Activos\Clientes%202011%20APT\Cepsa%202011\A%20Efectivo%20y%20Equivalentes%20de%20Efectivo%20DP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%20%20Plantilla%20de%20Procedimientos%20Anal&#237;ticos%20Sustantivo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30%20An&#225;lisis%20de%20Activos%20Fijo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30-1%20An&#225;lisis%20de%20Fondos%20Disponibles%20Final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Papel%20de%20trabajo%20Excel%20en%20blanco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30%20An&#225;lisis%20de%20Activo%20Fijo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0%20An&#225;lisis%20de%20Activo%20FijoCED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valenzuela\Documents\Base%20Legal\Pruebas%202008\Pruebas%202008%20Finales\Mis%20Documentos\NOMINA\PRESUPUESTO%202006\AOP%202006%20Personnel%20Cost\h\Crest%20Reports\Actuals%202005\March%2005\P&amp;L%20March%2005%20BP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armerw14484\Mis%20documentos\Documents%20and%20Settings\SClar\Mis%20documentos\Balances%20y%20Reportes\A&#241;o%202002\PROPERTY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IENTES%202012\Construecuador\Archivo%20An&#225;lisis%20Construecuador-12%20Ok\Users\Auditores\Documents\Marcos\Documentos\Archivos%20recuperados%202\Marcos\INCON%20Impuestos\Papeles%20Megadatos\5630%20An&#225;lisis%20de%20Activo%20Fij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XX%20An&#225;lisis%20de%20Activos%20Fijos%202006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ARELLANO\Documents\Deloitte\Herramientas%20Deloitte\8340%20Selecci&#243;n%20CMA%20para%20APT%20de%20gasto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LARELLANO\Documents\Deloitte\Herramientas%20Deloitte\8340%20Selecci&#243;n%20CMA%20para%20APT%20de%20gasto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0%20An&#225;lisis%20de%20Gastos%20operacionale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30%20An&#225;lisis%20de%20Intangibles%20y%20Otros%20Activo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GR\Informes%20Varios\Contable%20a%20Resolver\Ajuste%20Final%2010%20-11%20-12-02%20-Operativo%20y%20Financie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Balance Sheet OCP S.A."/>
      <sheetName val="OCP SA Deferred Proj.Cost Stat."/>
      <sheetName val="OCP S. A. CASH FLOW"/>
      <sheetName val="Balance Sheet OCP LTD&amp;SUBSIDIAR"/>
      <sheetName val="OCP LTD&amp;SUBSIDIARY D.Proj.Costs"/>
      <sheetName val="OCP LTD CONSOLIDED  CASH FLOW"/>
      <sheetName val="Shareholders' Equity"/>
      <sheetName val="Deferred Tax Calculation"/>
      <sheetName val="IMPUESTO DIFERIDO"/>
      <sheetName val="CONSOLIDATION"/>
      <sheetName val="Conciliation OCP S.A. - LTD."/>
      <sheetName val="JDEOCP SA"/>
      <sheetName val="JDEOCPLtd"/>
      <sheetName val="AFE"/>
    </sheetNames>
    <sheetDataSet>
      <sheetData sheetId="0" refreshError="1">
        <row r="3">
          <cell r="K3">
            <v>38352</v>
          </cell>
        </row>
        <row r="4">
          <cell r="K4">
            <v>38260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Base"/>
      <sheetName val="Sample Size &amp; Threshold Calc"/>
      <sheetName val="Sample Data"/>
      <sheetName val="Calc"/>
      <sheetName val="CMA Calculations"/>
      <sheetName val="CMA Selections"/>
      <sheetName val="XREF"/>
      <sheetName val="Tickmarks"/>
      <sheetName val="CMA_SampleDesign"/>
      <sheetName val="DialogInsert"/>
      <sheetName val="Selección "/>
    </sheetNames>
    <sheetDataSet>
      <sheetData sheetId="0"/>
      <sheetData sheetId="1"/>
      <sheetData sheetId="2">
        <row r="1">
          <cell r="A1" t="str">
            <v>HOLDUNTRUST ADMINISTRADORA DE FONDOS Y FIDEICOMISOS S.A.</v>
          </cell>
        </row>
      </sheetData>
      <sheetData sheetId="3"/>
      <sheetData sheetId="4"/>
      <sheetData sheetId="5"/>
      <sheetData sheetId="6">
        <row r="69">
          <cell r="L69">
            <v>5</v>
          </cell>
          <cell r="N69">
            <v>-11285.999999999975</v>
          </cell>
        </row>
      </sheetData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2010"/>
      <sheetName val="FEBRER2010"/>
      <sheetName val="marzo2010"/>
      <sheetName val="ABRIL 2010"/>
      <sheetName val="MAYO 2010"/>
      <sheetName val="JUNIO 2010"/>
      <sheetName val="JULIO 2010"/>
      <sheetName val="AGOSTO 2010"/>
      <sheetName val="SEPTIEMBRE 2010"/>
      <sheetName val="OCTUBRE 2010"/>
      <sheetName val="anaislis"/>
      <sheetName val="421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D2">
            <v>-88.39</v>
          </cell>
        </row>
        <row r="3">
          <cell r="D3">
            <v>-114.85</v>
          </cell>
        </row>
        <row r="4">
          <cell r="D4">
            <v>-2325.75</v>
          </cell>
        </row>
        <row r="5">
          <cell r="D5">
            <v>-135.55000000000001</v>
          </cell>
        </row>
        <row r="6">
          <cell r="D6">
            <v>-126.5</v>
          </cell>
        </row>
        <row r="7">
          <cell r="D7">
            <v>-437.91</v>
          </cell>
        </row>
        <row r="8">
          <cell r="D8">
            <v>-325.48</v>
          </cell>
        </row>
        <row r="9">
          <cell r="D9">
            <v>-231.03</v>
          </cell>
        </row>
        <row r="10">
          <cell r="D10">
            <v>-235.11</v>
          </cell>
        </row>
        <row r="11">
          <cell r="D11">
            <v>-684.9</v>
          </cell>
        </row>
        <row r="12">
          <cell r="D12">
            <v>-247</v>
          </cell>
        </row>
        <row r="13">
          <cell r="D13">
            <v>-461.61</v>
          </cell>
        </row>
        <row r="14">
          <cell r="D14">
            <v>-552.9</v>
          </cell>
        </row>
        <row r="15">
          <cell r="D15">
            <v>-17</v>
          </cell>
        </row>
        <row r="16">
          <cell r="D16">
            <v>-1006.95</v>
          </cell>
        </row>
        <row r="17">
          <cell r="D17">
            <v>-139.22999999999999</v>
          </cell>
        </row>
        <row r="18">
          <cell r="D18">
            <v>-2112.71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Sample Data"/>
      <sheetName val="Calc"/>
      <sheetName val="MUS Calculations- Figure 5410.1"/>
      <sheetName val="MUS Selections"/>
      <sheetName val="Tickmarks"/>
      <sheetName val="CMA_SampleDesign"/>
      <sheetName val="DialogInsert"/>
      <sheetName val="#REF"/>
      <sheetName val="Guidance_"/>
      <sheetName val="Sample_Data"/>
      <sheetName val="MUS_Calculations-_Figure_5410_1"/>
      <sheetName val="MUS_Selections"/>
    </sheetNames>
    <sheetDataSet>
      <sheetData sheetId="0" refreshError="1"/>
      <sheetData sheetId="1" refreshError="1"/>
      <sheetData sheetId="2" refreshError="1"/>
      <sheetData sheetId="3">
        <row r="22">
          <cell r="D22">
            <v>0</v>
          </cell>
          <cell r="H22" t="e">
            <v>#DIV/0!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22">
          <cell r="D22">
            <v>0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. Tránsito"/>
      <sheetName val="I.T. ATAIC"/>
      <sheetName val="I.T. varios"/>
      <sheetName val="AIG METROPOLITANA"/>
      <sheetName val="CHEQUES DEVUELTOS"/>
      <sheetName val="Quincenas"/>
      <sheetName val="Incobrables"/>
      <sheetName val="Prep. 05-2004"/>
      <sheetName val="Laf."/>
      <sheetName val="Cartera"/>
      <sheetName val="SEGUROS PREP."/>
      <sheetName val="PLAN T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I&amp;E"/>
      <sheetName val="USGAAP"/>
      <sheetName val="Rev_GP"/>
      <sheetName val="SG&amp;A"/>
      <sheetName val="OID"/>
      <sheetName val="Summary Amie"/>
      <sheetName val="Macros"/>
      <sheetName val="Amie"/>
      <sheetName val="Core"/>
      <sheetName val="GEOIE_E&amp;E"/>
      <sheetName val="GEOIE_GP"/>
      <sheetName val="BOP"/>
      <sheetName val="Maintenance"/>
      <sheetName val="Shee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>
        <row r="5">
          <cell r="F5" t="str">
            <v>January MTD</v>
          </cell>
          <cell r="G5" t="str">
            <v>February MTD</v>
          </cell>
          <cell r="H5" t="str">
            <v>March MTD</v>
          </cell>
          <cell r="I5" t="str">
            <v>1st Quarter</v>
          </cell>
          <cell r="K5" t="str">
            <v>April MTD</v>
          </cell>
          <cell r="L5" t="str">
            <v>May MTD</v>
          </cell>
          <cell r="M5" t="str">
            <v>June MTD</v>
          </cell>
          <cell r="N5" t="str">
            <v>2nd Quarter</v>
          </cell>
          <cell r="O5" t="str">
            <v>1st Half</v>
          </cell>
          <cell r="P5" t="str">
            <v>July MTD</v>
          </cell>
          <cell r="Q5" t="str">
            <v>August MTD</v>
          </cell>
          <cell r="R5" t="str">
            <v>September MTD</v>
          </cell>
          <cell r="S5" t="str">
            <v>3rd Quarter</v>
          </cell>
          <cell r="T5" t="str">
            <v>9 Months</v>
          </cell>
          <cell r="U5" t="str">
            <v>October MTD</v>
          </cell>
          <cell r="V5" t="str">
            <v>November MTD</v>
          </cell>
          <cell r="W5" t="str">
            <v>December MTD</v>
          </cell>
          <cell r="X5" t="str">
            <v>4th Quarter</v>
          </cell>
          <cell r="Z5" t="str">
            <v>Full Year</v>
          </cell>
        </row>
        <row r="7">
          <cell r="F7">
            <v>3.8815000000000002E-2</v>
          </cell>
          <cell r="G7">
            <v>5.8595000000000001E-2</v>
          </cell>
          <cell r="H7">
            <v>4.8681000000000002E-2</v>
          </cell>
          <cell r="I7">
            <v>0.146091</v>
          </cell>
          <cell r="K7">
            <v>4.8682000000000003E-2</v>
          </cell>
          <cell r="L7">
            <v>4.8681000000000002E-2</v>
          </cell>
          <cell r="M7">
            <v>8.3898E-2</v>
          </cell>
          <cell r="N7">
            <v>0.18126100000000001</v>
          </cell>
          <cell r="O7">
            <v>0.32735199999999998</v>
          </cell>
          <cell r="P7">
            <v>5.7410000000000003E-2</v>
          </cell>
          <cell r="Q7">
            <v>3.3846000000000001E-2</v>
          </cell>
          <cell r="R7">
            <v>8.3238999999999994E-2</v>
          </cell>
          <cell r="S7">
            <v>0.17449500000000001</v>
          </cell>
          <cell r="T7">
            <v>0.50184699999999993</v>
          </cell>
          <cell r="U7">
            <v>4.3388999999999997E-2</v>
          </cell>
          <cell r="V7">
            <v>4.3388999999999997E-2</v>
          </cell>
          <cell r="W7" t="str">
            <v xml:space="preserve"> 0</v>
          </cell>
          <cell r="X7">
            <v>8.6777999999999994E-2</v>
          </cell>
          <cell r="Z7">
            <v>0.58862499999999995</v>
          </cell>
        </row>
        <row r="8">
          <cell r="F8">
            <v>3.8490000000000003E-2</v>
          </cell>
          <cell r="G8">
            <v>5.7763000000000002E-2</v>
          </cell>
          <cell r="H8">
            <v>4.7772000000000002E-2</v>
          </cell>
          <cell r="I8">
            <v>0.14402499999999999</v>
          </cell>
          <cell r="K8">
            <v>4.6518000000000004E-2</v>
          </cell>
          <cell r="L8">
            <v>4.7758000000000002E-2</v>
          </cell>
          <cell r="M8">
            <v>8.301E-2</v>
          </cell>
          <cell r="N8">
            <v>0.177286</v>
          </cell>
          <cell r="O8">
            <v>0.32131100000000001</v>
          </cell>
          <cell r="P8">
            <v>5.4975000000000003E-2</v>
          </cell>
          <cell r="Q8">
            <v>3.1913999999999998E-2</v>
          </cell>
          <cell r="R8">
            <v>8.1717999999999999E-2</v>
          </cell>
          <cell r="S8">
            <v>0.16860700000000001</v>
          </cell>
          <cell r="T8">
            <v>0.48991800000000002</v>
          </cell>
          <cell r="U8">
            <v>4.2474999999999999E-2</v>
          </cell>
          <cell r="V8">
            <v>4.1512999999999994E-2</v>
          </cell>
          <cell r="W8" t="str">
            <v xml:space="preserve"> 0</v>
          </cell>
          <cell r="X8">
            <v>8.3987999999999993E-2</v>
          </cell>
          <cell r="Z8">
            <v>0.57390600000000003</v>
          </cell>
        </row>
        <row r="9">
          <cell r="F9">
            <v>3.8815000000000002E-2</v>
          </cell>
          <cell r="G9">
            <v>5.8595000000000001E-2</v>
          </cell>
          <cell r="H9">
            <v>4.8681000000000002E-2</v>
          </cell>
          <cell r="I9">
            <v>0.146091</v>
          </cell>
          <cell r="K9">
            <v>4.8682000000000003E-2</v>
          </cell>
          <cell r="L9">
            <v>4.8681000000000002E-2</v>
          </cell>
          <cell r="M9">
            <v>8.3898E-2</v>
          </cell>
          <cell r="N9">
            <v>0.18126100000000001</v>
          </cell>
          <cell r="O9">
            <v>0.32735199999999998</v>
          </cell>
          <cell r="P9">
            <v>5.7410000000000003E-2</v>
          </cell>
          <cell r="Q9">
            <v>3.3846000000000001E-2</v>
          </cell>
          <cell r="R9">
            <v>8.3238999999999994E-2</v>
          </cell>
          <cell r="S9">
            <v>0.17449500000000001</v>
          </cell>
          <cell r="T9">
            <v>0.50184699999999993</v>
          </cell>
          <cell r="U9">
            <v>4.3388999999999997E-2</v>
          </cell>
          <cell r="V9">
            <v>4.3388999999999997E-2</v>
          </cell>
          <cell r="W9" t="str">
            <v xml:space="preserve"> 0</v>
          </cell>
          <cell r="X9">
            <v>8.6777999999999994E-2</v>
          </cell>
          <cell r="Z9">
            <v>0.58862499999999995</v>
          </cell>
        </row>
        <row r="11">
          <cell r="F11">
            <v>3.8815000000000002E-2</v>
          </cell>
          <cell r="G11">
            <v>5.8595000000000001E-2</v>
          </cell>
          <cell r="H11">
            <v>4.8681000000000002E-2</v>
          </cell>
          <cell r="I11">
            <v>0.146091</v>
          </cell>
          <cell r="K11">
            <v>4.8682000000000003E-2</v>
          </cell>
          <cell r="L11">
            <v>4.8681000000000002E-2</v>
          </cell>
          <cell r="M11">
            <v>8.3898E-2</v>
          </cell>
          <cell r="N11">
            <v>0.18126100000000001</v>
          </cell>
          <cell r="O11">
            <v>0.32735199999999998</v>
          </cell>
          <cell r="P11">
            <v>5.7410000000000003E-2</v>
          </cell>
          <cell r="Q11">
            <v>3.3846000000000001E-2</v>
          </cell>
          <cell r="R11">
            <v>8.3238999999999994E-2</v>
          </cell>
          <cell r="S11">
            <v>0.17449500000000001</v>
          </cell>
          <cell r="T11">
            <v>0.50184699999999993</v>
          </cell>
          <cell r="U11">
            <v>4.3388999999999997E-2</v>
          </cell>
          <cell r="V11">
            <v>4.3388999999999997E-2</v>
          </cell>
          <cell r="W11" t="str">
            <v xml:space="preserve"> 0</v>
          </cell>
          <cell r="X11">
            <v>8.6777999999999994E-2</v>
          </cell>
          <cell r="Z11">
            <v>0.58862499999999995</v>
          </cell>
        </row>
        <row r="12">
          <cell r="F12">
            <v>3.6517000000000001E-2</v>
          </cell>
          <cell r="G12">
            <v>5.6839000000000001E-2</v>
          </cell>
          <cell r="H12">
            <v>4.3624999999999997E-2</v>
          </cell>
          <cell r="I12">
            <v>0.13698099999999999</v>
          </cell>
          <cell r="K12">
            <v>3.7698000000000002E-2</v>
          </cell>
          <cell r="L12">
            <v>5.7890000000000004E-2</v>
          </cell>
          <cell r="M12">
            <v>7.8270999999999993E-2</v>
          </cell>
          <cell r="N12">
            <v>0.17385900000000001</v>
          </cell>
          <cell r="O12">
            <v>0.31084000000000001</v>
          </cell>
          <cell r="P12">
            <v>5.2410000000000005E-2</v>
          </cell>
          <cell r="Q12">
            <v>2.9237000000000003E-2</v>
          </cell>
          <cell r="R12">
            <v>7.8787999999999983E-2</v>
          </cell>
          <cell r="S12">
            <v>0.16043500000000002</v>
          </cell>
          <cell r="T12">
            <v>0.471275</v>
          </cell>
          <cell r="U12">
            <v>3.8994000000000001E-2</v>
          </cell>
          <cell r="V12">
            <v>3.8793999999999995E-2</v>
          </cell>
          <cell r="W12" t="str">
            <v xml:space="preserve"> 0</v>
          </cell>
          <cell r="X12">
            <v>7.7787999999999996E-2</v>
          </cell>
          <cell r="Z12">
            <v>0.54906299999999997</v>
          </cell>
        </row>
        <row r="13">
          <cell r="F13">
            <v>8.6499999999999999E-4</v>
          </cell>
          <cell r="G13">
            <v>5.6300000000000002E-4</v>
          </cell>
          <cell r="H13">
            <v>3.0700000000000002E-3</v>
          </cell>
          <cell r="I13">
            <v>4.4980000000000003E-3</v>
          </cell>
          <cell r="K13">
            <v>6.5490000000000001E-3</v>
          </cell>
          <cell r="L13">
            <v>2.7460000000000002E-3</v>
          </cell>
          <cell r="M13">
            <v>1.4090000000000001E-3</v>
          </cell>
          <cell r="N13">
            <v>1.0704E-2</v>
          </cell>
          <cell r="O13">
            <v>1.5202E-2</v>
          </cell>
          <cell r="P13">
            <v>1.8960000000000001E-3</v>
          </cell>
          <cell r="Q13">
            <v>1.454E-3</v>
          </cell>
          <cell r="R13">
            <v>3.7930000000000004E-3</v>
          </cell>
          <cell r="S13">
            <v>7.143E-3</v>
          </cell>
          <cell r="T13">
            <v>2.2345E-2</v>
          </cell>
          <cell r="U13">
            <v>2.9750000000000002E-3</v>
          </cell>
          <cell r="V13">
            <v>6.5579999999999996E-3</v>
          </cell>
          <cell r="W13" t="str">
            <v xml:space="preserve"> 0</v>
          </cell>
          <cell r="X13">
            <v>9.5329999999999998E-3</v>
          </cell>
          <cell r="Z13">
            <v>3.1878000000000004E-2</v>
          </cell>
        </row>
        <row r="15">
          <cell r="F15">
            <v>9.2829999999999996E-3</v>
          </cell>
          <cell r="G15">
            <v>4.4269999999999995E-3</v>
          </cell>
          <cell r="H15">
            <v>1.0031E-2</v>
          </cell>
          <cell r="I15">
            <v>2.3741000000000005E-2</v>
          </cell>
          <cell r="K15">
            <v>1.0069E-2</v>
          </cell>
          <cell r="L15">
            <v>1.4407E-2</v>
          </cell>
          <cell r="M15">
            <v>1.6469000000000001E-2</v>
          </cell>
          <cell r="N15">
            <v>4.0945000000000002E-2</v>
          </cell>
          <cell r="O15">
            <v>6.4686000000000007E-2</v>
          </cell>
          <cell r="P15">
            <v>1.8371000000000002E-2</v>
          </cell>
          <cell r="Q15">
            <v>9.5469999999999999E-3</v>
          </cell>
          <cell r="R15">
            <v>5.3357000000000002E-2</v>
          </cell>
          <cell r="S15">
            <v>8.1274999999999986E-2</v>
          </cell>
          <cell r="T15">
            <v>0.14596100000000001</v>
          </cell>
          <cell r="U15">
            <v>4.3300000000000005E-3</v>
          </cell>
          <cell r="V15">
            <v>1.6563000000000001E-2</v>
          </cell>
          <cell r="W15" t="str">
            <v xml:space="preserve"> 0</v>
          </cell>
          <cell r="X15">
            <v>2.0893000000000002E-2</v>
          </cell>
          <cell r="Z15">
            <v>0.166854</v>
          </cell>
        </row>
        <row r="16">
          <cell r="F16">
            <v>8.9969999999999998E-3</v>
          </cell>
          <cell r="G16">
            <v>3.908E-3</v>
          </cell>
          <cell r="H16">
            <v>9.3340000000000003E-3</v>
          </cell>
          <cell r="I16">
            <v>2.2239000000000005E-2</v>
          </cell>
          <cell r="K16">
            <v>8.9109999999999988E-3</v>
          </cell>
          <cell r="L16">
            <v>1.3812999999999999E-2</v>
          </cell>
          <cell r="M16">
            <v>1.5637000000000002E-2</v>
          </cell>
          <cell r="N16">
            <v>3.8360999999999999E-2</v>
          </cell>
          <cell r="O16">
            <v>6.0600000000000001E-2</v>
          </cell>
          <cell r="P16">
            <v>1.7216000000000002E-2</v>
          </cell>
          <cell r="Q16">
            <v>8.0409999999999995E-3</v>
          </cell>
          <cell r="R16">
            <v>5.2387000000000003E-2</v>
          </cell>
          <cell r="S16">
            <v>7.7643999999999991E-2</v>
          </cell>
          <cell r="T16">
            <v>0.13824399999999998</v>
          </cell>
          <cell r="U16">
            <v>3.4730000000000004E-3</v>
          </cell>
          <cell r="V16">
            <v>1.5090000000000001E-2</v>
          </cell>
          <cell r="W16" t="str">
            <v xml:space="preserve"> 0</v>
          </cell>
          <cell r="X16">
            <v>1.8563000000000003E-2</v>
          </cell>
          <cell r="Z16">
            <v>0.15680699999999997</v>
          </cell>
        </row>
        <row r="17">
          <cell r="F17">
            <v>8.1000000000000004E-5</v>
          </cell>
          <cell r="G17">
            <v>8.2000000000000001E-5</v>
          </cell>
          <cell r="H17">
            <v>3.3000000000000003E-5</v>
          </cell>
          <cell r="I17">
            <v>1.9599999999999999E-4</v>
          </cell>
          <cell r="K17">
            <v>3.088E-3</v>
          </cell>
          <cell r="L17">
            <v>3.0890000000000002E-3</v>
          </cell>
          <cell r="M17">
            <v>3.088E-3</v>
          </cell>
          <cell r="N17">
            <v>9.2650000000000007E-3</v>
          </cell>
          <cell r="O17">
            <v>9.4610000000000007E-3</v>
          </cell>
          <cell r="P17">
            <v>3.088E-3</v>
          </cell>
          <cell r="Q17">
            <v>3.088E-3</v>
          </cell>
          <cell r="R17">
            <v>3.0890000000000002E-3</v>
          </cell>
          <cell r="S17">
            <v>9.2650000000000007E-3</v>
          </cell>
          <cell r="T17">
            <v>1.8726E-2</v>
          </cell>
          <cell r="U17">
            <v>3.088E-3</v>
          </cell>
          <cell r="V17">
            <v>3.088E-3</v>
          </cell>
          <cell r="W17" t="str">
            <v xml:space="preserve"> 0</v>
          </cell>
          <cell r="X17">
            <v>6.1760000000000001E-3</v>
          </cell>
          <cell r="Z17">
            <v>2.4902000000000001E-2</v>
          </cell>
        </row>
        <row r="19">
          <cell r="F19">
            <v>3.261E-2</v>
          </cell>
          <cell r="G19">
            <v>-1.3596E-2</v>
          </cell>
          <cell r="H19">
            <v>3.3930000000000002E-2</v>
          </cell>
          <cell r="I19">
            <v>5.2944000000000012E-2</v>
          </cell>
          <cell r="K19">
            <v>1.1901999999999999E-2</v>
          </cell>
          <cell r="L19">
            <v>6.5389000000000003E-2</v>
          </cell>
          <cell r="M19">
            <v>8.5877000000000009E-2</v>
          </cell>
          <cell r="N19">
            <v>0.16316800000000004</v>
          </cell>
          <cell r="O19">
            <v>0.21611200000000005</v>
          </cell>
          <cell r="P19">
            <v>8.3065E-2</v>
          </cell>
          <cell r="Q19">
            <v>1.5782999999999998E-2</v>
          </cell>
          <cell r="R19">
            <v>6.3564000000000009E-2</v>
          </cell>
          <cell r="S19">
            <v>0.162412</v>
          </cell>
          <cell r="T19">
            <v>0.37852400000000008</v>
          </cell>
          <cell r="U19">
            <v>6.8240000000000002E-3</v>
          </cell>
          <cell r="V19">
            <v>5.5899000000000004E-2</v>
          </cell>
          <cell r="W19" t="str">
            <v xml:space="preserve"> 0</v>
          </cell>
          <cell r="X19">
            <v>6.2723000000000001E-2</v>
          </cell>
          <cell r="Z19">
            <v>0.44124700000000006</v>
          </cell>
        </row>
        <row r="20">
          <cell r="F20">
            <v>1.9443999999999999E-2</v>
          </cell>
          <cell r="G20">
            <v>-2.2194000000000002E-2</v>
          </cell>
          <cell r="H20">
            <v>2.1531999999999999E-2</v>
          </cell>
          <cell r="I20">
            <v>1.8782000000000007E-2</v>
          </cell>
          <cell r="K20">
            <v>1.6615999999999999E-2</v>
          </cell>
          <cell r="L20">
            <v>6.1435000000000003E-2</v>
          </cell>
          <cell r="M20">
            <v>5.8292000000000004E-2</v>
          </cell>
          <cell r="N20">
            <v>0.13634300000000005</v>
          </cell>
          <cell r="O20">
            <v>0.15512500000000007</v>
          </cell>
          <cell r="P20">
            <v>6.1157000000000003E-2</v>
          </cell>
          <cell r="Q20">
            <v>1.0891999999999999E-2</v>
          </cell>
          <cell r="R20">
            <v>5.2206000000000009E-2</v>
          </cell>
          <cell r="S20">
            <v>0.124255</v>
          </cell>
          <cell r="T20">
            <v>0.27938000000000007</v>
          </cell>
          <cell r="U20">
            <v>-3.5630000000000002E-3</v>
          </cell>
          <cell r="V20">
            <v>4.3814000000000006E-2</v>
          </cell>
          <cell r="W20" t="str">
            <v xml:space="preserve"> 0</v>
          </cell>
          <cell r="X20">
            <v>4.0251000000000002E-2</v>
          </cell>
          <cell r="Z20">
            <v>0.31963100000000005</v>
          </cell>
        </row>
        <row r="21">
          <cell r="F21">
            <v>7.8050000000000003E-3</v>
          </cell>
          <cell r="G21">
            <v>7.6080000000000002E-3</v>
          </cell>
          <cell r="H21">
            <v>2.3886000000000001E-2</v>
          </cell>
          <cell r="I21">
            <v>3.9298999999999994E-2</v>
          </cell>
          <cell r="K21">
            <v>1.1984000000000002E-2</v>
          </cell>
          <cell r="L21">
            <v>1.7894E-2</v>
          </cell>
          <cell r="M21">
            <v>1.1324000000000001E-2</v>
          </cell>
          <cell r="N21">
            <v>4.1202000000000003E-2</v>
          </cell>
          <cell r="O21">
            <v>8.0500999999999989E-2</v>
          </cell>
          <cell r="P21">
            <v>1.1284000000000001E-2</v>
          </cell>
          <cell r="Q21">
            <v>1.9507E-2</v>
          </cell>
          <cell r="R21">
            <v>8.9280000000000002E-3</v>
          </cell>
          <cell r="S21">
            <v>3.9718999999999997E-2</v>
          </cell>
          <cell r="T21">
            <v>0.12021999999999999</v>
          </cell>
          <cell r="U21">
            <v>1.3936E-2</v>
          </cell>
          <cell r="V21">
            <v>1.5034E-2</v>
          </cell>
          <cell r="W21" t="str">
            <v xml:space="preserve"> 0</v>
          </cell>
          <cell r="X21">
            <v>2.8970000000000003E-2</v>
          </cell>
          <cell r="Z21">
            <v>0.14918999999999999</v>
          </cell>
        </row>
        <row r="23">
          <cell r="F23">
            <v>4.4700000000000002E-4</v>
          </cell>
          <cell r="G23">
            <v>1.263E-3</v>
          </cell>
          <cell r="H23">
            <v>6.3999999999999984E-5</v>
          </cell>
          <cell r="I23">
            <v>1.774E-3</v>
          </cell>
          <cell r="K23">
            <v>2.03E-4</v>
          </cell>
          <cell r="L23">
            <v>1.977E-3</v>
          </cell>
          <cell r="M23">
            <v>3.0997999999999998E-2</v>
          </cell>
          <cell r="N23">
            <v>3.3177999999999999E-2</v>
          </cell>
          <cell r="O23">
            <v>3.4951999999999997E-2</v>
          </cell>
          <cell r="P23">
            <v>1.753E-3</v>
          </cell>
          <cell r="Q23">
            <v>3.5990000000000002E-3</v>
          </cell>
          <cell r="R23">
            <v>2.6941E-2</v>
          </cell>
          <cell r="S23">
            <v>3.2293000000000002E-2</v>
          </cell>
          <cell r="T23">
            <v>6.7244999999999999E-2</v>
          </cell>
          <cell r="U23">
            <v>2.22E-4</v>
          </cell>
          <cell r="V23">
            <v>3.7129999999999997E-3</v>
          </cell>
          <cell r="W23" t="str">
            <v xml:space="preserve"> 0</v>
          </cell>
          <cell r="X23">
            <v>3.9350000000000001E-3</v>
          </cell>
          <cell r="Z23">
            <v>7.1179999999999993E-2</v>
          </cell>
        </row>
        <row r="24">
          <cell r="F24">
            <v>3.7500000000000001E-4</v>
          </cell>
          <cell r="G24">
            <v>1.132E-3</v>
          </cell>
          <cell r="H24">
            <v>-1.1200000000000001E-4</v>
          </cell>
          <cell r="I24">
            <v>1.395E-3</v>
          </cell>
          <cell r="K24">
            <v>-9.3000000000000038E-5</v>
          </cell>
          <cell r="L24">
            <v>1.8270000000000001E-3</v>
          </cell>
          <cell r="M24">
            <v>3.0789999999999998E-2</v>
          </cell>
          <cell r="N24">
            <v>3.2523999999999997E-2</v>
          </cell>
          <cell r="O24">
            <v>3.3918999999999998E-2</v>
          </cell>
          <cell r="P24">
            <v>1.456E-3</v>
          </cell>
          <cell r="Q24">
            <v>3.2200000000000002E-3</v>
          </cell>
          <cell r="R24">
            <v>2.6695E-2</v>
          </cell>
          <cell r="S24">
            <v>3.1371000000000003E-2</v>
          </cell>
          <cell r="T24">
            <v>6.5290000000000001E-2</v>
          </cell>
          <cell r="U24">
            <v>8.0000000000000047E-6</v>
          </cell>
          <cell r="V24">
            <v>3.3419999999999995E-3</v>
          </cell>
          <cell r="W24" t="str">
            <v xml:space="preserve"> 0</v>
          </cell>
          <cell r="X24">
            <v>3.3500000000000001E-3</v>
          </cell>
          <cell r="Z24">
            <v>6.8640000000000007E-2</v>
          </cell>
        </row>
        <row r="25">
          <cell r="F25" t="str">
            <v xml:space="preserve"> 0</v>
          </cell>
          <cell r="G25" t="str">
            <v xml:space="preserve"> 0</v>
          </cell>
          <cell r="H25" t="str">
            <v xml:space="preserve"> 0</v>
          </cell>
          <cell r="I25" t="str">
            <v xml:space="preserve"> 0</v>
          </cell>
          <cell r="K25" t="str">
            <v xml:space="preserve"> 0</v>
          </cell>
          <cell r="L25" t="str">
            <v xml:space="preserve"> 0</v>
          </cell>
          <cell r="M25" t="str">
            <v xml:space="preserve"> 0</v>
          </cell>
          <cell r="N25" t="str">
            <v xml:space="preserve"> 0</v>
          </cell>
          <cell r="O25" t="str">
            <v xml:space="preserve"> 0</v>
          </cell>
          <cell r="P25" t="str">
            <v xml:space="preserve"> 0</v>
          </cell>
          <cell r="Q25" t="str">
            <v xml:space="preserve"> 0</v>
          </cell>
          <cell r="R25" t="str">
            <v xml:space="preserve"> 0</v>
          </cell>
          <cell r="S25" t="str">
            <v xml:space="preserve"> 0</v>
          </cell>
          <cell r="T25" t="str">
            <v xml:space="preserve"> 0</v>
          </cell>
          <cell r="U25" t="str">
            <v xml:space="preserve"> 0</v>
          </cell>
          <cell r="V25" t="str">
            <v xml:space="preserve"> 0</v>
          </cell>
          <cell r="W25" t="str">
            <v xml:space="preserve"> 0</v>
          </cell>
          <cell r="X25" t="str">
            <v xml:space="preserve"> 0</v>
          </cell>
          <cell r="Z25" t="str">
            <v xml:space="preserve"> 0</v>
          </cell>
        </row>
        <row r="27">
          <cell r="F27">
            <v>5.888E-3</v>
          </cell>
          <cell r="G27">
            <v>2.1849999999999999E-3</v>
          </cell>
          <cell r="H27">
            <v>5.6439999999999997E-3</v>
          </cell>
          <cell r="I27">
            <v>1.3717E-2</v>
          </cell>
          <cell r="K27">
            <v>7.6300000000000001E-4</v>
          </cell>
          <cell r="L27">
            <v>4.2788E-2</v>
          </cell>
          <cell r="M27">
            <v>0.24019200000000002</v>
          </cell>
          <cell r="N27">
            <v>0.28374299999999997</v>
          </cell>
          <cell r="O27">
            <v>0.29746</v>
          </cell>
          <cell r="P27">
            <v>6.7520000000000002E-3</v>
          </cell>
          <cell r="Q27">
            <v>4.5430000000000005E-2</v>
          </cell>
          <cell r="R27">
            <v>0.26035199999999997</v>
          </cell>
          <cell r="S27">
            <v>0.31253399999999998</v>
          </cell>
          <cell r="T27">
            <v>0.60999399999999993</v>
          </cell>
          <cell r="U27">
            <v>2.4250000000000001E-3</v>
          </cell>
          <cell r="V27">
            <v>7.3555000000000009E-2</v>
          </cell>
          <cell r="W27" t="str">
            <v xml:space="preserve"> 0</v>
          </cell>
          <cell r="X27">
            <v>7.5979999999999992E-2</v>
          </cell>
          <cell r="Z27">
            <v>0.68597400000000008</v>
          </cell>
        </row>
        <row r="28">
          <cell r="F28">
            <v>1.3829999999999999E-3</v>
          </cell>
          <cell r="G28">
            <v>-1.5150000000000001E-3</v>
          </cell>
          <cell r="H28">
            <v>-5.6410000000000002E-3</v>
          </cell>
          <cell r="I28">
            <v>-5.7729999999999978E-3</v>
          </cell>
          <cell r="K28">
            <v>-4.2389999999999997E-3</v>
          </cell>
          <cell r="L28">
            <v>3.6449999999999996E-2</v>
          </cell>
          <cell r="M28">
            <v>0.123506</v>
          </cell>
          <cell r="N28">
            <v>0.15571699999999999</v>
          </cell>
          <cell r="O28">
            <v>0.14994399999999999</v>
          </cell>
          <cell r="P28">
            <v>2.9019999999999996E-3</v>
          </cell>
          <cell r="Q28">
            <v>2.2117000000000001E-2</v>
          </cell>
          <cell r="R28">
            <v>0.14014099999999999</v>
          </cell>
          <cell r="S28">
            <v>0.16515999999999995</v>
          </cell>
          <cell r="T28">
            <v>0.31510399999999994</v>
          </cell>
          <cell r="U28">
            <v>-3.1650000000000003E-3</v>
          </cell>
          <cell r="V28">
            <v>3.3502000000000004E-2</v>
          </cell>
          <cell r="W28" t="str">
            <v xml:space="preserve"> 0</v>
          </cell>
          <cell r="X28">
            <v>3.0336999999999992E-2</v>
          </cell>
          <cell r="Z28">
            <v>0.34544099999999994</v>
          </cell>
        </row>
        <row r="29">
          <cell r="F29">
            <v>1.0389999999999998E-3</v>
          </cell>
          <cell r="G29">
            <v>1.2470000000000001E-3</v>
          </cell>
          <cell r="H29">
            <v>1.0279999999999996E-3</v>
          </cell>
          <cell r="I29">
            <v>3.3140000000000001E-3</v>
          </cell>
          <cell r="K29">
            <v>1.2499999999999998E-4</v>
          </cell>
          <cell r="L29">
            <v>3.5199999999999999E-4</v>
          </cell>
          <cell r="M29">
            <v>3.1319999999999998E-3</v>
          </cell>
          <cell r="N29">
            <v>3.6090000000000002E-3</v>
          </cell>
          <cell r="O29">
            <v>6.9230000000000003E-3</v>
          </cell>
          <cell r="P29">
            <v>6.6119999999999998E-3</v>
          </cell>
          <cell r="Q29">
            <v>2.5509999999999999E-3</v>
          </cell>
          <cell r="R29">
            <v>8.1399999999999997E-3</v>
          </cell>
          <cell r="S29">
            <v>1.7302999999999999E-2</v>
          </cell>
          <cell r="T29">
            <v>2.4225999999999998E-2</v>
          </cell>
          <cell r="U29">
            <v>3.340000000000001E-3</v>
          </cell>
          <cell r="V29">
            <v>4.1149999999999997E-3</v>
          </cell>
          <cell r="W29" t="str">
            <v xml:space="preserve"> 0</v>
          </cell>
          <cell r="X29">
            <v>7.4549999999999998E-3</v>
          </cell>
          <cell r="Z29">
            <v>3.1681000000000001E-2</v>
          </cell>
        </row>
        <row r="31">
          <cell r="F31" t="str">
            <v xml:space="preserve"> 0</v>
          </cell>
          <cell r="G31" t="str">
            <v xml:space="preserve"> 0</v>
          </cell>
          <cell r="H31">
            <v>1.5150000000000001E-3</v>
          </cell>
          <cell r="I31">
            <v>1.5150000000000001E-3</v>
          </cell>
          <cell r="K31" t="str">
            <v xml:space="preserve"> 0</v>
          </cell>
          <cell r="L31" t="str">
            <v xml:space="preserve"> 0</v>
          </cell>
          <cell r="M31" t="str">
            <v xml:space="preserve"> 0</v>
          </cell>
          <cell r="N31" t="str">
            <v xml:space="preserve"> 0</v>
          </cell>
          <cell r="O31">
            <v>1.5150000000000001E-3</v>
          </cell>
          <cell r="P31">
            <v>2.6148999999999999E-2</v>
          </cell>
          <cell r="Q31" t="str">
            <v xml:space="preserve"> 0</v>
          </cell>
          <cell r="R31" t="str">
            <v xml:space="preserve"> 0</v>
          </cell>
          <cell r="S31">
            <v>2.6148999999999999E-2</v>
          </cell>
          <cell r="T31">
            <v>2.7663999999999998E-2</v>
          </cell>
          <cell r="U31" t="str">
            <v xml:space="preserve"> 0</v>
          </cell>
          <cell r="V31" t="str">
            <v xml:space="preserve"> 0</v>
          </cell>
          <cell r="W31" t="str">
            <v xml:space="preserve"> 0</v>
          </cell>
          <cell r="X31" t="str">
            <v xml:space="preserve"> 0</v>
          </cell>
          <cell r="Z31">
            <v>2.7663999999999998E-2</v>
          </cell>
        </row>
        <row r="32">
          <cell r="F32" t="str">
            <v xml:space="preserve"> 0</v>
          </cell>
          <cell r="G32" t="str">
            <v xml:space="preserve"> 0</v>
          </cell>
          <cell r="H32">
            <v>1.5300000000000001E-3</v>
          </cell>
          <cell r="I32">
            <v>1.5300000000000001E-3</v>
          </cell>
          <cell r="K32" t="str">
            <v xml:space="preserve"> 0</v>
          </cell>
          <cell r="L32" t="str">
            <v xml:space="preserve"> 0</v>
          </cell>
          <cell r="M32" t="str">
            <v xml:space="preserve"> 0</v>
          </cell>
          <cell r="N32" t="str">
            <v xml:space="preserve"> 0</v>
          </cell>
          <cell r="O32">
            <v>1.5300000000000001E-3</v>
          </cell>
          <cell r="P32">
            <v>2.5519E-2</v>
          </cell>
          <cell r="Q32" t="str">
            <v xml:space="preserve"> 0</v>
          </cell>
          <cell r="R32" t="str">
            <v xml:space="preserve"> 0</v>
          </cell>
          <cell r="S32">
            <v>2.5519E-2</v>
          </cell>
          <cell r="T32">
            <v>2.7049E-2</v>
          </cell>
          <cell r="U32" t="str">
            <v xml:space="preserve"> 0</v>
          </cell>
          <cell r="V32" t="str">
            <v xml:space="preserve"> 0</v>
          </cell>
          <cell r="W32" t="str">
            <v xml:space="preserve"> 0</v>
          </cell>
          <cell r="X32" t="str">
            <v xml:space="preserve"> 0</v>
          </cell>
          <cell r="Z32">
            <v>2.7049E-2</v>
          </cell>
        </row>
        <row r="33">
          <cell r="F33" t="str">
            <v xml:space="preserve"> 0</v>
          </cell>
          <cell r="G33" t="str">
            <v xml:space="preserve"> 0</v>
          </cell>
          <cell r="H33" t="str">
            <v xml:space="preserve"> 0</v>
          </cell>
          <cell r="I33" t="str">
            <v xml:space="preserve"> 0</v>
          </cell>
          <cell r="K33" t="str">
            <v xml:space="preserve"> 0</v>
          </cell>
          <cell r="L33" t="str">
            <v xml:space="preserve"> 0</v>
          </cell>
          <cell r="M33" t="str">
            <v xml:space="preserve"> 0</v>
          </cell>
          <cell r="N33" t="str">
            <v xml:space="preserve"> 0</v>
          </cell>
          <cell r="O33" t="str">
            <v xml:space="preserve"> 0</v>
          </cell>
          <cell r="P33" t="str">
            <v xml:space="preserve"> 0</v>
          </cell>
          <cell r="Q33" t="str">
            <v xml:space="preserve"> 0</v>
          </cell>
          <cell r="R33" t="str">
            <v xml:space="preserve"> 0</v>
          </cell>
          <cell r="S33" t="str">
            <v xml:space="preserve"> 0</v>
          </cell>
          <cell r="T33" t="str">
            <v xml:space="preserve"> 0</v>
          </cell>
          <cell r="U33" t="str">
            <v xml:space="preserve"> 0</v>
          </cell>
          <cell r="V33" t="str">
            <v xml:space="preserve"> 0</v>
          </cell>
          <cell r="W33" t="str">
            <v xml:space="preserve"> 0</v>
          </cell>
          <cell r="X33" t="str">
            <v xml:space="preserve"> 0</v>
          </cell>
          <cell r="Z33" t="str">
            <v xml:space="preserve"> 0</v>
          </cell>
        </row>
        <row r="35">
          <cell r="F35">
            <v>0.11581900000000001</v>
          </cell>
          <cell r="G35">
            <v>0.18016699999999999</v>
          </cell>
          <cell r="H35">
            <v>0.28471199999999997</v>
          </cell>
          <cell r="I35">
            <v>0.58069800000000005</v>
          </cell>
          <cell r="K35">
            <v>4.3899999999999999E-4</v>
          </cell>
          <cell r="L35">
            <v>0.16902400000000001</v>
          </cell>
          <cell r="M35">
            <v>0.33760700000000005</v>
          </cell>
          <cell r="N35">
            <v>0.50707000000000002</v>
          </cell>
          <cell r="O35">
            <v>1.0877680000000001</v>
          </cell>
          <cell r="P35">
            <v>0.25904299999999997</v>
          </cell>
          <cell r="Q35">
            <v>2.8264999999999998E-2</v>
          </cell>
          <cell r="R35">
            <v>0.169734</v>
          </cell>
          <cell r="S35">
            <v>0.45704199999999995</v>
          </cell>
          <cell r="T35">
            <v>1.54481</v>
          </cell>
          <cell r="U35">
            <v>0.125808</v>
          </cell>
          <cell r="V35">
            <v>0.15182299999999999</v>
          </cell>
          <cell r="W35" t="str">
            <v xml:space="preserve"> 0</v>
          </cell>
          <cell r="X35">
            <v>0.27763099999999996</v>
          </cell>
          <cell r="Z35">
            <v>1.8224409999999998</v>
          </cell>
        </row>
        <row r="36">
          <cell r="F36">
            <v>-3.2909999999999995E-2</v>
          </cell>
          <cell r="G36">
            <v>-4.6399999999999861E-3</v>
          </cell>
          <cell r="H36">
            <v>-5.3390000000000373E-3</v>
          </cell>
          <cell r="I36">
            <v>-4.288900000000001E-2</v>
          </cell>
          <cell r="K36">
            <v>-8.3458999999999992E-2</v>
          </cell>
          <cell r="L36">
            <v>1.2586E-2</v>
          </cell>
          <cell r="M36">
            <v>5.1194000000000003E-2</v>
          </cell>
          <cell r="N36">
            <v>-1.9679000000000016E-2</v>
          </cell>
          <cell r="O36">
            <v>-6.2568000000000026E-2</v>
          </cell>
          <cell r="P36">
            <v>4.3450999999999976E-2</v>
          </cell>
          <cell r="Q36">
            <v>-2.0930000000000001E-2</v>
          </cell>
          <cell r="R36">
            <v>-2.6289000000000007E-2</v>
          </cell>
          <cell r="S36">
            <v>-3.7680000000000643E-3</v>
          </cell>
          <cell r="T36">
            <v>-6.6336000000000075E-2</v>
          </cell>
          <cell r="U36">
            <v>-8.7386999999999965E-2</v>
          </cell>
          <cell r="V36">
            <v>1.2719999999999902E-3</v>
          </cell>
          <cell r="W36" t="str">
            <v xml:space="preserve"> 0</v>
          </cell>
          <cell r="X36">
            <v>-8.6114999999999997E-2</v>
          </cell>
          <cell r="Z36">
            <v>-0.15245100000000009</v>
          </cell>
        </row>
        <row r="37">
          <cell r="F37">
            <v>2.0969999999999999E-3</v>
          </cell>
          <cell r="G37">
            <v>5.9999999999999995E-4</v>
          </cell>
          <cell r="H37">
            <v>5.9250000000000006E-3</v>
          </cell>
          <cell r="I37">
            <v>8.6220000000000012E-3</v>
          </cell>
          <cell r="K37">
            <v>2.5709000000000003E-2</v>
          </cell>
          <cell r="L37">
            <v>2.0939999999999999E-3</v>
          </cell>
          <cell r="M37">
            <v>1.1025E-2</v>
          </cell>
          <cell r="N37">
            <v>3.8827999999999988E-2</v>
          </cell>
          <cell r="O37">
            <v>4.7449999999999992E-2</v>
          </cell>
          <cell r="P37">
            <v>-1.3290000000000001E-3</v>
          </cell>
          <cell r="Q37">
            <v>8.5110000000000012E-3</v>
          </cell>
          <cell r="R37">
            <v>9.4670000000000015E-3</v>
          </cell>
          <cell r="S37">
            <v>1.6648999999999997E-2</v>
          </cell>
          <cell r="T37">
            <v>6.4098999999999989E-2</v>
          </cell>
          <cell r="U37">
            <v>-1.5449999999999999E-3</v>
          </cell>
          <cell r="V37">
            <v>1.0674000000000001E-2</v>
          </cell>
          <cell r="W37" t="str">
            <v xml:space="preserve"> 0</v>
          </cell>
          <cell r="X37">
            <v>9.129E-3</v>
          </cell>
          <cell r="Z37">
            <v>7.3228000000000001E-2</v>
          </cell>
        </row>
        <row r="39">
          <cell r="F39">
            <v>4.8545000000000005E-2</v>
          </cell>
          <cell r="G39">
            <v>6.4284999999999995E-2</v>
          </cell>
          <cell r="H39">
            <v>6.0290999999999997E-2</v>
          </cell>
          <cell r="I39">
            <v>0.17312100000000002</v>
          </cell>
          <cell r="K39">
            <v>5.8954000000000006E-2</v>
          </cell>
          <cell r="L39">
            <v>6.5064999999999998E-2</v>
          </cell>
          <cell r="M39">
            <v>0.13136500000000001</v>
          </cell>
          <cell r="N39">
            <v>0.255384</v>
          </cell>
          <cell r="O39">
            <v>0.42850500000000002</v>
          </cell>
          <cell r="P39">
            <v>0.103683</v>
          </cell>
          <cell r="Q39">
            <v>4.6991999999999999E-2</v>
          </cell>
          <cell r="R39">
            <v>0.16353699999999999</v>
          </cell>
          <cell r="S39">
            <v>0.31421199999999999</v>
          </cell>
          <cell r="T39">
            <v>0.74271699999999996</v>
          </cell>
          <cell r="U39">
            <v>4.7940999999999998E-2</v>
          </cell>
          <cell r="V39">
            <v>6.3664999999999999E-2</v>
          </cell>
          <cell r="W39" t="str">
            <v xml:space="preserve"> 0</v>
          </cell>
          <cell r="X39">
            <v>0.11160599999999998</v>
          </cell>
          <cell r="Z39">
            <v>0.85432299999999994</v>
          </cell>
        </row>
        <row r="40">
          <cell r="F40">
            <v>4.7862000000000002E-2</v>
          </cell>
          <cell r="G40">
            <v>6.2802999999999998E-2</v>
          </cell>
          <cell r="H40">
            <v>5.8524000000000007E-2</v>
          </cell>
          <cell r="I40">
            <v>0.16918900000000001</v>
          </cell>
          <cell r="K40">
            <v>5.5335999999999996E-2</v>
          </cell>
          <cell r="L40">
            <v>6.339800000000001E-2</v>
          </cell>
          <cell r="M40">
            <v>0.129437</v>
          </cell>
          <cell r="N40">
            <v>0.248171</v>
          </cell>
          <cell r="O40">
            <v>0.41736000000000001</v>
          </cell>
          <cell r="P40">
            <v>9.9166000000000004E-2</v>
          </cell>
          <cell r="Q40">
            <v>4.3174999999999998E-2</v>
          </cell>
          <cell r="R40">
            <v>0.1608</v>
          </cell>
          <cell r="S40">
            <v>0.30314099999999999</v>
          </cell>
          <cell r="T40">
            <v>0.72050100000000006</v>
          </cell>
          <cell r="U40">
            <v>4.5955999999999997E-2</v>
          </cell>
          <cell r="V40">
            <v>5.9944999999999991E-2</v>
          </cell>
          <cell r="W40" t="str">
            <v xml:space="preserve"> 0</v>
          </cell>
          <cell r="X40">
            <v>0.105901</v>
          </cell>
          <cell r="Z40">
            <v>0.82640200000000008</v>
          </cell>
        </row>
        <row r="41">
          <cell r="F41">
            <v>3.8896E-2</v>
          </cell>
          <cell r="G41">
            <v>5.8677E-2</v>
          </cell>
          <cell r="H41">
            <v>4.8714E-2</v>
          </cell>
          <cell r="I41">
            <v>0.146287</v>
          </cell>
          <cell r="K41">
            <v>5.1770000000000004E-2</v>
          </cell>
          <cell r="L41">
            <v>5.1770000000000004E-2</v>
          </cell>
          <cell r="M41">
            <v>8.6985999999999994E-2</v>
          </cell>
          <cell r="N41">
            <v>0.190526</v>
          </cell>
          <cell r="O41">
            <v>0.33681299999999997</v>
          </cell>
          <cell r="P41">
            <v>6.0498000000000003E-2</v>
          </cell>
          <cell r="Q41">
            <v>3.6934000000000002E-2</v>
          </cell>
          <cell r="R41">
            <v>8.6327999999999988E-2</v>
          </cell>
          <cell r="S41">
            <v>0.18376000000000001</v>
          </cell>
          <cell r="T41">
            <v>0.52057299999999995</v>
          </cell>
          <cell r="U41">
            <v>4.6476999999999997E-2</v>
          </cell>
          <cell r="V41">
            <v>4.6476999999999997E-2</v>
          </cell>
          <cell r="W41" t="str">
            <v xml:space="preserve"> 0</v>
          </cell>
          <cell r="X41">
            <v>9.2953999999999995E-2</v>
          </cell>
          <cell r="Z41">
            <v>0.61352699999999993</v>
          </cell>
        </row>
        <row r="43">
          <cell r="F43">
            <v>0.193132</v>
          </cell>
          <cell r="G43">
            <v>0.227351</v>
          </cell>
          <cell r="H43">
            <v>0.37296699999999994</v>
          </cell>
          <cell r="I43">
            <v>0.79344999999999999</v>
          </cell>
          <cell r="K43">
            <v>6.1786000000000008E-2</v>
          </cell>
          <cell r="L43">
            <v>0.32588200000000001</v>
          </cell>
          <cell r="M43">
            <v>0.74757400000000007</v>
          </cell>
          <cell r="N43">
            <v>1.1352420000000001</v>
          </cell>
          <cell r="O43">
            <v>1.9286920000000001</v>
          </cell>
          <cell r="P43">
            <v>0.40626999999999996</v>
          </cell>
          <cell r="Q43">
            <v>0.12332400000000002</v>
          </cell>
          <cell r="R43">
            <v>0.57688899999999999</v>
          </cell>
          <cell r="S43">
            <v>1.1064829999999999</v>
          </cell>
          <cell r="T43">
            <v>3.0351750000000002</v>
          </cell>
          <cell r="U43">
            <v>0.17844599999999999</v>
          </cell>
          <cell r="V43">
            <v>0.32466600000000001</v>
          </cell>
          <cell r="W43" t="str">
            <v xml:space="preserve"> 0</v>
          </cell>
          <cell r="X43">
            <v>0.50311199999999989</v>
          </cell>
          <cell r="Z43">
            <v>3.538287</v>
          </cell>
        </row>
        <row r="44">
          <cell r="F44">
            <v>2.4434000000000008E-2</v>
          </cell>
          <cell r="G44">
            <v>2.8490000000000012E-2</v>
          </cell>
          <cell r="H44">
            <v>5.4176999999999961E-2</v>
          </cell>
          <cell r="I44">
            <v>0.10710099999999999</v>
          </cell>
          <cell r="K44">
            <v>-3.6401999999999997E-2</v>
          </cell>
          <cell r="L44">
            <v>0.16758499999999998</v>
          </cell>
          <cell r="M44">
            <v>0.310865</v>
          </cell>
          <cell r="N44">
            <v>0.44204800000000005</v>
          </cell>
          <cell r="O44">
            <v>0.54914900000000011</v>
          </cell>
          <cell r="P44">
            <v>0.16411200000000001</v>
          </cell>
          <cell r="Q44">
            <v>4.1316000000000005E-2</v>
          </cell>
          <cell r="R44">
            <v>0.24484599999999998</v>
          </cell>
          <cell r="S44">
            <v>0.45027399999999984</v>
          </cell>
          <cell r="T44">
            <v>0.99942299999999995</v>
          </cell>
          <cell r="U44">
            <v>-5.4691999999999963E-2</v>
          </cell>
          <cell r="V44">
            <v>0.11705</v>
          </cell>
          <cell r="W44" t="str">
            <v xml:space="preserve"> 0</v>
          </cell>
          <cell r="X44">
            <v>6.235799999999999E-2</v>
          </cell>
          <cell r="Z44">
            <v>1.0617809999999999</v>
          </cell>
        </row>
        <row r="45">
          <cell r="F45">
            <v>1.1806000000000001E-2</v>
          </cell>
          <cell r="G45">
            <v>1.0018000000000001E-2</v>
          </cell>
          <cell r="H45">
            <v>3.9423E-2</v>
          </cell>
          <cell r="I45">
            <v>6.1246999999999996E-2</v>
          </cell>
          <cell r="K45">
            <v>4.5772000000000007E-2</v>
          </cell>
          <cell r="L45">
            <v>2.4731000000000003E-2</v>
          </cell>
          <cell r="M45">
            <v>3.4641999999999999E-2</v>
          </cell>
          <cell r="N45">
            <v>0.10514499999999999</v>
          </cell>
          <cell r="O45">
            <v>0.16639199999999998</v>
          </cell>
          <cell r="P45">
            <v>1.9989E-2</v>
          </cell>
          <cell r="Q45">
            <v>2.6227000000000004E-2</v>
          </cell>
          <cell r="R45">
            <v>3.0878000000000003E-2</v>
          </cell>
          <cell r="S45">
            <v>7.7093999999999996E-2</v>
          </cell>
          <cell r="T45">
            <v>0.24348599999999998</v>
          </cell>
          <cell r="U45">
            <v>1.8599000000000001E-2</v>
          </cell>
          <cell r="V45">
            <v>3.6025999999999996E-2</v>
          </cell>
          <cell r="W45" t="str">
            <v xml:space="preserve"> 0</v>
          </cell>
          <cell r="X45">
            <v>5.4625000000000007E-2</v>
          </cell>
          <cell r="Z45">
            <v>0.29811099999999996</v>
          </cell>
        </row>
        <row r="47">
          <cell r="F47">
            <v>1.6844999999999999E-2</v>
          </cell>
          <cell r="G47">
            <v>1.7000000000000001E-2</v>
          </cell>
          <cell r="H47">
            <v>1.7000000000000001E-2</v>
          </cell>
          <cell r="I47">
            <v>5.0845000000000001E-2</v>
          </cell>
          <cell r="K47">
            <v>1.6999E-2</v>
          </cell>
          <cell r="L47">
            <v>1.7000000000000001E-2</v>
          </cell>
          <cell r="M47">
            <v>3.5770000000000003E-2</v>
          </cell>
          <cell r="N47">
            <v>6.9768999999999998E-2</v>
          </cell>
          <cell r="O47">
            <v>0.120614</v>
          </cell>
          <cell r="P47">
            <v>1.7551000000000001E-2</v>
          </cell>
          <cell r="Q47">
            <v>2.5285999999999999E-2</v>
          </cell>
          <cell r="R47">
            <v>1.0817E-2</v>
          </cell>
          <cell r="S47">
            <v>5.3654E-2</v>
          </cell>
          <cell r="T47">
            <v>0.17426800000000001</v>
          </cell>
          <cell r="U47">
            <v>1.0834E-2</v>
          </cell>
          <cell r="V47">
            <v>1.0834E-2</v>
          </cell>
          <cell r="W47" t="str">
            <v xml:space="preserve"> 0</v>
          </cell>
          <cell r="X47">
            <v>2.1668E-2</v>
          </cell>
          <cell r="Z47">
            <v>0.195936</v>
          </cell>
        </row>
        <row r="48">
          <cell r="F48">
            <v>1.6716000000000002E-2</v>
          </cell>
          <cell r="G48">
            <v>1.6655E-2</v>
          </cell>
          <cell r="H48">
            <v>1.6633000000000002E-2</v>
          </cell>
          <cell r="I48">
            <v>5.0004E-2</v>
          </cell>
          <cell r="K48">
            <v>1.6084999999999999E-2</v>
          </cell>
          <cell r="L48">
            <v>1.6618000000000001E-2</v>
          </cell>
          <cell r="M48">
            <v>3.5424000000000004E-2</v>
          </cell>
          <cell r="N48">
            <v>6.8126999999999993E-2</v>
          </cell>
          <cell r="O48">
            <v>0.11813099999999999</v>
          </cell>
          <cell r="P48">
            <v>1.6511999999999999E-2</v>
          </cell>
          <cell r="Q48">
            <v>2.4507000000000001E-2</v>
          </cell>
          <cell r="R48">
            <v>1.0187999999999999E-2</v>
          </cell>
          <cell r="S48">
            <v>5.1207000000000003E-2</v>
          </cell>
          <cell r="T48">
            <v>0.16933799999999999</v>
          </cell>
          <cell r="U48">
            <v>1.0475999999999999E-2</v>
          </cell>
          <cell r="V48">
            <v>1.0078999999999999E-2</v>
          </cell>
          <cell r="W48" t="str">
            <v xml:space="preserve"> 0</v>
          </cell>
          <cell r="X48">
            <v>2.0554999999999997E-2</v>
          </cell>
          <cell r="Z48">
            <v>0.18989299999999998</v>
          </cell>
        </row>
        <row r="49">
          <cell r="F49">
            <v>1.6844999999999999E-2</v>
          </cell>
          <cell r="G49">
            <v>1.7000000000000001E-2</v>
          </cell>
          <cell r="H49">
            <v>1.7000000000000001E-2</v>
          </cell>
          <cell r="I49">
            <v>5.0845000000000001E-2</v>
          </cell>
          <cell r="K49">
            <v>1.6999E-2</v>
          </cell>
          <cell r="L49">
            <v>1.7000000000000001E-2</v>
          </cell>
          <cell r="M49">
            <v>3.5770000000000003E-2</v>
          </cell>
          <cell r="N49">
            <v>6.9768999999999998E-2</v>
          </cell>
          <cell r="O49">
            <v>0.120614</v>
          </cell>
          <cell r="P49">
            <v>1.7551000000000001E-2</v>
          </cell>
          <cell r="Q49">
            <v>2.5285999999999999E-2</v>
          </cell>
          <cell r="R49">
            <v>1.0817E-2</v>
          </cell>
          <cell r="S49">
            <v>5.3654E-2</v>
          </cell>
          <cell r="T49">
            <v>0.17426800000000001</v>
          </cell>
          <cell r="U49">
            <v>1.0834E-2</v>
          </cell>
          <cell r="V49">
            <v>1.0834E-2</v>
          </cell>
          <cell r="W49" t="str">
            <v xml:space="preserve"> 0</v>
          </cell>
          <cell r="X49">
            <v>2.1668E-2</v>
          </cell>
          <cell r="Z49">
            <v>0.195936</v>
          </cell>
        </row>
        <row r="51">
          <cell r="F51">
            <v>3.2364000000000004E-2</v>
          </cell>
          <cell r="G51">
            <v>6.6404000000000005E-2</v>
          </cell>
          <cell r="H51">
            <v>4.3520999999999997E-2</v>
          </cell>
          <cell r="I51">
            <v>0.142289</v>
          </cell>
          <cell r="K51">
            <v>1.6999E-2</v>
          </cell>
          <cell r="L51">
            <v>3.7308000000000001E-2</v>
          </cell>
          <cell r="M51">
            <v>0.11849599999999999</v>
          </cell>
          <cell r="N51">
            <v>0.17280299999999998</v>
          </cell>
          <cell r="O51">
            <v>0.31509199999999998</v>
          </cell>
          <cell r="P51">
            <v>1.7551000000000001E-2</v>
          </cell>
          <cell r="Q51">
            <v>5.6528000000000002E-2</v>
          </cell>
          <cell r="R51">
            <v>0.31992700000000002</v>
          </cell>
          <cell r="S51">
            <v>0.39400599999999997</v>
          </cell>
          <cell r="T51">
            <v>0.70909800000000012</v>
          </cell>
          <cell r="U51">
            <v>2.5041000000000001E-2</v>
          </cell>
          <cell r="V51">
            <v>2.1705000000000002E-2</v>
          </cell>
          <cell r="W51" t="str">
            <v xml:space="preserve"> 0</v>
          </cell>
          <cell r="X51">
            <v>4.6745999999999996E-2</v>
          </cell>
          <cell r="Z51">
            <v>0.75584399999999996</v>
          </cell>
        </row>
        <row r="52">
          <cell r="F52">
            <v>5.3900000000000024E-3</v>
          </cell>
          <cell r="G52">
            <v>4.5124999999999998E-2</v>
          </cell>
          <cell r="H52">
            <v>-1.2712999999999999E-2</v>
          </cell>
          <cell r="I52">
            <v>3.7801999999999988E-2</v>
          </cell>
          <cell r="K52">
            <v>-3.1886999999999999E-2</v>
          </cell>
          <cell r="L52">
            <v>2.5394E-2</v>
          </cell>
          <cell r="M52">
            <v>2.3855999999999995E-2</v>
          </cell>
          <cell r="N52">
            <v>1.7362999999999976E-2</v>
          </cell>
          <cell r="O52">
            <v>5.5164999999999964E-2</v>
          </cell>
          <cell r="P52">
            <v>1.0517000000000002E-2</v>
          </cell>
          <cell r="Q52">
            <v>2.8289000000000002E-2</v>
          </cell>
          <cell r="R52">
            <v>1.8945000000000014E-2</v>
          </cell>
          <cell r="S52">
            <v>5.7750999999999976E-2</v>
          </cell>
          <cell r="T52">
            <v>0.11291599999999995</v>
          </cell>
          <cell r="U52">
            <v>1.6700000000000048E-4</v>
          </cell>
          <cell r="V52">
            <v>8.0149999999999996E-3</v>
          </cell>
          <cell r="W52" t="str">
            <v xml:space="preserve"> 0</v>
          </cell>
          <cell r="X52">
            <v>8.1819999999999966E-3</v>
          </cell>
          <cell r="Z52">
            <v>0.12109799999999994</v>
          </cell>
        </row>
        <row r="53">
          <cell r="F53">
            <v>1.9270000000000001E-3</v>
          </cell>
          <cell r="G53">
            <v>1.4940000000000001E-3</v>
          </cell>
          <cell r="H53">
            <v>3.7399999999999998E-3</v>
          </cell>
          <cell r="I53">
            <v>7.1609999999999998E-3</v>
          </cell>
          <cell r="K53">
            <v>4.3169999999999997E-3</v>
          </cell>
          <cell r="L53">
            <v>1.4449999999999999E-3</v>
          </cell>
          <cell r="M53">
            <v>-8.4700000000000031E-4</v>
          </cell>
          <cell r="N53">
            <v>4.9149999999999992E-3</v>
          </cell>
          <cell r="O53">
            <v>1.2076E-2</v>
          </cell>
          <cell r="P53">
            <v>2.1070000000000004E-3</v>
          </cell>
          <cell r="Q53">
            <v>1.1630000000000001E-2</v>
          </cell>
          <cell r="R53">
            <v>6.6179999999999989E-3</v>
          </cell>
          <cell r="S53">
            <v>2.0355000000000005E-2</v>
          </cell>
          <cell r="T53">
            <v>3.2431000000000001E-2</v>
          </cell>
          <cell r="U53">
            <v>5.8570000000000002E-3</v>
          </cell>
          <cell r="V53">
            <v>5.2360000000000002E-3</v>
          </cell>
          <cell r="W53" t="str">
            <v xml:space="preserve"> 0</v>
          </cell>
          <cell r="X53">
            <v>1.1093000000000002E-2</v>
          </cell>
          <cell r="Z53">
            <v>4.3524E-2</v>
          </cell>
        </row>
        <row r="55">
          <cell r="F55">
            <v>1.5521E-2</v>
          </cell>
          <cell r="G55">
            <v>1.4524E-2</v>
          </cell>
          <cell r="H55">
            <v>1.6552999999999998E-2</v>
          </cell>
          <cell r="I55">
            <v>4.6598000000000001E-2</v>
          </cell>
          <cell r="K55">
            <v>1.5782000000000001E-2</v>
          </cell>
          <cell r="L55">
            <v>1.4878000000000001E-2</v>
          </cell>
          <cell r="M55">
            <v>1.3509999999999999E-2</v>
          </cell>
          <cell r="N55">
            <v>4.4170000000000001E-2</v>
          </cell>
          <cell r="O55">
            <v>9.0768000000000001E-2</v>
          </cell>
          <cell r="P55">
            <v>1.6823000000000001E-2</v>
          </cell>
          <cell r="Q55">
            <v>2.0244999999999999E-2</v>
          </cell>
          <cell r="R55">
            <v>9.3170000000000006E-3</v>
          </cell>
          <cell r="S55">
            <v>4.6385000000000003E-2</v>
          </cell>
          <cell r="T55">
            <v>0.137153</v>
          </cell>
          <cell r="U55">
            <v>1.5195E-2</v>
          </cell>
          <cell r="V55">
            <v>1.3403E-2</v>
          </cell>
          <cell r="W55" t="str">
            <v xml:space="preserve"> 0</v>
          </cell>
          <cell r="X55">
            <v>2.8597999999999998E-2</v>
          </cell>
          <cell r="Z55">
            <v>0.16575099999999998</v>
          </cell>
        </row>
        <row r="56">
          <cell r="F56">
            <v>1.5219999999999999E-2</v>
          </cell>
          <cell r="G56">
            <v>1.1316E-2</v>
          </cell>
          <cell r="H56">
            <v>-1.819000000000001E-3</v>
          </cell>
          <cell r="I56">
            <v>2.4716999999999999E-2</v>
          </cell>
          <cell r="K56">
            <v>1.4656000000000001E-2</v>
          </cell>
          <cell r="L56">
            <v>4.3250000000000007E-3</v>
          </cell>
          <cell r="M56">
            <v>5.4729999999999987E-3</v>
          </cell>
          <cell r="N56">
            <v>2.4454E-2</v>
          </cell>
          <cell r="O56">
            <v>4.9170999999999999E-2</v>
          </cell>
          <cell r="P56">
            <v>9.4400000000000005E-3</v>
          </cell>
          <cell r="Q56">
            <v>6.598999999999999E-3</v>
          </cell>
          <cell r="R56">
            <v>1.9180000000000004E-3</v>
          </cell>
          <cell r="S56">
            <v>1.7957000000000001E-2</v>
          </cell>
          <cell r="T56">
            <v>6.7127999999999993E-2</v>
          </cell>
          <cell r="U56">
            <v>9.3810000000000004E-3</v>
          </cell>
          <cell r="V56">
            <v>7.8910000000000004E-3</v>
          </cell>
          <cell r="W56" t="str">
            <v xml:space="preserve"> 0</v>
          </cell>
          <cell r="X56">
            <v>1.7271999999999999E-2</v>
          </cell>
          <cell r="Z56">
            <v>8.4399999999999989E-2</v>
          </cell>
        </row>
        <row r="57">
          <cell r="F57">
            <v>5.1900000000000004E-4</v>
          </cell>
          <cell r="G57">
            <v>6.1399999999999996E-4</v>
          </cell>
          <cell r="H57">
            <v>1.9270000000000001E-3</v>
          </cell>
          <cell r="I57">
            <v>3.0599999999999998E-3</v>
          </cell>
          <cell r="K57">
            <v>4.4510000000000001E-3</v>
          </cell>
          <cell r="L57">
            <v>6.5900000000000008E-4</v>
          </cell>
          <cell r="M57">
            <v>4.4200000000000001E-4</v>
          </cell>
          <cell r="N57">
            <v>5.5520000000000014E-3</v>
          </cell>
          <cell r="O57">
            <v>8.6120000000000016E-3</v>
          </cell>
          <cell r="P57">
            <v>4.6100000000000004E-4</v>
          </cell>
          <cell r="Q57">
            <v>1.977E-3</v>
          </cell>
          <cell r="R57">
            <v>1.828E-3</v>
          </cell>
          <cell r="S57">
            <v>4.2659999999999998E-3</v>
          </cell>
          <cell r="T57">
            <v>1.2878000000000001E-2</v>
          </cell>
          <cell r="U57">
            <v>1.4199999999999998E-3</v>
          </cell>
          <cell r="V57">
            <v>2.8449999999999999E-3</v>
          </cell>
          <cell r="W57" t="str">
            <v xml:space="preserve"> 0</v>
          </cell>
          <cell r="X57">
            <v>4.2649999999999997E-3</v>
          </cell>
          <cell r="Z57">
            <v>1.7142999999999999E-2</v>
          </cell>
        </row>
        <row r="59">
          <cell r="F59">
            <v>3.9352999999999999E-2</v>
          </cell>
          <cell r="G59">
            <v>3.0794000000000002E-2</v>
          </cell>
          <cell r="H59">
            <v>4.0889999999999996E-2</v>
          </cell>
          <cell r="I59">
            <v>0.111037</v>
          </cell>
          <cell r="K59">
            <v>3.7095999999999997E-2</v>
          </cell>
          <cell r="L59">
            <v>3.6794E-2</v>
          </cell>
          <cell r="M59">
            <v>3.3854000000000002E-2</v>
          </cell>
          <cell r="N59">
            <v>0.10774400000000001</v>
          </cell>
          <cell r="O59">
            <v>0.218781</v>
          </cell>
          <cell r="P59">
            <v>4.0177000000000004E-2</v>
          </cell>
          <cell r="Q59">
            <v>3.7342E-2</v>
          </cell>
          <cell r="R59">
            <v>8.2902000000000003E-2</v>
          </cell>
          <cell r="S59">
            <v>0.16042100000000001</v>
          </cell>
          <cell r="T59">
            <v>0.37920200000000004</v>
          </cell>
          <cell r="U59">
            <v>3.662E-2</v>
          </cell>
          <cell r="V59">
            <v>2.7587E-2</v>
          </cell>
          <cell r="W59" t="str">
            <v xml:space="preserve"> 0</v>
          </cell>
          <cell r="X59">
            <v>6.4207E-2</v>
          </cell>
          <cell r="Z59">
            <v>0.44340900000000005</v>
          </cell>
        </row>
        <row r="60">
          <cell r="F60">
            <v>3.0747E-2</v>
          </cell>
          <cell r="G60">
            <v>-3.9428000000000005E-2</v>
          </cell>
          <cell r="H60">
            <v>1.0656999999999998E-2</v>
          </cell>
          <cell r="I60">
            <v>1.9760000000000025E-3</v>
          </cell>
          <cell r="K60">
            <v>2.6269999999999952E-3</v>
          </cell>
          <cell r="L60">
            <v>-1.4579999999999997E-3</v>
          </cell>
          <cell r="M60">
            <v>-1.9297000000000002E-2</v>
          </cell>
          <cell r="N60">
            <v>-1.8128000000000023E-2</v>
          </cell>
          <cell r="O60">
            <v>-1.6152000000000021E-2</v>
          </cell>
          <cell r="P60">
            <v>3.1379000000000004E-2</v>
          </cell>
          <cell r="Q60">
            <v>9.1680000000000043E-3</v>
          </cell>
          <cell r="R60">
            <v>5.4891000000000002E-2</v>
          </cell>
          <cell r="S60">
            <v>9.5437999999999995E-2</v>
          </cell>
          <cell r="T60">
            <v>7.9285999999999968E-2</v>
          </cell>
          <cell r="U60">
            <v>7.4739999999999989E-3</v>
          </cell>
          <cell r="V60">
            <v>1.2666E-2</v>
          </cell>
          <cell r="W60" t="str">
            <v xml:space="preserve"> 0</v>
          </cell>
          <cell r="X60">
            <v>2.0139999999999995E-2</v>
          </cell>
          <cell r="Z60">
            <v>9.9425999999999959E-2</v>
          </cell>
        </row>
        <row r="61">
          <cell r="F61">
            <v>5.1900000000000004E-4</v>
          </cell>
          <cell r="G61">
            <v>6.1399999999999996E-4</v>
          </cell>
          <cell r="H61">
            <v>1.9270000000000001E-3</v>
          </cell>
          <cell r="I61">
            <v>3.0599999999999998E-3</v>
          </cell>
          <cell r="K61">
            <v>4.4510000000000001E-3</v>
          </cell>
          <cell r="L61">
            <v>6.5900000000000008E-4</v>
          </cell>
          <cell r="M61">
            <v>4.4200000000000001E-4</v>
          </cell>
          <cell r="N61">
            <v>5.5520000000000014E-3</v>
          </cell>
          <cell r="O61">
            <v>8.6120000000000016E-3</v>
          </cell>
          <cell r="P61">
            <v>4.6100000000000004E-4</v>
          </cell>
          <cell r="Q61">
            <v>1.977E-3</v>
          </cell>
          <cell r="R61">
            <v>1.828E-3</v>
          </cell>
          <cell r="S61">
            <v>4.2659999999999998E-3</v>
          </cell>
          <cell r="T61">
            <v>1.2878000000000001E-2</v>
          </cell>
          <cell r="U61">
            <v>1.4199999999999998E-3</v>
          </cell>
          <cell r="V61">
            <v>2.8449999999999999E-3</v>
          </cell>
          <cell r="W61" t="str">
            <v xml:space="preserve"> 0</v>
          </cell>
          <cell r="X61">
            <v>4.2649999999999997E-3</v>
          </cell>
          <cell r="Z61">
            <v>1.7142999999999999E-2</v>
          </cell>
        </row>
        <row r="63">
          <cell r="F63">
            <v>6.5390000000000004E-2</v>
          </cell>
          <cell r="G63">
            <v>8.1284999999999996E-2</v>
          </cell>
          <cell r="H63">
            <v>7.7290999999999999E-2</v>
          </cell>
          <cell r="I63">
            <v>0.22396600000000003</v>
          </cell>
          <cell r="K63">
            <v>7.5953000000000007E-2</v>
          </cell>
          <cell r="L63">
            <v>8.2064999999999999E-2</v>
          </cell>
          <cell r="M63">
            <v>0.16713500000000001</v>
          </cell>
          <cell r="N63">
            <v>0.32515300000000003</v>
          </cell>
          <cell r="O63">
            <v>0.54911900000000002</v>
          </cell>
          <cell r="P63">
            <v>0.12123399999999999</v>
          </cell>
          <cell r="Q63">
            <v>7.2277999999999995E-2</v>
          </cell>
          <cell r="R63">
            <v>0.17435399999999998</v>
          </cell>
          <cell r="S63">
            <v>0.36786599999999997</v>
          </cell>
          <cell r="T63">
            <v>0.91698499999999994</v>
          </cell>
          <cell r="U63">
            <v>5.8774999999999994E-2</v>
          </cell>
          <cell r="V63">
            <v>7.4498999999999996E-2</v>
          </cell>
          <cell r="W63" t="str">
            <v xml:space="preserve"> 0</v>
          </cell>
          <cell r="X63">
            <v>0.13327399999999998</v>
          </cell>
          <cell r="Z63">
            <v>1.0502590000000001</v>
          </cell>
        </row>
        <row r="64">
          <cell r="F64">
            <v>6.4577999999999997E-2</v>
          </cell>
          <cell r="G64">
            <v>7.9458000000000001E-2</v>
          </cell>
          <cell r="H64">
            <v>7.5157000000000002E-2</v>
          </cell>
          <cell r="I64">
            <v>0.219193</v>
          </cell>
          <cell r="K64">
            <v>7.1420999999999998E-2</v>
          </cell>
          <cell r="L64">
            <v>8.0016000000000004E-2</v>
          </cell>
          <cell r="M64">
            <v>0.16486100000000001</v>
          </cell>
          <cell r="N64">
            <v>0.31629799999999997</v>
          </cell>
          <cell r="O64">
            <v>0.53549099999999994</v>
          </cell>
          <cell r="P64">
            <v>0.115678</v>
          </cell>
          <cell r="Q64">
            <v>6.7681999999999992E-2</v>
          </cell>
          <cell r="R64">
            <v>0.170988</v>
          </cell>
          <cell r="S64">
            <v>0.354348</v>
          </cell>
          <cell r="T64">
            <v>0.88983900000000005</v>
          </cell>
          <cell r="U64">
            <v>5.6431999999999996E-2</v>
          </cell>
          <cell r="V64">
            <v>7.0023999999999989E-2</v>
          </cell>
          <cell r="W64" t="str">
            <v xml:space="preserve"> 0</v>
          </cell>
          <cell r="X64">
            <v>0.12645599999999999</v>
          </cell>
          <cell r="Z64">
            <v>1.0162949999999999</v>
          </cell>
        </row>
        <row r="65">
          <cell r="F65">
            <v>5.5740999999999999E-2</v>
          </cell>
          <cell r="G65">
            <v>7.5676999999999994E-2</v>
          </cell>
          <cell r="H65">
            <v>6.5713999999999995E-2</v>
          </cell>
          <cell r="I65">
            <v>0.197132</v>
          </cell>
          <cell r="K65">
            <v>6.8768999999999997E-2</v>
          </cell>
          <cell r="L65">
            <v>6.8769999999999998E-2</v>
          </cell>
          <cell r="M65">
            <v>0.122756</v>
          </cell>
          <cell r="N65">
            <v>0.260295</v>
          </cell>
          <cell r="O65">
            <v>0.45742699999999997</v>
          </cell>
          <cell r="P65">
            <v>7.8049000000000007E-2</v>
          </cell>
          <cell r="Q65">
            <v>6.2219999999999998E-2</v>
          </cell>
          <cell r="R65">
            <v>9.7144999999999981E-2</v>
          </cell>
          <cell r="S65">
            <v>0.23741400000000001</v>
          </cell>
          <cell r="T65">
            <v>0.69484099999999993</v>
          </cell>
          <cell r="U65">
            <v>5.7311000000000001E-2</v>
          </cell>
          <cell r="V65">
            <v>5.7311000000000001E-2</v>
          </cell>
          <cell r="W65" t="str">
            <v xml:space="preserve"> 0</v>
          </cell>
          <cell r="X65">
            <v>0.114622</v>
          </cell>
          <cell r="Z65">
            <v>0.80946299999999993</v>
          </cell>
        </row>
        <row r="67">
          <cell r="F67">
            <v>0.225496</v>
          </cell>
          <cell r="G67">
            <v>0.29375499999999999</v>
          </cell>
          <cell r="H67">
            <v>0.41648799999999991</v>
          </cell>
          <cell r="I67">
            <v>0.93573899999999999</v>
          </cell>
          <cell r="K67">
            <v>7.8785000000000008E-2</v>
          </cell>
          <cell r="L67">
            <v>0.36319000000000001</v>
          </cell>
          <cell r="M67">
            <v>0.86607000000000012</v>
          </cell>
          <cell r="N67">
            <v>1.3080450000000001</v>
          </cell>
          <cell r="O67">
            <v>2.2437840000000002</v>
          </cell>
          <cell r="P67">
            <v>0.42382099999999995</v>
          </cell>
          <cell r="Q67">
            <v>0.17985200000000001</v>
          </cell>
          <cell r="R67">
            <v>0.89681600000000006</v>
          </cell>
          <cell r="S67">
            <v>1.500489</v>
          </cell>
          <cell r="T67">
            <v>3.7442730000000002</v>
          </cell>
          <cell r="U67">
            <v>0.203487</v>
          </cell>
          <cell r="V67">
            <v>0.34637099999999998</v>
          </cell>
          <cell r="W67" t="str">
            <v xml:space="preserve"> 0</v>
          </cell>
          <cell r="X67">
            <v>0.54985799999999985</v>
          </cell>
          <cell r="Z67">
            <v>4.2941310000000001</v>
          </cell>
        </row>
        <row r="68">
          <cell r="F68">
            <v>2.982400000000001E-2</v>
          </cell>
          <cell r="G68">
            <v>7.3615000000000014E-2</v>
          </cell>
          <cell r="H68">
            <v>4.1463999999999959E-2</v>
          </cell>
          <cell r="I68">
            <v>0.14490299999999998</v>
          </cell>
          <cell r="K68">
            <v>-6.8288999999999989E-2</v>
          </cell>
          <cell r="L68">
            <v>0.19297899999999998</v>
          </cell>
          <cell r="M68">
            <v>0.33472099999999999</v>
          </cell>
          <cell r="N68">
            <v>0.45941100000000001</v>
          </cell>
          <cell r="O68">
            <v>0.60431400000000002</v>
          </cell>
          <cell r="P68">
            <v>0.17462900000000001</v>
          </cell>
          <cell r="Q68">
            <v>6.9605E-2</v>
          </cell>
          <cell r="R68">
            <v>0.263791</v>
          </cell>
          <cell r="S68">
            <v>0.50802499999999984</v>
          </cell>
          <cell r="T68">
            <v>1.112339</v>
          </cell>
          <cell r="U68">
            <v>-5.4524999999999962E-2</v>
          </cell>
          <cell r="V68">
            <v>0.12506500000000001</v>
          </cell>
          <cell r="W68" t="str">
            <v xml:space="preserve"> 0</v>
          </cell>
          <cell r="X68">
            <v>7.0539999999999992E-2</v>
          </cell>
          <cell r="Z68">
            <v>1.1828789999999998</v>
          </cell>
        </row>
        <row r="69">
          <cell r="F69">
            <v>1.3733E-2</v>
          </cell>
          <cell r="G69">
            <v>1.1512000000000001E-2</v>
          </cell>
          <cell r="H69">
            <v>4.3163E-2</v>
          </cell>
          <cell r="I69">
            <v>6.8407999999999997E-2</v>
          </cell>
          <cell r="K69">
            <v>5.0089000000000009E-2</v>
          </cell>
          <cell r="L69">
            <v>2.6176000000000001E-2</v>
          </cell>
          <cell r="M69">
            <v>3.3794999999999999E-2</v>
          </cell>
          <cell r="N69">
            <v>0.11005999999999999</v>
          </cell>
          <cell r="O69">
            <v>0.17846799999999999</v>
          </cell>
          <cell r="P69">
            <v>2.2096000000000001E-2</v>
          </cell>
          <cell r="Q69">
            <v>3.7857000000000002E-2</v>
          </cell>
          <cell r="R69">
            <v>3.7496000000000002E-2</v>
          </cell>
          <cell r="S69">
            <v>9.7449000000000008E-2</v>
          </cell>
          <cell r="T69">
            <v>0.27591699999999997</v>
          </cell>
          <cell r="U69">
            <v>2.4456000000000002E-2</v>
          </cell>
          <cell r="V69">
            <v>4.1261999999999993E-2</v>
          </cell>
          <cell r="W69" t="str">
            <v xml:space="preserve"> 0</v>
          </cell>
          <cell r="X69">
            <v>6.5718000000000013E-2</v>
          </cell>
          <cell r="Z69">
            <v>0.34163499999999997</v>
          </cell>
        </row>
        <row r="71">
          <cell r="F71">
            <v>0.103121</v>
          </cell>
          <cell r="G71">
            <v>0.12394000000000001</v>
          </cell>
          <cell r="H71">
            <v>0.12631000000000001</v>
          </cell>
          <cell r="I71">
            <v>0.35337099999999999</v>
          </cell>
          <cell r="K71">
            <v>0.11050500000000001</v>
          </cell>
          <cell r="L71">
            <v>0.111485</v>
          </cell>
          <cell r="M71">
            <v>0.25533899999999998</v>
          </cell>
          <cell r="N71">
            <v>0.47732900000000006</v>
          </cell>
          <cell r="O71">
            <v>0.83069999999999999</v>
          </cell>
          <cell r="P71">
            <v>0.137652</v>
          </cell>
          <cell r="Q71">
            <v>0.14464500000000002</v>
          </cell>
          <cell r="R71">
            <v>0.1193</v>
          </cell>
          <cell r="S71">
            <v>0.40159699999999998</v>
          </cell>
          <cell r="T71">
            <v>1.232297</v>
          </cell>
          <cell r="U71">
            <v>8.0152000000000001E-2</v>
          </cell>
          <cell r="V71">
            <v>8.3415000000000003E-2</v>
          </cell>
          <cell r="W71" t="str">
            <v xml:space="preserve"> 0</v>
          </cell>
          <cell r="X71">
            <v>0.16356699999999999</v>
          </cell>
          <cell r="Z71">
            <v>1.395864</v>
          </cell>
        </row>
        <row r="72">
          <cell r="F72">
            <v>0.102372</v>
          </cell>
          <cell r="G72">
            <v>0.12094600000000001</v>
          </cell>
          <cell r="H72">
            <v>0.12367700000000001</v>
          </cell>
          <cell r="I72">
            <v>0.346995</v>
          </cell>
          <cell r="K72">
            <v>0.10124900000000001</v>
          </cell>
          <cell r="L72">
            <v>0.107915</v>
          </cell>
          <cell r="M72">
            <v>0.25336399999999998</v>
          </cell>
          <cell r="N72">
            <v>0.46252800000000005</v>
          </cell>
          <cell r="O72">
            <v>0.80952299999999999</v>
          </cell>
          <cell r="P72">
            <v>0.12809000000000001</v>
          </cell>
          <cell r="Q72">
            <v>0.13914700000000002</v>
          </cell>
          <cell r="R72">
            <v>0.113626</v>
          </cell>
          <cell r="S72">
            <v>0.38086300000000001</v>
          </cell>
          <cell r="T72">
            <v>1.1903859999999999</v>
          </cell>
          <cell r="U72">
            <v>7.8882000000000008E-2</v>
          </cell>
          <cell r="V72">
            <v>7.7495000000000008E-2</v>
          </cell>
          <cell r="W72" t="str">
            <v xml:space="preserve"> 0</v>
          </cell>
          <cell r="X72">
            <v>0.15637699999999999</v>
          </cell>
          <cell r="Z72">
            <v>1.3467629999999999</v>
          </cell>
        </row>
        <row r="73">
          <cell r="F73">
            <v>1.106E-3</v>
          </cell>
          <cell r="G73">
            <v>6.5700000000000003E-4</v>
          </cell>
          <cell r="H73">
            <v>7.6099999999999996E-4</v>
          </cell>
          <cell r="I73">
            <v>2.5240000000000002E-3</v>
          </cell>
          <cell r="K73">
            <v>1.2192999999999999E-2</v>
          </cell>
          <cell r="L73">
            <v>1.317E-3</v>
          </cell>
          <cell r="M73">
            <v>1.7259999999999999E-3</v>
          </cell>
          <cell r="N73">
            <v>1.5235999999999998E-2</v>
          </cell>
          <cell r="O73">
            <v>1.7759999999999998E-2</v>
          </cell>
          <cell r="P73">
            <v>3.4749999999999998E-3</v>
          </cell>
          <cell r="Q73">
            <v>6.5750000000000001E-3</v>
          </cell>
          <cell r="R73">
            <v>3.0509999999999999E-3</v>
          </cell>
          <cell r="S73">
            <v>1.3101E-2</v>
          </cell>
          <cell r="T73">
            <v>3.0861E-2</v>
          </cell>
          <cell r="U73">
            <v>4.9100000000000001E-4</v>
          </cell>
          <cell r="V73">
            <v>6.8600000000000006E-3</v>
          </cell>
          <cell r="W73" t="str">
            <v xml:space="preserve"> 0</v>
          </cell>
          <cell r="X73">
            <v>7.3509999999999999E-3</v>
          </cell>
          <cell r="Z73">
            <v>3.8211999999999996E-2</v>
          </cell>
        </row>
        <row r="75">
          <cell r="F75" t="str">
            <v xml:space="preserve"> 0</v>
          </cell>
          <cell r="G75" t="str">
            <v xml:space="preserve"> 0</v>
          </cell>
          <cell r="H75">
            <v>-6.8000000000000013E-5</v>
          </cell>
          <cell r="I75">
            <v>-6.8000000000000013E-5</v>
          </cell>
          <cell r="K75">
            <v>-7.9999999999999996E-6</v>
          </cell>
          <cell r="L75">
            <v>-9.0000000000000002E-6</v>
          </cell>
          <cell r="M75">
            <v>-7.9999999999999996E-6</v>
          </cell>
          <cell r="N75">
            <v>-2.4999999999999998E-5</v>
          </cell>
          <cell r="O75">
            <v>-9.3000000000000011E-5</v>
          </cell>
          <cell r="P75">
            <v>-3.9999999999999998E-6</v>
          </cell>
          <cell r="Q75">
            <v>-2.0000000000000003E-6</v>
          </cell>
          <cell r="R75">
            <v>-3.9999999999999998E-6</v>
          </cell>
          <cell r="S75">
            <v>-1.0000000000000001E-5</v>
          </cell>
          <cell r="T75">
            <v>-1.0300000000000001E-4</v>
          </cell>
          <cell r="U75" t="str">
            <v xml:space="preserve"> 0</v>
          </cell>
          <cell r="V75" t="str">
            <v xml:space="preserve"> 0</v>
          </cell>
          <cell r="W75" t="str">
            <v xml:space="preserve"> 0</v>
          </cell>
          <cell r="X75" t="str">
            <v xml:space="preserve"> 0</v>
          </cell>
          <cell r="Z75">
            <v>-1.0300000000000001E-4</v>
          </cell>
        </row>
        <row r="76">
          <cell r="F76" t="str">
            <v xml:space="preserve"> 0</v>
          </cell>
          <cell r="G76" t="str">
            <v xml:space="preserve"> 0</v>
          </cell>
          <cell r="H76">
            <v>-6.8000000000000013E-5</v>
          </cell>
          <cell r="I76">
            <v>-6.8000000000000013E-5</v>
          </cell>
          <cell r="K76">
            <v>-7.9999999999999996E-6</v>
          </cell>
          <cell r="L76">
            <v>-9.0000000000000002E-6</v>
          </cell>
          <cell r="M76">
            <v>-7.9999999999999996E-6</v>
          </cell>
          <cell r="N76">
            <v>-2.4999999999999998E-5</v>
          </cell>
          <cell r="O76">
            <v>-9.3000000000000011E-5</v>
          </cell>
          <cell r="P76">
            <v>-3.9999999999999998E-6</v>
          </cell>
          <cell r="Q76">
            <v>-2.0000000000000003E-6</v>
          </cell>
          <cell r="R76">
            <v>-3.9999999999999998E-6</v>
          </cell>
          <cell r="S76">
            <v>-1.0000000000000001E-5</v>
          </cell>
          <cell r="T76">
            <v>-1.0300000000000001E-4</v>
          </cell>
          <cell r="U76">
            <v>9.9999999999999995E-7</v>
          </cell>
          <cell r="V76" t="str">
            <v xml:space="preserve"> 0</v>
          </cell>
          <cell r="W76" t="str">
            <v xml:space="preserve"> 0</v>
          </cell>
          <cell r="X76">
            <v>9.9999999999999995E-7</v>
          </cell>
          <cell r="Z76">
            <v>-1.0200000000000001E-4</v>
          </cell>
        </row>
        <row r="77">
          <cell r="F77">
            <v>1.2239E-2</v>
          </cell>
          <cell r="G77">
            <v>1.0263999999999999E-2</v>
          </cell>
          <cell r="H77">
            <v>3.5949000000000002E-2</v>
          </cell>
          <cell r="I77">
            <v>5.8452000000000004E-2</v>
          </cell>
          <cell r="K77">
            <v>1.6076E-2</v>
          </cell>
          <cell r="L77">
            <v>9.9389999999999999E-3</v>
          </cell>
          <cell r="M77">
            <v>4.0357999999999998E-2</v>
          </cell>
          <cell r="N77">
            <v>6.6373000000000001E-2</v>
          </cell>
          <cell r="O77">
            <v>0.12482500000000001</v>
          </cell>
          <cell r="P77">
            <v>1.5626000000000001E-2</v>
          </cell>
          <cell r="Q77">
            <v>2.9792000000000003E-2</v>
          </cell>
          <cell r="R77">
            <v>3.9024000000000003E-2</v>
          </cell>
          <cell r="S77">
            <v>8.4442000000000003E-2</v>
          </cell>
          <cell r="T77">
            <v>0.20926700000000001</v>
          </cell>
          <cell r="U77">
            <v>2.1913999999999999E-2</v>
          </cell>
          <cell r="V77">
            <v>2.8140000000000002E-2</v>
          </cell>
          <cell r="W77" t="str">
            <v xml:space="preserve"> 0</v>
          </cell>
          <cell r="X77">
            <v>5.0054000000000001E-2</v>
          </cell>
          <cell r="Z77">
            <v>0.25932100000000002</v>
          </cell>
        </row>
        <row r="79">
          <cell r="F79">
            <v>5.7937999999999996E-2</v>
          </cell>
          <cell r="G79">
            <v>4.2759000000000005E-2</v>
          </cell>
          <cell r="H79">
            <v>4.1539E-2</v>
          </cell>
          <cell r="I79">
            <v>0.142236</v>
          </cell>
          <cell r="K79">
            <v>3.9611E-2</v>
          </cell>
          <cell r="L79">
            <v>4.4135000000000001E-2</v>
          </cell>
          <cell r="M79">
            <v>0.151416</v>
          </cell>
          <cell r="N79">
            <v>0.23516199999999998</v>
          </cell>
          <cell r="O79">
            <v>0.37739800000000001</v>
          </cell>
          <cell r="P79">
            <v>5.6724999999999998E-2</v>
          </cell>
          <cell r="Q79">
            <v>8.9607000000000006E-2</v>
          </cell>
          <cell r="R79">
            <v>4.0119999999999996E-2</v>
          </cell>
          <cell r="S79">
            <v>0.18645200000000001</v>
          </cell>
          <cell r="T79">
            <v>0.56384999999999996</v>
          </cell>
          <cell r="U79">
            <v>1.5172E-2</v>
          </cell>
          <cell r="V79">
            <v>7.8802000000000011E-2</v>
          </cell>
          <cell r="W79" t="str">
            <v xml:space="preserve"> 0</v>
          </cell>
          <cell r="X79">
            <v>9.3974000000000002E-2</v>
          </cell>
          <cell r="Z79">
            <v>0.65782399999999996</v>
          </cell>
        </row>
        <row r="80">
          <cell r="F80">
            <v>5.7630999999999995E-2</v>
          </cell>
          <cell r="G80">
            <v>4.2373000000000008E-2</v>
          </cell>
          <cell r="H80">
            <v>4.0904999999999997E-2</v>
          </cell>
          <cell r="I80">
            <v>0.14090900000000001</v>
          </cell>
          <cell r="K80">
            <v>3.8540999999999999E-2</v>
          </cell>
          <cell r="L80">
            <v>4.3418999999999999E-2</v>
          </cell>
          <cell r="M80">
            <v>0.15031900000000001</v>
          </cell>
          <cell r="N80">
            <v>0.23227899999999999</v>
          </cell>
          <cell r="O80">
            <v>0.37318799999999996</v>
          </cell>
          <cell r="P80">
            <v>5.6375999999999996E-2</v>
          </cell>
          <cell r="Q80">
            <v>8.8219000000000006E-2</v>
          </cell>
          <cell r="R80">
            <v>3.9111999999999994E-2</v>
          </cell>
          <cell r="S80">
            <v>0.18370700000000001</v>
          </cell>
          <cell r="T80">
            <v>0.55689499999999992</v>
          </cell>
          <cell r="U80">
            <v>1.4334E-2</v>
          </cell>
          <cell r="V80">
            <v>7.7357000000000009E-2</v>
          </cell>
          <cell r="W80" t="str">
            <v xml:space="preserve"> 0</v>
          </cell>
          <cell r="X80">
            <v>9.1691000000000009E-2</v>
          </cell>
          <cell r="Z80">
            <v>0.64858599999999988</v>
          </cell>
        </row>
        <row r="81">
          <cell r="F81">
            <v>4.4099999999999999E-4</v>
          </cell>
          <cell r="G81">
            <v>1.25E-4</v>
          </cell>
          <cell r="H81">
            <v>1.034E-3</v>
          </cell>
          <cell r="I81">
            <v>1.6000000000000001E-3</v>
          </cell>
          <cell r="K81">
            <v>3.4659999999999999E-3</v>
          </cell>
          <cell r="L81">
            <v>2.12E-4</v>
          </cell>
          <cell r="M81">
            <v>1.1070000000000001E-3</v>
          </cell>
          <cell r="N81">
            <v>4.7850000000000002E-3</v>
          </cell>
          <cell r="O81">
            <v>6.3850000000000001E-3</v>
          </cell>
          <cell r="P81">
            <v>2.1489999999999999E-3</v>
          </cell>
          <cell r="Q81">
            <v>2.0400000000000003E-4</v>
          </cell>
          <cell r="R81">
            <v>1.438E-3</v>
          </cell>
          <cell r="S81">
            <v>3.7910000000000005E-3</v>
          </cell>
          <cell r="T81">
            <v>1.0176000000000001E-2</v>
          </cell>
          <cell r="U81">
            <v>4.7199999999999998E-4</v>
          </cell>
          <cell r="V81">
            <v>2.4950000000000003E-3</v>
          </cell>
          <cell r="W81" t="str">
            <v xml:space="preserve"> 0</v>
          </cell>
          <cell r="X81">
            <v>2.9670000000000005E-3</v>
          </cell>
          <cell r="Z81">
            <v>1.3143000000000002E-2</v>
          </cell>
        </row>
        <row r="83">
          <cell r="F83">
            <v>1.7523000000000004E-2</v>
          </cell>
          <cell r="G83">
            <v>2.0044000000000003E-2</v>
          </cell>
          <cell r="H83">
            <v>1.8970000000000001E-2</v>
          </cell>
          <cell r="I83">
            <v>5.6537000000000004E-2</v>
          </cell>
          <cell r="K83">
            <v>1.8384000000000001E-2</v>
          </cell>
          <cell r="L83">
            <v>1.7344000000000002E-2</v>
          </cell>
          <cell r="M83">
            <v>4.2462000000000007E-2</v>
          </cell>
          <cell r="N83">
            <v>7.8190000000000009E-2</v>
          </cell>
          <cell r="O83">
            <v>0.13472700000000001</v>
          </cell>
          <cell r="P83">
            <v>1.9415000000000002E-2</v>
          </cell>
          <cell r="Q83">
            <v>1.6844000000000001E-2</v>
          </cell>
          <cell r="R83">
            <v>2.6318999999999999E-2</v>
          </cell>
          <cell r="S83">
            <v>6.2578000000000009E-2</v>
          </cell>
          <cell r="T83">
            <v>0.19730500000000001</v>
          </cell>
          <cell r="U83">
            <v>1.1275E-2</v>
          </cell>
          <cell r="V83">
            <v>1.5488000000000002E-2</v>
          </cell>
          <cell r="W83" t="str">
            <v xml:space="preserve"> 0</v>
          </cell>
          <cell r="X83">
            <v>2.6763000000000006E-2</v>
          </cell>
          <cell r="Z83">
            <v>0.22406800000000002</v>
          </cell>
        </row>
        <row r="84">
          <cell r="F84">
            <v>1.7218000000000004E-2</v>
          </cell>
          <cell r="G84">
            <v>1.9797000000000002E-2</v>
          </cell>
          <cell r="H84">
            <v>1.8473E-2</v>
          </cell>
          <cell r="I84">
            <v>5.5488000000000003E-2</v>
          </cell>
          <cell r="K84">
            <v>1.7408E-2</v>
          </cell>
          <cell r="L84">
            <v>1.6743000000000001E-2</v>
          </cell>
          <cell r="M84">
            <v>4.1853000000000008E-2</v>
          </cell>
          <cell r="N84">
            <v>7.6004000000000016E-2</v>
          </cell>
          <cell r="O84">
            <v>0.13149200000000003</v>
          </cell>
          <cell r="P84">
            <v>1.9621000000000003E-2</v>
          </cell>
          <cell r="Q84">
            <v>1.4844000000000001E-2</v>
          </cell>
          <cell r="R84">
            <v>2.5845999999999997E-2</v>
          </cell>
          <cell r="S84">
            <v>6.031100000000001E-2</v>
          </cell>
          <cell r="T84">
            <v>0.19180300000000003</v>
          </cell>
          <cell r="U84">
            <v>1.0592000000000001E-2</v>
          </cell>
          <cell r="V84">
            <v>1.4571000000000002E-2</v>
          </cell>
          <cell r="W84" t="str">
            <v xml:space="preserve"> 0</v>
          </cell>
          <cell r="X84">
            <v>2.5163000000000005E-2</v>
          </cell>
          <cell r="Z84">
            <v>0.21696600000000005</v>
          </cell>
        </row>
        <row r="85">
          <cell r="F85">
            <v>6.0599999999999998E-4</v>
          </cell>
          <cell r="G85">
            <v>3.3300000000000002E-4</v>
          </cell>
          <cell r="H85">
            <v>5.2799999999999993E-4</v>
          </cell>
          <cell r="I85">
            <v>1.4669999999999998E-3</v>
          </cell>
          <cell r="K85">
            <v>1.067E-3</v>
          </cell>
          <cell r="L85">
            <v>1.11E-4</v>
          </cell>
          <cell r="M85">
            <v>1.0800000000000001E-4</v>
          </cell>
          <cell r="N85">
            <v>1.286E-3</v>
          </cell>
          <cell r="O85">
            <v>2.7529999999999998E-3</v>
          </cell>
          <cell r="P85">
            <v>6.5600000000000001E-4</v>
          </cell>
          <cell r="Q85">
            <v>8.9000000000000008E-5</v>
          </cell>
          <cell r="R85">
            <v>5.5000000000000003E-4</v>
          </cell>
          <cell r="S85">
            <v>1.2949999999999999E-3</v>
          </cell>
          <cell r="T85">
            <v>4.0479999999999995E-3</v>
          </cell>
          <cell r="U85">
            <v>-1.5000000000000001E-4</v>
          </cell>
          <cell r="V85">
            <v>9.9400000000000009E-4</v>
          </cell>
          <cell r="W85" t="str">
            <v xml:space="preserve"> 0</v>
          </cell>
          <cell r="X85">
            <v>8.4400000000000013E-4</v>
          </cell>
          <cell r="Z85">
            <v>4.8919999999999996E-3</v>
          </cell>
        </row>
        <row r="87">
          <cell r="F87">
            <v>1.0768E-2</v>
          </cell>
          <cell r="G87">
            <v>9.1979999999999996E-3</v>
          </cell>
          <cell r="H87">
            <v>1.6798E-2</v>
          </cell>
          <cell r="I87">
            <v>3.6764000000000005E-2</v>
          </cell>
          <cell r="K87">
            <v>1.2992E-2</v>
          </cell>
          <cell r="L87">
            <v>1.2026999999999999E-2</v>
          </cell>
          <cell r="M87">
            <v>2.2699E-2</v>
          </cell>
          <cell r="N87">
            <v>4.7717999999999997E-2</v>
          </cell>
          <cell r="O87">
            <v>8.4482000000000002E-2</v>
          </cell>
          <cell r="P87">
            <v>1.2565999999999999E-2</v>
          </cell>
          <cell r="Q87">
            <v>9.7920000000000004E-3</v>
          </cell>
          <cell r="R87">
            <v>1.3818E-2</v>
          </cell>
          <cell r="S87">
            <v>3.6176E-2</v>
          </cell>
          <cell r="T87">
            <v>0.120658</v>
          </cell>
          <cell r="U87">
            <v>1.1143E-2</v>
          </cell>
          <cell r="V87">
            <v>1.2032000000000001E-2</v>
          </cell>
          <cell r="W87" t="str">
            <v xml:space="preserve"> 0</v>
          </cell>
          <cell r="X87">
            <v>2.3175000000000001E-2</v>
          </cell>
          <cell r="Z87">
            <v>0.14383299999999999</v>
          </cell>
        </row>
        <row r="88">
          <cell r="F88">
            <v>1.0579999999999999E-2</v>
          </cell>
          <cell r="G88">
            <v>8.9639999999999997E-3</v>
          </cell>
          <cell r="H88">
            <v>1.6436000000000003E-2</v>
          </cell>
          <cell r="I88">
            <v>3.5980000000000005E-2</v>
          </cell>
          <cell r="K88">
            <v>1.2337000000000001E-2</v>
          </cell>
          <cell r="L88">
            <v>1.1888999999999999E-2</v>
          </cell>
          <cell r="M88">
            <v>2.2208000000000002E-2</v>
          </cell>
          <cell r="N88">
            <v>4.6433999999999996E-2</v>
          </cell>
          <cell r="O88">
            <v>8.2414000000000001E-2</v>
          </cell>
          <cell r="P88">
            <v>1.2410999999999998E-2</v>
          </cell>
          <cell r="Q88">
            <v>8.2729999999999991E-3</v>
          </cell>
          <cell r="R88">
            <v>1.3361000000000001E-2</v>
          </cell>
          <cell r="S88">
            <v>3.4044999999999999E-2</v>
          </cell>
          <cell r="T88">
            <v>0.11645900000000001</v>
          </cell>
          <cell r="U88">
            <v>1.0132E-2</v>
          </cell>
          <cell r="V88">
            <v>1.1860000000000002E-2</v>
          </cell>
          <cell r="W88" t="str">
            <v xml:space="preserve"> 0</v>
          </cell>
          <cell r="X88">
            <v>2.1992000000000001E-2</v>
          </cell>
          <cell r="Z88">
            <v>0.13845100000000002</v>
          </cell>
        </row>
        <row r="89">
          <cell r="F89">
            <v>7.0999999999999991E-5</v>
          </cell>
          <cell r="G89">
            <v>5.1E-5</v>
          </cell>
          <cell r="H89">
            <v>4.8999999999999998E-5</v>
          </cell>
          <cell r="I89">
            <v>1.7099999999999998E-4</v>
          </cell>
          <cell r="K89">
            <v>8.2000000000000001E-5</v>
          </cell>
          <cell r="L89">
            <v>8.2000000000000001E-5</v>
          </cell>
          <cell r="M89">
            <v>2.6999999999999999E-5</v>
          </cell>
          <cell r="N89">
            <v>1.9100000000000001E-4</v>
          </cell>
          <cell r="O89">
            <v>3.6200000000000002E-4</v>
          </cell>
          <cell r="P89">
            <v>2.8600000000000001E-4</v>
          </cell>
          <cell r="Q89">
            <v>3.3000000000000003E-5</v>
          </cell>
          <cell r="R89">
            <v>1.1499999999999999E-4</v>
          </cell>
          <cell r="S89">
            <v>4.3400000000000003E-4</v>
          </cell>
          <cell r="T89">
            <v>7.9600000000000005E-4</v>
          </cell>
          <cell r="U89">
            <v>-1.9999999999999978E-6</v>
          </cell>
          <cell r="V89">
            <v>2.3400000000000002E-4</v>
          </cell>
          <cell r="W89" t="str">
            <v xml:space="preserve"> 0</v>
          </cell>
          <cell r="X89">
            <v>2.32E-4</v>
          </cell>
          <cell r="Z89">
            <v>1.0280000000000001E-3</v>
          </cell>
        </row>
        <row r="91">
          <cell r="F91">
            <v>1.1472E-2</v>
          </cell>
          <cell r="G91">
            <v>9.1000000000000003E-5</v>
          </cell>
          <cell r="H91">
            <v>2.6100000000000003E-3</v>
          </cell>
          <cell r="I91">
            <v>1.4173000000000002E-2</v>
          </cell>
          <cell r="K91">
            <v>5.8999999999999998E-5</v>
          </cell>
          <cell r="L91">
            <v>4.2449999999999996E-3</v>
          </cell>
          <cell r="M91">
            <v>4.4250000000000001E-3</v>
          </cell>
          <cell r="N91">
            <v>8.7290000000000006E-3</v>
          </cell>
          <cell r="O91">
            <v>2.2902000000000002E-2</v>
          </cell>
          <cell r="P91">
            <v>1.263E-3</v>
          </cell>
          <cell r="Q91">
            <v>6.559999999999999E-4</v>
          </cell>
          <cell r="R91">
            <v>2.0179999999999998E-3</v>
          </cell>
          <cell r="S91">
            <v>3.9370000000000004E-3</v>
          </cell>
          <cell r="T91">
            <v>2.6839000000000002E-2</v>
          </cell>
          <cell r="U91">
            <v>1.1740000000000001E-3</v>
          </cell>
          <cell r="V91">
            <v>1.219E-3</v>
          </cell>
          <cell r="W91" t="str">
            <v xml:space="preserve"> 0</v>
          </cell>
          <cell r="X91">
            <v>2.3930000000000002E-3</v>
          </cell>
          <cell r="Z91">
            <v>2.9232000000000001E-2</v>
          </cell>
        </row>
        <row r="92">
          <cell r="F92">
            <v>1.1472E-2</v>
          </cell>
          <cell r="G92">
            <v>9.1000000000000003E-5</v>
          </cell>
          <cell r="H92">
            <v>2.6100000000000003E-3</v>
          </cell>
          <cell r="I92">
            <v>1.4173000000000002E-2</v>
          </cell>
          <cell r="K92">
            <v>-2.5399999999999997E-3</v>
          </cell>
          <cell r="L92">
            <v>4.182E-3</v>
          </cell>
          <cell r="M92">
            <v>2.7680000000000005E-3</v>
          </cell>
          <cell r="N92">
            <v>4.4100000000000007E-3</v>
          </cell>
          <cell r="O92">
            <v>1.8583000000000002E-2</v>
          </cell>
          <cell r="P92">
            <v>1.6050000000000001E-3</v>
          </cell>
          <cell r="Q92">
            <v>6.559999999999999E-4</v>
          </cell>
          <cell r="R92">
            <v>-9.8999999999999999E-4</v>
          </cell>
          <cell r="S92">
            <v>1.2710000000000004E-3</v>
          </cell>
          <cell r="T92">
            <v>1.9854000000000004E-2</v>
          </cell>
          <cell r="U92">
            <v>8.5300000000000024E-4</v>
          </cell>
          <cell r="V92">
            <v>1.1920000000000001E-3</v>
          </cell>
          <cell r="W92" t="str">
            <v xml:space="preserve"> 0</v>
          </cell>
          <cell r="X92">
            <v>2.0450000000000004E-3</v>
          </cell>
          <cell r="Z92">
            <v>2.1899000000000005E-2</v>
          </cell>
        </row>
        <row r="93">
          <cell r="F93">
            <v>3.8999999999999999E-5</v>
          </cell>
          <cell r="G93">
            <v>3.6000000000000001E-5</v>
          </cell>
          <cell r="H93">
            <v>-2.0999999999999999E-5</v>
          </cell>
          <cell r="I93">
            <v>5.4000000000000005E-5</v>
          </cell>
          <cell r="K93">
            <v>5.6900000000000006E-4</v>
          </cell>
          <cell r="L93">
            <v>3.8999999999999999E-5</v>
          </cell>
          <cell r="M93">
            <v>4.1E-5</v>
          </cell>
          <cell r="N93">
            <v>6.4900000000000005E-4</v>
          </cell>
          <cell r="O93">
            <v>7.0300000000000007E-4</v>
          </cell>
          <cell r="P93">
            <v>-2.8699999999999998E-4</v>
          </cell>
          <cell r="Q93">
            <v>2.1999999999999999E-5</v>
          </cell>
          <cell r="R93">
            <v>-1.44E-4</v>
          </cell>
          <cell r="S93">
            <v>-4.0900000000000002E-4</v>
          </cell>
          <cell r="T93">
            <v>2.9400000000000004E-4</v>
          </cell>
          <cell r="U93">
            <v>-1.1800000000000001E-4</v>
          </cell>
          <cell r="V93">
            <v>9.0000000000000006E-5</v>
          </cell>
          <cell r="W93" t="str">
            <v xml:space="preserve"> 0</v>
          </cell>
          <cell r="X93">
            <v>-2.8000000000000006E-5</v>
          </cell>
          <cell r="Z93">
            <v>2.6600000000000001E-4</v>
          </cell>
        </row>
        <row r="95">
          <cell r="F95">
            <v>1.7523000000000004E-2</v>
          </cell>
          <cell r="G95">
            <v>2.0044000000000003E-2</v>
          </cell>
          <cell r="H95">
            <v>1.8970000000000001E-2</v>
          </cell>
          <cell r="I95">
            <v>5.6537000000000004E-2</v>
          </cell>
          <cell r="K95">
            <v>1.8384000000000001E-2</v>
          </cell>
          <cell r="L95">
            <v>1.7344000000000002E-2</v>
          </cell>
          <cell r="M95">
            <v>4.2462000000000007E-2</v>
          </cell>
          <cell r="N95">
            <v>7.8190000000000009E-2</v>
          </cell>
          <cell r="O95">
            <v>0.13472700000000001</v>
          </cell>
          <cell r="P95">
            <v>1.9415000000000002E-2</v>
          </cell>
          <cell r="Q95">
            <v>1.6844000000000001E-2</v>
          </cell>
          <cell r="R95">
            <v>2.6318999999999999E-2</v>
          </cell>
          <cell r="S95">
            <v>6.2578000000000009E-2</v>
          </cell>
          <cell r="T95">
            <v>0.19730500000000001</v>
          </cell>
          <cell r="U95">
            <v>1.1275E-2</v>
          </cell>
          <cell r="V95">
            <v>1.5488000000000002E-2</v>
          </cell>
          <cell r="W95" t="str">
            <v xml:space="preserve"> 0</v>
          </cell>
          <cell r="X95">
            <v>2.6763000000000006E-2</v>
          </cell>
          <cell r="Z95">
            <v>0.22406800000000002</v>
          </cell>
        </row>
        <row r="96">
          <cell r="F96">
            <v>1.7218000000000004E-2</v>
          </cell>
          <cell r="G96">
            <v>1.9797000000000002E-2</v>
          </cell>
          <cell r="H96">
            <v>1.8473E-2</v>
          </cell>
          <cell r="I96">
            <v>5.5488000000000003E-2</v>
          </cell>
          <cell r="K96">
            <v>1.7408E-2</v>
          </cell>
          <cell r="L96">
            <v>1.6743000000000001E-2</v>
          </cell>
          <cell r="M96">
            <v>4.1853000000000008E-2</v>
          </cell>
          <cell r="N96">
            <v>7.6004000000000016E-2</v>
          </cell>
          <cell r="O96">
            <v>0.13149200000000003</v>
          </cell>
          <cell r="P96">
            <v>1.9621000000000003E-2</v>
          </cell>
          <cell r="Q96">
            <v>1.4844000000000001E-2</v>
          </cell>
          <cell r="R96">
            <v>2.5845999999999997E-2</v>
          </cell>
          <cell r="S96">
            <v>6.031100000000001E-2</v>
          </cell>
          <cell r="T96">
            <v>0.19180300000000003</v>
          </cell>
          <cell r="U96">
            <v>1.0592000000000001E-2</v>
          </cell>
          <cell r="V96">
            <v>1.4571000000000002E-2</v>
          </cell>
          <cell r="W96" t="str">
            <v xml:space="preserve"> 0</v>
          </cell>
          <cell r="X96">
            <v>2.5163000000000005E-2</v>
          </cell>
          <cell r="Z96">
            <v>0.21696600000000005</v>
          </cell>
        </row>
        <row r="97">
          <cell r="F97">
            <v>6.0599999999999998E-4</v>
          </cell>
          <cell r="G97">
            <v>3.3300000000000002E-4</v>
          </cell>
          <cell r="H97">
            <v>5.2799999999999993E-4</v>
          </cell>
          <cell r="I97">
            <v>1.4669999999999998E-3</v>
          </cell>
          <cell r="K97">
            <v>1.067E-3</v>
          </cell>
          <cell r="L97">
            <v>1.11E-4</v>
          </cell>
          <cell r="M97">
            <v>1.0800000000000001E-4</v>
          </cell>
          <cell r="N97">
            <v>1.286E-3</v>
          </cell>
          <cell r="O97">
            <v>2.7529999999999998E-3</v>
          </cell>
          <cell r="P97">
            <v>6.5600000000000001E-4</v>
          </cell>
          <cell r="Q97">
            <v>8.9000000000000008E-5</v>
          </cell>
          <cell r="R97">
            <v>5.5000000000000003E-4</v>
          </cell>
          <cell r="S97">
            <v>1.2949999999999999E-3</v>
          </cell>
          <cell r="T97">
            <v>4.0479999999999995E-3</v>
          </cell>
          <cell r="U97">
            <v>-1.5000000000000001E-4</v>
          </cell>
          <cell r="V97">
            <v>9.9400000000000009E-4</v>
          </cell>
          <cell r="W97" t="str">
            <v xml:space="preserve"> 0</v>
          </cell>
          <cell r="X97">
            <v>8.4400000000000013E-4</v>
          </cell>
          <cell r="Z97">
            <v>4.8919999999999996E-3</v>
          </cell>
        </row>
        <row r="99">
          <cell r="F99">
            <v>1.7523000000000004E-2</v>
          </cell>
          <cell r="G99">
            <v>2.0044000000000003E-2</v>
          </cell>
          <cell r="H99">
            <v>1.8970000000000001E-2</v>
          </cell>
          <cell r="I99">
            <v>5.6537000000000004E-2</v>
          </cell>
          <cell r="K99">
            <v>1.8384000000000001E-2</v>
          </cell>
          <cell r="L99">
            <v>1.7344000000000002E-2</v>
          </cell>
          <cell r="M99">
            <v>4.2462000000000007E-2</v>
          </cell>
          <cell r="N99">
            <v>7.8190000000000009E-2</v>
          </cell>
          <cell r="O99">
            <v>0.13472700000000001</v>
          </cell>
          <cell r="P99">
            <v>1.9415000000000002E-2</v>
          </cell>
          <cell r="Q99">
            <v>1.6844000000000001E-2</v>
          </cell>
          <cell r="R99">
            <v>2.6318999999999999E-2</v>
          </cell>
          <cell r="S99">
            <v>6.2578000000000009E-2</v>
          </cell>
          <cell r="T99">
            <v>0.19730500000000001</v>
          </cell>
          <cell r="U99">
            <v>1.1275E-2</v>
          </cell>
          <cell r="V99">
            <v>1.5488000000000002E-2</v>
          </cell>
          <cell r="W99" t="str">
            <v xml:space="preserve"> 0</v>
          </cell>
          <cell r="X99">
            <v>2.6763000000000006E-2</v>
          </cell>
          <cell r="Z99">
            <v>0.22406800000000002</v>
          </cell>
        </row>
        <row r="100">
          <cell r="F100">
            <v>1.7218000000000004E-2</v>
          </cell>
          <cell r="G100">
            <v>1.9797000000000002E-2</v>
          </cell>
          <cell r="H100">
            <v>1.8473E-2</v>
          </cell>
          <cell r="I100">
            <v>5.5488000000000003E-2</v>
          </cell>
          <cell r="K100">
            <v>1.7408E-2</v>
          </cell>
          <cell r="L100">
            <v>1.6743000000000001E-2</v>
          </cell>
          <cell r="M100">
            <v>4.1853000000000008E-2</v>
          </cell>
          <cell r="N100">
            <v>7.6004000000000016E-2</v>
          </cell>
          <cell r="O100">
            <v>0.13149200000000003</v>
          </cell>
          <cell r="P100">
            <v>1.9621000000000003E-2</v>
          </cell>
          <cell r="Q100">
            <v>1.4844000000000001E-2</v>
          </cell>
          <cell r="R100">
            <v>2.5845999999999997E-2</v>
          </cell>
          <cell r="S100">
            <v>6.031100000000001E-2</v>
          </cell>
          <cell r="T100">
            <v>0.19180300000000003</v>
          </cell>
          <cell r="U100">
            <v>1.0592000000000001E-2</v>
          </cell>
          <cell r="V100">
            <v>1.4571000000000002E-2</v>
          </cell>
          <cell r="W100" t="str">
            <v xml:space="preserve"> 0</v>
          </cell>
          <cell r="X100">
            <v>2.5163000000000005E-2</v>
          </cell>
          <cell r="Z100">
            <v>0.21696600000000005</v>
          </cell>
        </row>
        <row r="101">
          <cell r="F101">
            <v>6.0599999999999998E-4</v>
          </cell>
          <cell r="G101">
            <v>3.3300000000000002E-4</v>
          </cell>
          <cell r="H101">
            <v>5.2799999999999993E-4</v>
          </cell>
          <cell r="I101">
            <v>1.4669999999999998E-3</v>
          </cell>
          <cell r="K101">
            <v>1.067E-3</v>
          </cell>
          <cell r="L101">
            <v>1.11E-4</v>
          </cell>
          <cell r="M101">
            <v>1.0800000000000001E-4</v>
          </cell>
          <cell r="N101">
            <v>1.286E-3</v>
          </cell>
          <cell r="O101">
            <v>2.7529999999999998E-3</v>
          </cell>
          <cell r="P101">
            <v>6.5600000000000001E-4</v>
          </cell>
          <cell r="Q101">
            <v>8.9000000000000008E-5</v>
          </cell>
          <cell r="R101">
            <v>5.5000000000000003E-4</v>
          </cell>
          <cell r="S101">
            <v>1.2949999999999999E-3</v>
          </cell>
          <cell r="T101">
            <v>4.0479999999999995E-3</v>
          </cell>
          <cell r="U101">
            <v>-1.5000000000000001E-4</v>
          </cell>
          <cell r="V101">
            <v>9.9400000000000009E-4</v>
          </cell>
          <cell r="W101" t="str">
            <v xml:space="preserve"> 0</v>
          </cell>
          <cell r="X101">
            <v>8.4400000000000013E-4</v>
          </cell>
          <cell r="Z101">
            <v>4.8919999999999996E-3</v>
          </cell>
        </row>
        <row r="103">
          <cell r="F103">
            <v>3.0959999999999998E-3</v>
          </cell>
          <cell r="G103">
            <v>8.1609999999999999E-3</v>
          </cell>
          <cell r="H103">
            <v>1.4716E-2</v>
          </cell>
          <cell r="I103">
            <v>2.5973E-2</v>
          </cell>
          <cell r="K103">
            <v>9.9599999999999992E-4</v>
          </cell>
          <cell r="L103">
            <v>1.0943E-2</v>
          </cell>
          <cell r="M103">
            <v>6.6750000000000004E-3</v>
          </cell>
          <cell r="N103">
            <v>1.8613999999999999E-2</v>
          </cell>
          <cell r="O103">
            <v>4.4587000000000002E-2</v>
          </cell>
          <cell r="P103">
            <v>1.6389000000000001E-2</v>
          </cell>
          <cell r="Q103">
            <v>9.9599999999999992E-4</v>
          </cell>
          <cell r="R103">
            <v>9.3970000000000008E-3</v>
          </cell>
          <cell r="S103">
            <v>2.6782E-2</v>
          </cell>
          <cell r="T103">
            <v>7.1369000000000002E-2</v>
          </cell>
          <cell r="U103">
            <v>9.9599999999999992E-4</v>
          </cell>
          <cell r="V103">
            <v>5.1970000000000002E-3</v>
          </cell>
          <cell r="W103" t="str">
            <v xml:space="preserve"> 0</v>
          </cell>
          <cell r="X103">
            <v>6.1929999999999989E-3</v>
          </cell>
          <cell r="Z103">
            <v>7.7562000000000006E-2</v>
          </cell>
        </row>
        <row r="104">
          <cell r="F104">
            <v>-9.726000000000002E-3</v>
          </cell>
          <cell r="G104">
            <v>1.5491999999999997E-2</v>
          </cell>
          <cell r="H104">
            <v>-5.7529999999999986E-3</v>
          </cell>
          <cell r="I104">
            <v>1.2999999999996088E-5</v>
          </cell>
          <cell r="K104">
            <v>8.5259999999999989E-3</v>
          </cell>
          <cell r="L104">
            <v>-1.7576999999999999E-2</v>
          </cell>
          <cell r="M104">
            <v>-8.2420000000000011E-3</v>
          </cell>
          <cell r="N104">
            <v>-1.729300000000001E-2</v>
          </cell>
          <cell r="O104">
            <v>-1.7280000000000014E-2</v>
          </cell>
          <cell r="P104">
            <v>5.6624000000000001E-2</v>
          </cell>
          <cell r="Q104">
            <v>-2.6126999999999994E-2</v>
          </cell>
          <cell r="R104">
            <v>-5.3179999999999989E-3</v>
          </cell>
          <cell r="S104">
            <v>2.5178999999999997E-2</v>
          </cell>
          <cell r="T104">
            <v>7.8989999999999824E-3</v>
          </cell>
          <cell r="U104">
            <v>-3.4279999999999996E-3</v>
          </cell>
          <cell r="V104">
            <v>1.941E-3</v>
          </cell>
          <cell r="W104" t="str">
            <v xml:space="preserve"> 0</v>
          </cell>
          <cell r="X104">
            <v>-1.4870000000000016E-3</v>
          </cell>
          <cell r="Z104">
            <v>6.4119999999999811E-3</v>
          </cell>
        </row>
        <row r="105">
          <cell r="F105">
            <v>1.1610000000000001E-3</v>
          </cell>
          <cell r="G105">
            <v>9.59E-4</v>
          </cell>
          <cell r="H105">
            <v>1.1649999999999998E-3</v>
          </cell>
          <cell r="I105">
            <v>3.2850000000000002E-3</v>
          </cell>
          <cell r="K105">
            <v>1.6767999999999998E-2</v>
          </cell>
          <cell r="L105">
            <v>-2.9870000000000005E-3</v>
          </cell>
          <cell r="M105">
            <v>1.2520000000000001E-3</v>
          </cell>
          <cell r="N105">
            <v>1.5033000000000001E-2</v>
          </cell>
          <cell r="O105">
            <v>1.8318000000000001E-2</v>
          </cell>
          <cell r="P105">
            <v>1.034E-3</v>
          </cell>
          <cell r="Q105">
            <v>2.6229999999999999E-3</v>
          </cell>
          <cell r="R105">
            <v>1.8806999999999997E-2</v>
          </cell>
          <cell r="S105">
            <v>2.2463999999999998E-2</v>
          </cell>
          <cell r="T105">
            <v>4.0781999999999999E-2</v>
          </cell>
          <cell r="U105">
            <v>7.9620000000000003E-3</v>
          </cell>
          <cell r="V105">
            <v>1.2421000000000001E-2</v>
          </cell>
          <cell r="W105" t="str">
            <v xml:space="preserve"> 0</v>
          </cell>
          <cell r="X105">
            <v>2.0383000000000002E-2</v>
          </cell>
          <cell r="Z105">
            <v>6.1164999999999997E-2</v>
          </cell>
        </row>
        <row r="107">
          <cell r="F107">
            <v>6.1845999999999998E-2</v>
          </cell>
          <cell r="G107">
            <v>1.41E-2</v>
          </cell>
          <cell r="H107">
            <v>5.7988999999999999E-2</v>
          </cell>
          <cell r="I107">
            <v>0.133935</v>
          </cell>
          <cell r="K107">
            <v>6.4018000000000005E-2</v>
          </cell>
          <cell r="L107">
            <v>4.0771000000000002E-2</v>
          </cell>
          <cell r="M107">
            <v>3.2447999999999998E-2</v>
          </cell>
          <cell r="N107">
            <v>0.137237</v>
          </cell>
          <cell r="O107">
            <v>0.27117199999999997</v>
          </cell>
          <cell r="P107">
            <v>3.7026999999999997E-2</v>
          </cell>
          <cell r="Q107">
            <v>5.4635999999999997E-2</v>
          </cell>
          <cell r="R107">
            <v>5.0911999999999999E-2</v>
          </cell>
          <cell r="S107">
            <v>0.14257500000000001</v>
          </cell>
          <cell r="T107">
            <v>0.41374699999999998</v>
          </cell>
          <cell r="U107">
            <v>2.8452000000000002E-2</v>
          </cell>
          <cell r="V107">
            <v>8.0783999999999995E-2</v>
          </cell>
          <cell r="W107" t="str">
            <v xml:space="preserve"> 0</v>
          </cell>
          <cell r="X107">
            <v>0.109236</v>
          </cell>
          <cell r="Z107">
            <v>0.52298299999999998</v>
          </cell>
        </row>
        <row r="108">
          <cell r="F108">
            <v>3.3394E-2</v>
          </cell>
          <cell r="G108">
            <v>-4.5784999999999999E-2</v>
          </cell>
          <cell r="H108">
            <v>3.1337000000000004E-2</v>
          </cell>
          <cell r="I108">
            <v>1.8945999999999998E-2</v>
          </cell>
          <cell r="K108">
            <v>4.0837000000000005E-2</v>
          </cell>
          <cell r="L108">
            <v>3.5261000000000001E-2</v>
          </cell>
          <cell r="M108">
            <v>-2.7067000000000001E-2</v>
          </cell>
          <cell r="N108">
            <v>4.9030999999999998E-2</v>
          </cell>
          <cell r="O108">
            <v>6.7976999999999996E-2</v>
          </cell>
          <cell r="P108">
            <v>-3.0176000000000008E-2</v>
          </cell>
          <cell r="Q108">
            <v>-2.2969000000000003E-2</v>
          </cell>
          <cell r="R108">
            <v>9.6495000000000011E-2</v>
          </cell>
          <cell r="S108">
            <v>4.3349999999999993E-2</v>
          </cell>
          <cell r="T108">
            <v>0.11132699999999998</v>
          </cell>
          <cell r="U108">
            <v>9.9700000000000201E-4</v>
          </cell>
          <cell r="V108">
            <v>-9.5396999999999996E-2</v>
          </cell>
          <cell r="W108" t="str">
            <v xml:space="preserve"> 0</v>
          </cell>
          <cell r="X108">
            <v>-9.4399999999999998E-2</v>
          </cell>
          <cell r="Z108">
            <v>1.6926999999999984E-2</v>
          </cell>
        </row>
        <row r="109">
          <cell r="F109" t="str">
            <v xml:space="preserve"> 0</v>
          </cell>
          <cell r="G109" t="str">
            <v xml:space="preserve"> 0</v>
          </cell>
          <cell r="H109">
            <v>6.0000000000000002E-6</v>
          </cell>
          <cell r="I109">
            <v>6.0000000000000002E-6</v>
          </cell>
          <cell r="K109">
            <v>5.411E-3</v>
          </cell>
          <cell r="L109">
            <v>2.4699999999999999E-4</v>
          </cell>
          <cell r="M109">
            <v>2.5599999999999999E-4</v>
          </cell>
          <cell r="N109">
            <v>5.9139999999999991E-3</v>
          </cell>
          <cell r="O109">
            <v>5.919999999999999E-3</v>
          </cell>
          <cell r="P109">
            <v>3.1799999999999998E-4</v>
          </cell>
          <cell r="Q109">
            <v>1.6699999999999999E-4</v>
          </cell>
          <cell r="R109">
            <v>1.0919999999999999E-3</v>
          </cell>
          <cell r="S109">
            <v>1.5769999999999998E-3</v>
          </cell>
          <cell r="T109">
            <v>7.4969999999999985E-3</v>
          </cell>
          <cell r="U109">
            <v>2.0599999999999999E-4</v>
          </cell>
          <cell r="V109">
            <v>2.32E-3</v>
          </cell>
          <cell r="W109" t="str">
            <v xml:space="preserve"> 0</v>
          </cell>
          <cell r="X109">
            <v>2.5260000000000005E-3</v>
          </cell>
          <cell r="Z109">
            <v>1.0022999999999999E-2</v>
          </cell>
        </row>
        <row r="111">
          <cell r="F111">
            <v>6.9519999999999998E-3</v>
          </cell>
          <cell r="G111">
            <v>6.9509999999999997E-3</v>
          </cell>
          <cell r="H111">
            <v>-1.3903E-2</v>
          </cell>
          <cell r="I111">
            <v>0</v>
          </cell>
          <cell r="K111" t="str">
            <v xml:space="preserve"> 0</v>
          </cell>
          <cell r="L111">
            <v>-6.9999999999999999E-4</v>
          </cell>
          <cell r="M111" t="str">
            <v xml:space="preserve"> 0</v>
          </cell>
          <cell r="N111">
            <v>-6.9999999999999999E-4</v>
          </cell>
          <cell r="O111">
            <v>-7.0000000000000173E-4</v>
          </cell>
          <cell r="P111" t="str">
            <v xml:space="preserve"> 0</v>
          </cell>
          <cell r="Q111" t="str">
            <v xml:space="preserve"> 0</v>
          </cell>
          <cell r="R111" t="str">
            <v xml:space="preserve"> 0</v>
          </cell>
          <cell r="S111" t="str">
            <v xml:space="preserve"> 0</v>
          </cell>
          <cell r="T111">
            <v>-7.0000000000000173E-4</v>
          </cell>
          <cell r="U111" t="str">
            <v xml:space="preserve"> 0</v>
          </cell>
          <cell r="V111" t="str">
            <v xml:space="preserve"> 0</v>
          </cell>
          <cell r="W111" t="str">
            <v xml:space="preserve"> 0</v>
          </cell>
          <cell r="X111" t="str">
            <v xml:space="preserve"> 0</v>
          </cell>
          <cell r="Z111">
            <v>-7.0000000000000173E-4</v>
          </cell>
        </row>
        <row r="112">
          <cell r="F112">
            <v>6.5569999999999995E-3</v>
          </cell>
          <cell r="G112">
            <v>6.3849999999999983E-3</v>
          </cell>
          <cell r="H112">
            <v>-9.2274000000000009E-2</v>
          </cell>
          <cell r="I112">
            <v>-7.9332E-2</v>
          </cell>
          <cell r="K112">
            <v>4.0597000000000001E-2</v>
          </cell>
          <cell r="L112">
            <v>-2.098E-3</v>
          </cell>
          <cell r="M112">
            <v>-1.8370000000000001E-3</v>
          </cell>
          <cell r="N112">
            <v>3.6662E-2</v>
          </cell>
          <cell r="O112">
            <v>-4.267E-2</v>
          </cell>
          <cell r="P112">
            <v>-1.0529999999999999E-3</v>
          </cell>
          <cell r="Q112">
            <v>-8.9899999999999995E-4</v>
          </cell>
          <cell r="R112">
            <v>-1.6459999999999999E-3</v>
          </cell>
          <cell r="S112">
            <v>-3.5980000000000001E-3</v>
          </cell>
          <cell r="T112">
            <v>-4.6268000000000004E-2</v>
          </cell>
          <cell r="U112">
            <v>-3.0239999999999998E-3</v>
          </cell>
          <cell r="V112">
            <v>-1.0300000000000001E-3</v>
          </cell>
          <cell r="W112" t="str">
            <v xml:space="preserve"> 0</v>
          </cell>
          <cell r="X112">
            <v>-4.0540000000000003E-3</v>
          </cell>
          <cell r="Z112">
            <v>-5.0321999999999999E-2</v>
          </cell>
        </row>
        <row r="114">
          <cell r="F114">
            <v>7.0230000000000015E-3</v>
          </cell>
          <cell r="G114">
            <v>1.0257000000000002E-2</v>
          </cell>
          <cell r="H114">
            <v>8.005E-3</v>
          </cell>
          <cell r="I114">
            <v>2.5285000000000002E-2</v>
          </cell>
          <cell r="K114">
            <v>4.2170000000000003E-3</v>
          </cell>
          <cell r="L114">
            <v>3.581E-3</v>
          </cell>
          <cell r="M114">
            <v>1.0409999999999999E-2</v>
          </cell>
          <cell r="N114">
            <v>1.8208000000000002E-2</v>
          </cell>
          <cell r="O114">
            <v>4.3493000000000018E-2</v>
          </cell>
          <cell r="P114">
            <v>1.2570000000000012E-3</v>
          </cell>
          <cell r="Q114">
            <v>4.7200000000000002E-3</v>
          </cell>
          <cell r="R114">
            <v>5.4549999999999998E-3</v>
          </cell>
          <cell r="S114">
            <v>1.1432000000000005E-2</v>
          </cell>
          <cell r="T114">
            <v>5.4925000000000015E-2</v>
          </cell>
          <cell r="U114">
            <v>4.9779999999999998E-3</v>
          </cell>
          <cell r="V114">
            <v>4.7210000000000012E-3</v>
          </cell>
          <cell r="W114" t="str">
            <v xml:space="preserve"> 0</v>
          </cell>
          <cell r="X114">
            <v>9.6989999999999993E-3</v>
          </cell>
          <cell r="Z114">
            <v>6.4624000000000001E-2</v>
          </cell>
        </row>
        <row r="115">
          <cell r="F115">
            <v>1.9578999999999999E-2</v>
          </cell>
          <cell r="G115">
            <v>1.5587000000000004E-2</v>
          </cell>
          <cell r="H115">
            <v>-6.5012E-2</v>
          </cell>
          <cell r="I115">
            <v>-2.9845999999999998E-2</v>
          </cell>
          <cell r="K115">
            <v>4.4059000000000008E-2</v>
          </cell>
          <cell r="L115">
            <v>8.9569999999999997E-3</v>
          </cell>
          <cell r="M115">
            <v>8.5729999999999973E-3</v>
          </cell>
          <cell r="N115">
            <v>6.1588999999999998E-2</v>
          </cell>
          <cell r="O115">
            <v>3.1743E-2</v>
          </cell>
          <cell r="P115">
            <v>4.0400000000000011E-3</v>
          </cell>
          <cell r="Q115">
            <v>8.7500000000000008E-3</v>
          </cell>
          <cell r="R115">
            <v>4.1660000000000013E-3</v>
          </cell>
          <cell r="S115">
            <v>1.6956000000000002E-2</v>
          </cell>
          <cell r="T115">
            <v>4.8699000000000013E-2</v>
          </cell>
          <cell r="U115">
            <v>5.4169999999999991E-3</v>
          </cell>
          <cell r="V115">
            <v>8.0660000000000003E-3</v>
          </cell>
          <cell r="W115" t="str">
            <v xml:space="preserve"> 0</v>
          </cell>
          <cell r="X115">
            <v>1.3482999999999998E-2</v>
          </cell>
          <cell r="Z115">
            <v>6.2182000000000015E-2</v>
          </cell>
        </row>
        <row r="116">
          <cell r="F116">
            <v>1.5759999999999999E-3</v>
          </cell>
          <cell r="G116">
            <v>1.3669999999999999E-3</v>
          </cell>
          <cell r="H116">
            <v>4.6770000000000006E-3</v>
          </cell>
          <cell r="I116">
            <v>7.62E-3</v>
          </cell>
          <cell r="K116">
            <v>-4.1239999999999992E-3</v>
          </cell>
          <cell r="L116">
            <v>-6.2600000000000015E-4</v>
          </cell>
          <cell r="M116">
            <v>5.7619999999999998E-3</v>
          </cell>
          <cell r="N116">
            <v>1.0119999999999999E-3</v>
          </cell>
          <cell r="O116">
            <v>8.6320000000000008E-3</v>
          </cell>
          <cell r="P116">
            <v>-4.568E-3</v>
          </cell>
          <cell r="Q116">
            <v>1.4579999999999999E-3</v>
          </cell>
          <cell r="R116">
            <v>1.2389999999999999E-3</v>
          </cell>
          <cell r="S116">
            <v>-1.8709999999999998E-3</v>
          </cell>
          <cell r="T116">
            <v>6.7610000000000014E-3</v>
          </cell>
          <cell r="U116">
            <v>-8.4000000000000009E-5</v>
          </cell>
          <cell r="V116">
            <v>5.9899999999999992E-4</v>
          </cell>
          <cell r="W116" t="str">
            <v xml:space="preserve"> 0</v>
          </cell>
          <cell r="X116">
            <v>5.1499999999999994E-4</v>
          </cell>
          <cell r="Z116">
            <v>7.2760000000000012E-3</v>
          </cell>
        </row>
        <row r="118">
          <cell r="F118" t="str">
            <v xml:space="preserve"> 0</v>
          </cell>
          <cell r="G118" t="str">
            <v xml:space="preserve"> 0</v>
          </cell>
          <cell r="H118" t="str">
            <v xml:space="preserve"> 0</v>
          </cell>
          <cell r="I118" t="str">
            <v xml:space="preserve"> 0</v>
          </cell>
          <cell r="K118" t="str">
            <v xml:space="preserve"> 0</v>
          </cell>
          <cell r="L118" t="str">
            <v xml:space="preserve"> 0</v>
          </cell>
          <cell r="M118" t="str">
            <v xml:space="preserve"> 0</v>
          </cell>
          <cell r="N118" t="str">
            <v xml:space="preserve"> 0</v>
          </cell>
          <cell r="O118" t="str">
            <v xml:space="preserve"> 0</v>
          </cell>
          <cell r="P118" t="str">
            <v xml:space="preserve"> 0</v>
          </cell>
          <cell r="Q118" t="str">
            <v xml:space="preserve"> 0</v>
          </cell>
          <cell r="R118" t="str">
            <v xml:space="preserve"> 0</v>
          </cell>
          <cell r="S118" t="str">
            <v xml:space="preserve"> 0</v>
          </cell>
          <cell r="T118" t="str">
            <v xml:space="preserve"> 0</v>
          </cell>
          <cell r="U118" t="str">
            <v xml:space="preserve"> 0</v>
          </cell>
          <cell r="V118" t="str">
            <v xml:space="preserve"> 0</v>
          </cell>
          <cell r="W118" t="str">
            <v xml:space="preserve"> 0</v>
          </cell>
          <cell r="X118" t="str">
            <v xml:space="preserve"> 0</v>
          </cell>
          <cell r="Z118" t="str">
            <v xml:space="preserve"> 0</v>
          </cell>
        </row>
        <row r="119">
          <cell r="F119" t="str">
            <v xml:space="preserve"> 0</v>
          </cell>
          <cell r="G119" t="str">
            <v xml:space="preserve"> 0</v>
          </cell>
          <cell r="H119" t="str">
            <v xml:space="preserve"> 0</v>
          </cell>
          <cell r="I119" t="str">
            <v xml:space="preserve"> 0</v>
          </cell>
          <cell r="K119" t="str">
            <v xml:space="preserve"> 0</v>
          </cell>
          <cell r="L119" t="str">
            <v xml:space="preserve"> 0</v>
          </cell>
          <cell r="M119" t="str">
            <v xml:space="preserve"> 0</v>
          </cell>
          <cell r="N119" t="str">
            <v xml:space="preserve"> 0</v>
          </cell>
          <cell r="O119" t="str">
            <v xml:space="preserve"> 0</v>
          </cell>
          <cell r="P119" t="str">
            <v xml:space="preserve"> 0</v>
          </cell>
          <cell r="Q119" t="str">
            <v xml:space="preserve"> 0</v>
          </cell>
          <cell r="R119" t="str">
            <v xml:space="preserve"> 0</v>
          </cell>
          <cell r="S119" t="str">
            <v xml:space="preserve"> 0</v>
          </cell>
          <cell r="T119" t="str">
            <v xml:space="preserve"> 0</v>
          </cell>
          <cell r="U119" t="str">
            <v xml:space="preserve"> 0</v>
          </cell>
          <cell r="V119" t="str">
            <v xml:space="preserve"> 0</v>
          </cell>
          <cell r="W119" t="str">
            <v xml:space="preserve"> 0</v>
          </cell>
          <cell r="X119" t="str">
            <v xml:space="preserve"> 0</v>
          </cell>
          <cell r="Z119" t="str">
            <v xml:space="preserve"> 0</v>
          </cell>
        </row>
        <row r="120">
          <cell r="F120" t="str">
            <v xml:space="preserve"> 0</v>
          </cell>
          <cell r="G120" t="str">
            <v xml:space="preserve"> 0</v>
          </cell>
          <cell r="H120" t="str">
            <v xml:space="preserve"> 0</v>
          </cell>
          <cell r="I120" t="str">
            <v xml:space="preserve"> 0</v>
          </cell>
          <cell r="K120" t="str">
            <v xml:space="preserve"> 0</v>
          </cell>
          <cell r="L120" t="str">
            <v xml:space="preserve"> 0</v>
          </cell>
          <cell r="M120" t="str">
            <v xml:space="preserve"> 0</v>
          </cell>
          <cell r="N120" t="str">
            <v xml:space="preserve"> 0</v>
          </cell>
          <cell r="O120" t="str">
            <v xml:space="preserve"> 0</v>
          </cell>
          <cell r="P120" t="str">
            <v xml:space="preserve"> 0</v>
          </cell>
          <cell r="Q120" t="str">
            <v xml:space="preserve"> 0</v>
          </cell>
          <cell r="R120" t="str">
            <v xml:space="preserve"> 0</v>
          </cell>
          <cell r="S120" t="str">
            <v xml:space="preserve"> 0</v>
          </cell>
          <cell r="T120" t="str">
            <v xml:space="preserve"> 0</v>
          </cell>
          <cell r="U120" t="str">
            <v xml:space="preserve"> 0</v>
          </cell>
          <cell r="V120" t="str">
            <v xml:space="preserve"> 0</v>
          </cell>
          <cell r="W120" t="str">
            <v xml:space="preserve"> 0</v>
          </cell>
          <cell r="X120" t="str">
            <v xml:space="preserve"> 0</v>
          </cell>
          <cell r="Z120" t="str">
            <v xml:space="preserve"> 0</v>
          </cell>
        </row>
        <row r="122">
          <cell r="F122">
            <v>-7.6347999999999999E-2</v>
          </cell>
          <cell r="G122">
            <v>6.7999999999999999E-5</v>
          </cell>
          <cell r="H122">
            <v>7.7945E-2</v>
          </cell>
          <cell r="I122">
            <v>1.6650000000000022E-3</v>
          </cell>
          <cell r="K122">
            <v>-5.1595000000000002E-2</v>
          </cell>
          <cell r="L122">
            <v>0</v>
          </cell>
          <cell r="M122">
            <v>-1.3448E-2</v>
          </cell>
          <cell r="N122">
            <v>-6.5043000000000004E-2</v>
          </cell>
          <cell r="O122">
            <v>-6.3378000000000004E-2</v>
          </cell>
          <cell r="P122">
            <v>6.3000000000000003E-4</v>
          </cell>
          <cell r="Q122" t="str">
            <v xml:space="preserve"> 0</v>
          </cell>
          <cell r="R122">
            <v>6.2799999999999998E-4</v>
          </cell>
          <cell r="S122">
            <v>1.2579999999999998E-3</v>
          </cell>
          <cell r="T122">
            <v>-6.2120000000000002E-2</v>
          </cell>
          <cell r="U122" t="str">
            <v xml:space="preserve"> 0</v>
          </cell>
          <cell r="V122" t="str">
            <v xml:space="preserve"> 0</v>
          </cell>
          <cell r="W122" t="str">
            <v xml:space="preserve"> 0</v>
          </cell>
          <cell r="X122" t="str">
            <v xml:space="preserve"> 0</v>
          </cell>
          <cell r="Z122">
            <v>-6.2120000000000002E-2</v>
          </cell>
        </row>
        <row r="123">
          <cell r="F123">
            <v>-7.3315999999999992E-2</v>
          </cell>
          <cell r="G123">
            <v>-2.1166000000000004E-2</v>
          </cell>
          <cell r="H123">
            <v>0.10136400000000001</v>
          </cell>
          <cell r="I123">
            <v>6.8820000000000001E-3</v>
          </cell>
          <cell r="K123">
            <v>-2.7997999999999999E-2</v>
          </cell>
          <cell r="L123">
            <v>6.5089999999999992E-3</v>
          </cell>
          <cell r="M123">
            <v>3.9126000000000001E-2</v>
          </cell>
          <cell r="N123">
            <v>1.7636999999999986E-2</v>
          </cell>
          <cell r="O123">
            <v>2.4518999999999985E-2</v>
          </cell>
          <cell r="P123">
            <v>-7.2305999999999995E-2</v>
          </cell>
          <cell r="Q123">
            <v>-5.4010999999999997E-2</v>
          </cell>
          <cell r="R123">
            <v>-2.0958999999999998E-2</v>
          </cell>
          <cell r="S123">
            <v>-0.14727599999999999</v>
          </cell>
          <cell r="T123">
            <v>-0.12275700000000001</v>
          </cell>
          <cell r="U123">
            <v>2.1539999999999997E-3</v>
          </cell>
          <cell r="V123">
            <v>-2.0085000000000002E-2</v>
          </cell>
          <cell r="W123" t="str">
            <v xml:space="preserve"> 0</v>
          </cell>
          <cell r="X123">
            <v>-1.7931000000000002E-2</v>
          </cell>
          <cell r="Z123">
            <v>-0.14068800000000001</v>
          </cell>
        </row>
        <row r="124">
          <cell r="F124">
            <v>3.5368999999999998E-2</v>
          </cell>
          <cell r="G124">
            <v>3.8136000000000003E-2</v>
          </cell>
          <cell r="H124">
            <v>0.109527</v>
          </cell>
          <cell r="I124">
            <v>0.18303200000000003</v>
          </cell>
          <cell r="K124">
            <v>3.9242999999999993E-2</v>
          </cell>
          <cell r="L124">
            <v>7.0300000000000001E-2</v>
          </cell>
          <cell r="M124">
            <v>0.11223000000000002</v>
          </cell>
          <cell r="N124">
            <v>0.221773</v>
          </cell>
          <cell r="O124">
            <v>0.40480500000000003</v>
          </cell>
          <cell r="P124">
            <v>2.9267999999999995E-2</v>
          </cell>
          <cell r="Q124">
            <v>2.5217000000000003E-2</v>
          </cell>
          <cell r="R124">
            <v>1.5565000000000002E-2</v>
          </cell>
          <cell r="S124">
            <v>7.0050000000000001E-2</v>
          </cell>
          <cell r="T124">
            <v>0.47485500000000003</v>
          </cell>
          <cell r="U124">
            <v>5.7851999999999994E-2</v>
          </cell>
          <cell r="V124">
            <v>5.3634000000000001E-2</v>
          </cell>
          <cell r="W124" t="str">
            <v xml:space="preserve"> 0</v>
          </cell>
          <cell r="X124">
            <v>0.111486</v>
          </cell>
          <cell r="Z124">
            <v>0.586341</v>
          </cell>
        </row>
        <row r="126">
          <cell r="F126">
            <v>1.2418560000000001</v>
          </cell>
          <cell r="G126">
            <v>1.4470790000000002</v>
          </cell>
          <cell r="H126">
            <v>1.9378249999999999</v>
          </cell>
          <cell r="I126">
            <v>4.62676</v>
          </cell>
          <cell r="K126">
            <v>1.2268020000000002</v>
          </cell>
          <cell r="L126">
            <v>1.604433</v>
          </cell>
          <cell r="M126">
            <v>2.7325459999999997</v>
          </cell>
          <cell r="N126">
            <v>5.5637809999999996</v>
          </cell>
          <cell r="O126">
            <v>10.190541</v>
          </cell>
          <cell r="P126">
            <v>1.6423289999999999</v>
          </cell>
          <cell r="Q126">
            <v>1.4368429999999999</v>
          </cell>
          <cell r="R126">
            <v>2.3611779999999998</v>
          </cell>
          <cell r="S126">
            <v>5.4403500000000005</v>
          </cell>
          <cell r="T126">
            <v>15.630891</v>
          </cell>
          <cell r="U126">
            <v>1.2100800000000003</v>
          </cell>
          <cell r="V126">
            <v>1.584335</v>
          </cell>
          <cell r="W126" t="str">
            <v xml:space="preserve"> 0</v>
          </cell>
          <cell r="X126">
            <v>2.7944149999999999</v>
          </cell>
          <cell r="Z126">
            <v>18.425305999999999</v>
          </cell>
        </row>
        <row r="127">
          <cell r="F127">
            <v>0.69763200000000014</v>
          </cell>
          <cell r="G127">
            <v>0.65268000000000026</v>
          </cell>
          <cell r="H127">
            <v>0.70228600000000008</v>
          </cell>
          <cell r="I127">
            <v>2.0525980000000001</v>
          </cell>
          <cell r="K127">
            <v>0.5877730000000001</v>
          </cell>
          <cell r="L127">
            <v>0.86740100000000009</v>
          </cell>
          <cell r="M127">
            <v>1.2793109999999999</v>
          </cell>
          <cell r="N127">
            <v>2.7344849999999998</v>
          </cell>
          <cell r="O127">
            <v>4.787083</v>
          </cell>
          <cell r="P127">
            <v>0.80787500000000001</v>
          </cell>
          <cell r="Q127">
            <v>0.36093100000000011</v>
          </cell>
          <cell r="R127">
            <v>1.1052459999999997</v>
          </cell>
          <cell r="S127">
            <v>2.2740520000000006</v>
          </cell>
          <cell r="T127">
            <v>7.0611350000000002</v>
          </cell>
          <cell r="U127">
            <v>0.34409500000000015</v>
          </cell>
          <cell r="V127">
            <v>0.49526000000000014</v>
          </cell>
          <cell r="W127" t="str">
            <v xml:space="preserve"> 0</v>
          </cell>
          <cell r="X127">
            <v>0.83935499999999974</v>
          </cell>
          <cell r="Z127">
            <v>7.9004899999999996</v>
          </cell>
        </row>
        <row r="128">
          <cell r="F128">
            <v>0.20064600000000002</v>
          </cell>
          <cell r="G128">
            <v>0.17262</v>
          </cell>
          <cell r="H128">
            <v>0.44478299999999993</v>
          </cell>
          <cell r="I128">
            <v>0.81804900000000014</v>
          </cell>
          <cell r="K128">
            <v>0.37089199999999994</v>
          </cell>
          <cell r="L128">
            <v>0.32138900000000004</v>
          </cell>
          <cell r="M128">
            <v>0.39752599999999999</v>
          </cell>
          <cell r="N128">
            <v>1.0898069999999997</v>
          </cell>
          <cell r="O128">
            <v>1.9078559999999998</v>
          </cell>
          <cell r="P128">
            <v>0.22478099999999998</v>
          </cell>
          <cell r="Q128">
            <v>0.24453899999999998</v>
          </cell>
          <cell r="R128">
            <v>0.46002199999999999</v>
          </cell>
          <cell r="S128">
            <v>0.929342</v>
          </cell>
          <cell r="T128">
            <v>2.8371979999999999</v>
          </cell>
          <cell r="U128">
            <v>0.33211000000000002</v>
          </cell>
          <cell r="V128">
            <v>0.41934200000000005</v>
          </cell>
          <cell r="W128" t="str">
            <v xml:space="preserve"> 0</v>
          </cell>
          <cell r="X128">
            <v>0.75145200000000001</v>
          </cell>
          <cell r="Z128">
            <v>3.5886499999999999</v>
          </cell>
        </row>
        <row r="130">
          <cell r="F130" t="str">
            <v xml:space="preserve"> 0</v>
          </cell>
          <cell r="G130" t="str">
            <v xml:space="preserve"> 0</v>
          </cell>
          <cell r="H130" t="str">
            <v xml:space="preserve"> 0</v>
          </cell>
          <cell r="I130" t="str">
            <v xml:space="preserve"> 0</v>
          </cell>
          <cell r="K130" t="str">
            <v xml:space="preserve"> 0</v>
          </cell>
          <cell r="L130" t="str">
            <v xml:space="preserve"> 0</v>
          </cell>
          <cell r="M130" t="str">
            <v xml:space="preserve"> 0</v>
          </cell>
          <cell r="N130" t="str">
            <v xml:space="preserve"> 0</v>
          </cell>
          <cell r="O130" t="str">
            <v xml:space="preserve"> 0</v>
          </cell>
          <cell r="P130" t="str">
            <v xml:space="preserve"> 0</v>
          </cell>
          <cell r="Q130" t="str">
            <v xml:space="preserve"> 0</v>
          </cell>
          <cell r="R130" t="str">
            <v xml:space="preserve"> 0</v>
          </cell>
          <cell r="S130" t="str">
            <v xml:space="preserve"> 0</v>
          </cell>
          <cell r="T130" t="str">
            <v xml:space="preserve"> 0</v>
          </cell>
          <cell r="U130" t="str">
            <v xml:space="preserve"> 0</v>
          </cell>
          <cell r="V130" t="str">
            <v xml:space="preserve"> 0</v>
          </cell>
          <cell r="W130" t="str">
            <v xml:space="preserve"> 0</v>
          </cell>
          <cell r="X130" t="str">
            <v xml:space="preserve"> 0</v>
          </cell>
          <cell r="Z130" t="str">
            <v xml:space="preserve"> 0</v>
          </cell>
        </row>
        <row r="131">
          <cell r="F131" t="str">
            <v xml:space="preserve"> 0</v>
          </cell>
          <cell r="G131" t="str">
            <v xml:space="preserve"> 0</v>
          </cell>
          <cell r="H131" t="str">
            <v xml:space="preserve"> 0</v>
          </cell>
          <cell r="I131" t="str">
            <v xml:space="preserve"> 0</v>
          </cell>
          <cell r="K131" t="str">
            <v xml:space="preserve"> 0</v>
          </cell>
          <cell r="L131" t="str">
            <v xml:space="preserve"> 0</v>
          </cell>
          <cell r="M131" t="str">
            <v xml:space="preserve"> 0</v>
          </cell>
          <cell r="N131" t="str">
            <v xml:space="preserve"> 0</v>
          </cell>
          <cell r="O131" t="str">
            <v xml:space="preserve"> 0</v>
          </cell>
          <cell r="P131" t="str">
            <v xml:space="preserve"> 0</v>
          </cell>
          <cell r="Q131" t="str">
            <v xml:space="preserve"> 0</v>
          </cell>
          <cell r="R131" t="str">
            <v xml:space="preserve"> 0</v>
          </cell>
          <cell r="S131" t="str">
            <v xml:space="preserve"> 0</v>
          </cell>
          <cell r="T131" t="str">
            <v xml:space="preserve"> 0</v>
          </cell>
          <cell r="U131" t="str">
            <v xml:space="preserve"> 0</v>
          </cell>
          <cell r="V131" t="str">
            <v xml:space="preserve"> 0</v>
          </cell>
          <cell r="W131" t="str">
            <v xml:space="preserve"> 0</v>
          </cell>
          <cell r="X131" t="str">
            <v xml:space="preserve"> 0</v>
          </cell>
          <cell r="Z131" t="str">
            <v xml:space="preserve"> 0</v>
          </cell>
        </row>
        <row r="132">
          <cell r="F132" t="str">
            <v xml:space="preserve"> 0</v>
          </cell>
          <cell r="G132" t="str">
            <v xml:space="preserve"> 0</v>
          </cell>
          <cell r="H132" t="str">
            <v xml:space="preserve"> 0</v>
          </cell>
          <cell r="I132" t="str">
            <v xml:space="preserve"> 0</v>
          </cell>
          <cell r="K132" t="str">
            <v xml:space="preserve"> 0</v>
          </cell>
          <cell r="L132" t="str">
            <v xml:space="preserve"> 0</v>
          </cell>
          <cell r="M132" t="str">
            <v xml:space="preserve"> 0</v>
          </cell>
          <cell r="N132" t="str">
            <v xml:space="preserve"> 0</v>
          </cell>
          <cell r="O132" t="str">
            <v xml:space="preserve"> 0</v>
          </cell>
          <cell r="P132" t="str">
            <v xml:space="preserve"> 0</v>
          </cell>
          <cell r="Q132" t="str">
            <v xml:space="preserve"> 0</v>
          </cell>
          <cell r="R132" t="str">
            <v xml:space="preserve"> 0</v>
          </cell>
          <cell r="S132" t="str">
            <v xml:space="preserve"> 0</v>
          </cell>
          <cell r="T132" t="str">
            <v xml:space="preserve"> 0</v>
          </cell>
          <cell r="U132" t="str">
            <v xml:space="preserve"> 0</v>
          </cell>
          <cell r="V132" t="str">
            <v xml:space="preserve"> 0</v>
          </cell>
          <cell r="W132" t="str">
            <v xml:space="preserve"> 0</v>
          </cell>
          <cell r="X132" t="str">
            <v xml:space="preserve"> 0</v>
          </cell>
          <cell r="Z132" t="str">
            <v xml:space="preserve"> 0</v>
          </cell>
        </row>
        <row r="134">
          <cell r="F134" t="str">
            <v xml:space="preserve"> 0</v>
          </cell>
          <cell r="G134" t="str">
            <v xml:space="preserve"> 0</v>
          </cell>
          <cell r="H134">
            <v>5.2499999999999998E-2</v>
          </cell>
          <cell r="I134">
            <v>5.2499999999999998E-2</v>
          </cell>
          <cell r="K134">
            <v>7.2379999999999996E-3</v>
          </cell>
          <cell r="L134" t="str">
            <v xml:space="preserve"> 0</v>
          </cell>
          <cell r="M134" t="str">
            <v xml:space="preserve"> 0</v>
          </cell>
          <cell r="N134">
            <v>7.2379999999999996E-3</v>
          </cell>
          <cell r="O134">
            <v>5.9737999999999999E-2</v>
          </cell>
          <cell r="P134" t="str">
            <v xml:space="preserve"> 0</v>
          </cell>
          <cell r="Q134" t="str">
            <v xml:space="preserve"> 0</v>
          </cell>
          <cell r="R134" t="str">
            <v xml:space="preserve"> 0</v>
          </cell>
          <cell r="S134" t="str">
            <v xml:space="preserve"> 0</v>
          </cell>
          <cell r="T134">
            <v>5.9737999999999999E-2</v>
          </cell>
          <cell r="U134" t="str">
            <v xml:space="preserve"> 0</v>
          </cell>
          <cell r="V134">
            <v>2.6339999999999999E-2</v>
          </cell>
          <cell r="W134" t="str">
            <v xml:space="preserve"> 0</v>
          </cell>
          <cell r="X134">
            <v>2.6339999999999999E-2</v>
          </cell>
          <cell r="Z134">
            <v>8.6078000000000002E-2</v>
          </cell>
        </row>
        <row r="135">
          <cell r="F135">
            <v>-7.6000000000000004E-4</v>
          </cell>
          <cell r="G135">
            <v>-1.9629999999999999E-3</v>
          </cell>
          <cell r="H135">
            <v>3.9148999999999996E-2</v>
          </cell>
          <cell r="I135">
            <v>3.6425999999999993E-2</v>
          </cell>
          <cell r="K135">
            <v>-3.4083000000000002E-2</v>
          </cell>
          <cell r="L135">
            <v>-2.0518000000000002E-2</v>
          </cell>
          <cell r="M135">
            <v>-3.3519999999999999E-3</v>
          </cell>
          <cell r="N135">
            <v>-5.7953000000000005E-2</v>
          </cell>
          <cell r="O135">
            <v>-2.1527000000000011E-2</v>
          </cell>
          <cell r="P135">
            <v>-6.2589999999999989E-3</v>
          </cell>
          <cell r="Q135">
            <v>-3.3689999999999996E-3</v>
          </cell>
          <cell r="R135">
            <v>-4.0249999999999999E-3</v>
          </cell>
          <cell r="S135">
            <v>-1.3652999999999998E-2</v>
          </cell>
          <cell r="T135">
            <v>-3.518000000000001E-2</v>
          </cell>
          <cell r="U135">
            <v>-3.0879999999999996E-3</v>
          </cell>
          <cell r="V135">
            <v>4.6979999999999991E-3</v>
          </cell>
          <cell r="W135" t="str">
            <v xml:space="preserve"> 0</v>
          </cell>
          <cell r="X135">
            <v>1.6099999999999999E-3</v>
          </cell>
          <cell r="Z135">
            <v>-3.357000000000001E-2</v>
          </cell>
        </row>
        <row r="136">
          <cell r="F136">
            <v>1.18E-4</v>
          </cell>
          <cell r="G136">
            <v>1.22E-4</v>
          </cell>
          <cell r="H136">
            <v>1.7390000000000001E-3</v>
          </cell>
          <cell r="I136">
            <v>1.9789999999999999E-3</v>
          </cell>
          <cell r="K136">
            <v>2.2389999999999997E-3</v>
          </cell>
          <cell r="L136">
            <v>2.1499999999999999E-4</v>
          </cell>
          <cell r="M136">
            <v>1.4890000000000001E-3</v>
          </cell>
          <cell r="N136">
            <v>3.9429999999999995E-3</v>
          </cell>
          <cell r="O136">
            <v>5.9219999999999993E-3</v>
          </cell>
          <cell r="P136">
            <v>-8.3699999999999996E-4</v>
          </cell>
          <cell r="Q136">
            <v>1.5199999999999998E-4</v>
          </cell>
          <cell r="R136">
            <v>1.683E-3</v>
          </cell>
          <cell r="S136">
            <v>9.9799999999999976E-4</v>
          </cell>
          <cell r="T136">
            <v>6.9199999999999991E-3</v>
          </cell>
          <cell r="U136">
            <v>-3.9500000000000001E-4</v>
          </cell>
          <cell r="V136">
            <v>6.3000000000000003E-4</v>
          </cell>
          <cell r="W136" t="str">
            <v xml:space="preserve"> 0</v>
          </cell>
          <cell r="X136">
            <v>2.3499999999999997E-4</v>
          </cell>
          <cell r="Z136">
            <v>7.154999999999999E-3</v>
          </cell>
        </row>
        <row r="138">
          <cell r="F138" t="str">
            <v xml:space="preserve"> 0</v>
          </cell>
          <cell r="G138" t="str">
            <v xml:space="preserve"> 0</v>
          </cell>
          <cell r="H138">
            <v>5.2499999999999998E-2</v>
          </cell>
          <cell r="I138">
            <v>5.2499999999999998E-2</v>
          </cell>
          <cell r="K138">
            <v>7.2379999999999996E-3</v>
          </cell>
          <cell r="L138" t="str">
            <v xml:space="preserve"> 0</v>
          </cell>
          <cell r="M138" t="str">
            <v xml:space="preserve"> 0</v>
          </cell>
          <cell r="N138">
            <v>7.2379999999999996E-3</v>
          </cell>
          <cell r="O138">
            <v>5.9737999999999999E-2</v>
          </cell>
          <cell r="P138" t="str">
            <v xml:space="preserve"> 0</v>
          </cell>
          <cell r="Q138" t="str">
            <v xml:space="preserve"> 0</v>
          </cell>
          <cell r="R138" t="str">
            <v xml:space="preserve"> 0</v>
          </cell>
          <cell r="S138" t="str">
            <v xml:space="preserve"> 0</v>
          </cell>
          <cell r="T138">
            <v>5.9737999999999999E-2</v>
          </cell>
          <cell r="U138" t="str">
            <v xml:space="preserve"> 0</v>
          </cell>
          <cell r="V138">
            <v>2.6339999999999999E-2</v>
          </cell>
          <cell r="W138" t="str">
            <v xml:space="preserve"> 0</v>
          </cell>
          <cell r="X138">
            <v>2.6339999999999999E-2</v>
          </cell>
          <cell r="Z138">
            <v>8.6078000000000002E-2</v>
          </cell>
        </row>
        <row r="139">
          <cell r="F139">
            <v>-7.6000000000000004E-4</v>
          </cell>
          <cell r="G139">
            <v>-1.9629999999999999E-3</v>
          </cell>
          <cell r="H139">
            <v>3.9148999999999996E-2</v>
          </cell>
          <cell r="I139">
            <v>3.6425999999999993E-2</v>
          </cell>
          <cell r="K139">
            <v>-3.4083000000000002E-2</v>
          </cell>
          <cell r="L139">
            <v>-2.0518000000000002E-2</v>
          </cell>
          <cell r="M139">
            <v>-3.3519999999999999E-3</v>
          </cell>
          <cell r="N139">
            <v>-5.7953000000000005E-2</v>
          </cell>
          <cell r="O139">
            <v>-2.1527000000000011E-2</v>
          </cell>
          <cell r="P139">
            <v>-6.2589999999999989E-3</v>
          </cell>
          <cell r="Q139">
            <v>-3.3689999999999996E-3</v>
          </cell>
          <cell r="R139">
            <v>-4.0249999999999999E-3</v>
          </cell>
          <cell r="S139">
            <v>-1.3652999999999998E-2</v>
          </cell>
          <cell r="T139">
            <v>-3.518000000000001E-2</v>
          </cell>
          <cell r="U139">
            <v>-3.0879999999999996E-3</v>
          </cell>
          <cell r="V139">
            <v>4.6979999999999991E-3</v>
          </cell>
          <cell r="W139" t="str">
            <v xml:space="preserve"> 0</v>
          </cell>
          <cell r="X139">
            <v>1.6099999999999999E-3</v>
          </cell>
          <cell r="Z139">
            <v>-3.357000000000001E-2</v>
          </cell>
        </row>
        <row r="140">
          <cell r="F140">
            <v>1.18E-4</v>
          </cell>
          <cell r="G140">
            <v>1.22E-4</v>
          </cell>
          <cell r="H140">
            <v>1.7390000000000001E-3</v>
          </cell>
          <cell r="I140">
            <v>1.9789999999999999E-3</v>
          </cell>
          <cell r="K140">
            <v>2.2389999999999997E-3</v>
          </cell>
          <cell r="L140">
            <v>2.1499999999999999E-4</v>
          </cell>
          <cell r="M140">
            <v>1.4890000000000001E-3</v>
          </cell>
          <cell r="N140">
            <v>3.9429999999999995E-3</v>
          </cell>
          <cell r="O140">
            <v>5.9219999999999993E-3</v>
          </cell>
          <cell r="P140">
            <v>-8.3699999999999996E-4</v>
          </cell>
          <cell r="Q140">
            <v>1.5199999999999998E-4</v>
          </cell>
          <cell r="R140">
            <v>1.683E-3</v>
          </cell>
          <cell r="S140">
            <v>9.9799999999999976E-4</v>
          </cell>
          <cell r="T140">
            <v>6.9199999999999991E-3</v>
          </cell>
          <cell r="U140">
            <v>-3.9500000000000001E-4</v>
          </cell>
          <cell r="V140">
            <v>6.3000000000000003E-4</v>
          </cell>
          <cell r="W140" t="str">
            <v xml:space="preserve"> 0</v>
          </cell>
          <cell r="X140">
            <v>2.3499999999999997E-4</v>
          </cell>
          <cell r="Z140">
            <v>7.154999999999999E-3</v>
          </cell>
        </row>
        <row r="142">
          <cell r="F142">
            <v>1.2418560000000001</v>
          </cell>
          <cell r="G142">
            <v>1.4470790000000002</v>
          </cell>
          <cell r="H142">
            <v>1.9378249999999999</v>
          </cell>
          <cell r="I142">
            <v>4.62676</v>
          </cell>
          <cell r="K142">
            <v>1.2268020000000002</v>
          </cell>
          <cell r="L142">
            <v>1.604433</v>
          </cell>
          <cell r="M142">
            <v>2.7325459999999997</v>
          </cell>
          <cell r="N142">
            <v>5.5637809999999996</v>
          </cell>
          <cell r="O142">
            <v>10.190541</v>
          </cell>
          <cell r="P142">
            <v>1.6423289999999999</v>
          </cell>
          <cell r="Q142">
            <v>1.4368429999999999</v>
          </cell>
          <cell r="R142">
            <v>2.3611779999999998</v>
          </cell>
          <cell r="S142">
            <v>5.4403500000000005</v>
          </cell>
          <cell r="T142">
            <v>15.630891</v>
          </cell>
          <cell r="U142">
            <v>1.2100800000000003</v>
          </cell>
          <cell r="V142">
            <v>1.584335</v>
          </cell>
          <cell r="W142" t="str">
            <v xml:space="preserve"> 0</v>
          </cell>
          <cell r="X142">
            <v>2.7944149999999999</v>
          </cell>
          <cell r="Z142">
            <v>18.425305999999999</v>
          </cell>
        </row>
        <row r="143">
          <cell r="F143">
            <v>0.69763200000000014</v>
          </cell>
          <cell r="G143">
            <v>0.65268000000000026</v>
          </cell>
          <cell r="H143">
            <v>0.70228600000000008</v>
          </cell>
          <cell r="I143">
            <v>2.0525980000000001</v>
          </cell>
          <cell r="K143">
            <v>0.5877730000000001</v>
          </cell>
          <cell r="L143">
            <v>0.86740100000000009</v>
          </cell>
          <cell r="M143">
            <v>1.2793109999999999</v>
          </cell>
          <cell r="N143">
            <v>2.7344849999999998</v>
          </cell>
          <cell r="O143">
            <v>4.787083</v>
          </cell>
          <cell r="P143">
            <v>0.80787500000000001</v>
          </cell>
          <cell r="Q143">
            <v>0.36093100000000011</v>
          </cell>
          <cell r="R143">
            <v>1.1052459999999997</v>
          </cell>
          <cell r="S143">
            <v>2.2740520000000006</v>
          </cell>
          <cell r="T143">
            <v>7.0611350000000002</v>
          </cell>
          <cell r="U143">
            <v>0.34409500000000015</v>
          </cell>
          <cell r="V143">
            <v>0.49526000000000014</v>
          </cell>
          <cell r="W143" t="str">
            <v xml:space="preserve"> 0</v>
          </cell>
          <cell r="X143">
            <v>0.83935499999999974</v>
          </cell>
          <cell r="Z143">
            <v>7.9004899999999996</v>
          </cell>
        </row>
        <row r="144">
          <cell r="F144">
            <v>0.20064600000000002</v>
          </cell>
          <cell r="G144">
            <v>0.17262</v>
          </cell>
          <cell r="H144">
            <v>0.44478299999999993</v>
          </cell>
          <cell r="I144">
            <v>0.81804900000000014</v>
          </cell>
          <cell r="K144">
            <v>0.37089199999999994</v>
          </cell>
          <cell r="L144">
            <v>0.32138900000000004</v>
          </cell>
          <cell r="M144">
            <v>0.39752599999999999</v>
          </cell>
          <cell r="N144">
            <v>1.0898069999999997</v>
          </cell>
          <cell r="O144">
            <v>1.9078559999999998</v>
          </cell>
          <cell r="P144">
            <v>0.22478099999999998</v>
          </cell>
          <cell r="Q144">
            <v>0.24453899999999998</v>
          </cell>
          <cell r="R144">
            <v>0.46002199999999999</v>
          </cell>
          <cell r="S144">
            <v>0.929342</v>
          </cell>
          <cell r="T144">
            <v>2.8371979999999999</v>
          </cell>
          <cell r="U144">
            <v>0.33211000000000002</v>
          </cell>
          <cell r="V144">
            <v>0.41934200000000005</v>
          </cell>
          <cell r="W144" t="str">
            <v xml:space="preserve"> 0</v>
          </cell>
          <cell r="X144">
            <v>0.75145200000000001</v>
          </cell>
          <cell r="Z144">
            <v>3.5886499999999999</v>
          </cell>
        </row>
        <row r="146">
          <cell r="F146">
            <v>0.222994</v>
          </cell>
          <cell r="G146">
            <v>0.22388</v>
          </cell>
          <cell r="H146">
            <v>0.24912999999999999</v>
          </cell>
          <cell r="I146">
            <v>0.69600399999999996</v>
          </cell>
          <cell r="K146">
            <v>0.30626900000000001</v>
          </cell>
          <cell r="L146">
            <v>0.24917500000000001</v>
          </cell>
          <cell r="M146">
            <v>0.25835200000000003</v>
          </cell>
          <cell r="N146">
            <v>0.81379600000000007</v>
          </cell>
          <cell r="O146">
            <v>1.5098</v>
          </cell>
          <cell r="P146">
            <v>0.25153500000000001</v>
          </cell>
          <cell r="Q146">
            <v>0.26155800000000001</v>
          </cell>
          <cell r="R146">
            <v>0.27992899999999998</v>
          </cell>
          <cell r="S146">
            <v>0.793022</v>
          </cell>
          <cell r="T146">
            <v>2.3028219999999999</v>
          </cell>
          <cell r="U146">
            <v>0.26530500000000001</v>
          </cell>
          <cell r="V146">
            <v>0.25188300000000002</v>
          </cell>
          <cell r="W146" t="str">
            <v xml:space="preserve"> 0</v>
          </cell>
          <cell r="X146">
            <v>0.51718799999999998</v>
          </cell>
          <cell r="Z146">
            <v>2.8200099999999999</v>
          </cell>
        </row>
        <row r="147">
          <cell r="F147">
            <v>0.15062500000000001</v>
          </cell>
          <cell r="G147">
            <v>0.15300999999999998</v>
          </cell>
          <cell r="H147">
            <v>7.6759999999999995E-2</v>
          </cell>
          <cell r="I147">
            <v>0.38039499999999993</v>
          </cell>
          <cell r="K147">
            <v>0.20012100000000002</v>
          </cell>
          <cell r="L147">
            <v>8.1044999999999992E-2</v>
          </cell>
          <cell r="M147">
            <v>6.2208000000000027E-2</v>
          </cell>
          <cell r="N147">
            <v>0.34337400000000007</v>
          </cell>
          <cell r="O147">
            <v>0.723769</v>
          </cell>
          <cell r="P147">
            <v>0.13720300000000002</v>
          </cell>
          <cell r="Q147">
            <v>9.3956999999999999E-2</v>
          </cell>
          <cell r="R147">
            <v>0.16955300000000001</v>
          </cell>
          <cell r="S147">
            <v>0.40071299999999999</v>
          </cell>
          <cell r="T147">
            <v>1.124482</v>
          </cell>
          <cell r="U147">
            <v>8.7180000000000021E-2</v>
          </cell>
          <cell r="V147">
            <v>4.0642000000000025E-2</v>
          </cell>
          <cell r="W147" t="str">
            <v xml:space="preserve"> 0</v>
          </cell>
          <cell r="X147">
            <v>0.12782199999999996</v>
          </cell>
          <cell r="Z147">
            <v>1.2523039999999999</v>
          </cell>
        </row>
        <row r="148">
          <cell r="F148">
            <v>-1.282999999999999E-3</v>
          </cell>
          <cell r="G148">
            <v>-5.4399999999999989E-4</v>
          </cell>
          <cell r="H148">
            <v>-1.2813E-2</v>
          </cell>
          <cell r="I148">
            <v>-1.464E-2</v>
          </cell>
          <cell r="K148">
            <v>1.1571E-2</v>
          </cell>
          <cell r="L148">
            <v>-1.0685999999999999E-2</v>
          </cell>
          <cell r="M148">
            <v>-3.7880000000000001E-3</v>
          </cell>
          <cell r="N148">
            <v>-2.9030000000000028E-3</v>
          </cell>
          <cell r="O148">
            <v>-1.7543000000000003E-2</v>
          </cell>
          <cell r="P148">
            <v>-9.1439999999999994E-3</v>
          </cell>
          <cell r="Q148">
            <v>9.7700000000000022E-4</v>
          </cell>
          <cell r="R148">
            <v>2.4593999999999998E-2</v>
          </cell>
          <cell r="S148">
            <v>1.6426999999999994E-2</v>
          </cell>
          <cell r="T148">
            <v>-1.1160000000000093E-3</v>
          </cell>
          <cell r="U148">
            <v>5.1026999999999996E-2</v>
          </cell>
          <cell r="V148">
            <v>3.1328999999999996E-2</v>
          </cell>
          <cell r="W148" t="str">
            <v xml:space="preserve"> 0</v>
          </cell>
          <cell r="X148">
            <v>8.2355999999999999E-2</v>
          </cell>
          <cell r="Z148">
            <v>8.1239999999999993E-2</v>
          </cell>
        </row>
        <row r="150">
          <cell r="F150">
            <v>2.0282000000000001E-2</v>
          </cell>
          <cell r="G150">
            <v>1.8251E-2</v>
          </cell>
          <cell r="H150">
            <v>1.9302E-2</v>
          </cell>
          <cell r="I150">
            <v>5.7834999999999998E-2</v>
          </cell>
          <cell r="K150">
            <v>2.9335E-2</v>
          </cell>
          <cell r="L150">
            <v>5.2956999999999997E-2</v>
          </cell>
          <cell r="M150">
            <v>2.5024999999999999E-2</v>
          </cell>
          <cell r="N150">
            <v>0.107317</v>
          </cell>
          <cell r="O150">
            <v>0.16515199999999999</v>
          </cell>
          <cell r="P150">
            <v>2.5059999999999999E-2</v>
          </cell>
          <cell r="Q150">
            <v>1.9309E-2</v>
          </cell>
          <cell r="R150">
            <v>2.5069999999999999E-2</v>
          </cell>
          <cell r="S150">
            <v>6.9439000000000001E-2</v>
          </cell>
          <cell r="T150">
            <v>0.23459099999999999</v>
          </cell>
          <cell r="U150">
            <v>2.3414000000000001E-2</v>
          </cell>
          <cell r="V150">
            <v>2.5974000000000001E-2</v>
          </cell>
          <cell r="W150" t="str">
            <v xml:space="preserve"> 0</v>
          </cell>
          <cell r="X150">
            <v>4.9388000000000001E-2</v>
          </cell>
          <cell r="Z150">
            <v>0.28397899999999998</v>
          </cell>
        </row>
        <row r="151">
          <cell r="F151">
            <v>1.3361000000000001E-2</v>
          </cell>
          <cell r="G151">
            <v>1.0725E-2</v>
          </cell>
          <cell r="H151">
            <v>7.4049999999999984E-3</v>
          </cell>
          <cell r="I151">
            <v>3.1490999999999998E-2</v>
          </cell>
          <cell r="K151">
            <v>2.1755E-2</v>
          </cell>
          <cell r="L151">
            <v>4.3194999999999997E-2</v>
          </cell>
          <cell r="M151">
            <v>1.7162999999999998E-2</v>
          </cell>
          <cell r="N151">
            <v>8.2112999999999992E-2</v>
          </cell>
          <cell r="O151">
            <v>0.11360399999999998</v>
          </cell>
          <cell r="P151">
            <v>2.0524000000000001E-2</v>
          </cell>
          <cell r="Q151">
            <v>8.8859999999999998E-3</v>
          </cell>
          <cell r="R151">
            <v>1.3531999999999999E-2</v>
          </cell>
          <cell r="S151">
            <v>4.2941999999999994E-2</v>
          </cell>
          <cell r="T151">
            <v>0.15654599999999996</v>
          </cell>
          <cell r="U151">
            <v>1.3194000000000001E-2</v>
          </cell>
          <cell r="V151">
            <v>1.7809999999999999E-2</v>
          </cell>
          <cell r="W151" t="str">
            <v xml:space="preserve"> 0</v>
          </cell>
          <cell r="X151">
            <v>3.1004000000000004E-2</v>
          </cell>
          <cell r="Z151">
            <v>0.18754999999999997</v>
          </cell>
        </row>
        <row r="152">
          <cell r="F152">
            <v>8.2999999999999998E-5</v>
          </cell>
          <cell r="G152">
            <v>5.2000000000000004E-5</v>
          </cell>
          <cell r="H152">
            <v>5.3999999999999998E-5</v>
          </cell>
          <cell r="I152">
            <v>1.8900000000000001E-4</v>
          </cell>
          <cell r="K152">
            <v>2.1780000000000002E-3</v>
          </cell>
          <cell r="L152">
            <v>1.13E-4</v>
          </cell>
          <cell r="M152">
            <v>1.17E-4</v>
          </cell>
          <cell r="N152">
            <v>2.4080000000000004E-3</v>
          </cell>
          <cell r="O152">
            <v>2.5970000000000003E-3</v>
          </cell>
          <cell r="P152">
            <v>1.245E-3</v>
          </cell>
          <cell r="Q152">
            <v>1.08E-4</v>
          </cell>
          <cell r="R152">
            <v>7.4099999999999991E-4</v>
          </cell>
          <cell r="S152">
            <v>2.0939999999999999E-3</v>
          </cell>
          <cell r="T152">
            <v>4.6910000000000007E-3</v>
          </cell>
          <cell r="U152">
            <v>7.2000000000000029E-5</v>
          </cell>
          <cell r="V152">
            <v>1.3180000000000002E-3</v>
          </cell>
          <cell r="W152" t="str">
            <v xml:space="preserve"> 0</v>
          </cell>
          <cell r="X152">
            <v>1.39E-3</v>
          </cell>
          <cell r="Z152">
            <v>6.0810000000000005E-3</v>
          </cell>
        </row>
        <row r="154">
          <cell r="F154">
            <v>0.18781200000000001</v>
          </cell>
          <cell r="G154">
            <v>0.23884</v>
          </cell>
          <cell r="H154">
            <v>0.235952</v>
          </cell>
          <cell r="I154">
            <v>0.66260399999999997</v>
          </cell>
          <cell r="K154">
            <v>0.193495</v>
          </cell>
          <cell r="L154">
            <v>0.21848500000000001</v>
          </cell>
          <cell r="M154">
            <v>0.245529</v>
          </cell>
          <cell r="N154">
            <v>0.65750900000000001</v>
          </cell>
          <cell r="O154">
            <v>1.3201130000000001</v>
          </cell>
          <cell r="P154">
            <v>0.22775999999999999</v>
          </cell>
          <cell r="Q154">
            <v>0.20292399999999999</v>
          </cell>
          <cell r="R154">
            <v>0.25413999999999998</v>
          </cell>
          <cell r="S154">
            <v>0.68482399999999988</v>
          </cell>
          <cell r="T154">
            <v>2.004937</v>
          </cell>
          <cell r="U154">
            <v>0.222944</v>
          </cell>
          <cell r="V154">
            <v>0.25131500000000001</v>
          </cell>
          <cell r="W154" t="str">
            <v xml:space="preserve"> 0</v>
          </cell>
          <cell r="X154">
            <v>0.47425899999999999</v>
          </cell>
          <cell r="Z154">
            <v>2.479196</v>
          </cell>
        </row>
        <row r="155">
          <cell r="F155">
            <v>0.117331</v>
          </cell>
          <cell r="G155">
            <v>3.0380999999999991E-2</v>
          </cell>
          <cell r="H155">
            <v>7.1720999999999979E-2</v>
          </cell>
          <cell r="I155">
            <v>0.21943299999999999</v>
          </cell>
          <cell r="K155">
            <v>1.1549999999999998E-2</v>
          </cell>
          <cell r="L155">
            <v>0.141294</v>
          </cell>
          <cell r="M155">
            <v>0.10925899999999998</v>
          </cell>
          <cell r="N155">
            <v>0.26210299999999997</v>
          </cell>
          <cell r="O155">
            <v>0.48153599999999996</v>
          </cell>
          <cell r="P155">
            <v>1.9212E-2</v>
          </cell>
          <cell r="Q155">
            <v>-0.13845700000000002</v>
          </cell>
          <cell r="R155">
            <v>0.10878199999999998</v>
          </cell>
          <cell r="S155">
            <v>-1.0463000000000106E-2</v>
          </cell>
          <cell r="T155">
            <v>0.47107299999999985</v>
          </cell>
          <cell r="U155">
            <v>8.5777000000000006E-2</v>
          </cell>
          <cell r="V155">
            <v>0.12880700000000003</v>
          </cell>
          <cell r="W155" t="str">
            <v xml:space="preserve"> 0</v>
          </cell>
          <cell r="X155">
            <v>0.21458399999999997</v>
          </cell>
          <cell r="Z155">
            <v>0.68565699999999985</v>
          </cell>
        </row>
        <row r="156">
          <cell r="F156" t="str">
            <v xml:space="preserve"> 0</v>
          </cell>
          <cell r="G156" t="str">
            <v xml:space="preserve"> 0</v>
          </cell>
          <cell r="H156" t="str">
            <v xml:space="preserve"> 0</v>
          </cell>
          <cell r="I156" t="str">
            <v xml:space="preserve"> 0</v>
          </cell>
          <cell r="K156">
            <v>2.6790999999999999E-2</v>
          </cell>
          <cell r="L156">
            <v>1.2099999999999999E-3</v>
          </cell>
          <cell r="M156">
            <v>1.2620000000000001E-3</v>
          </cell>
          <cell r="N156">
            <v>2.9262999999999997E-2</v>
          </cell>
          <cell r="O156">
            <v>2.9262999999999997E-2</v>
          </cell>
          <cell r="P156">
            <v>1.0150000000000001E-3</v>
          </cell>
          <cell r="Q156">
            <v>8.0599999999999997E-4</v>
          </cell>
          <cell r="R156">
            <v>5.8589999999999996E-3</v>
          </cell>
          <cell r="S156">
            <v>7.6799999999999993E-3</v>
          </cell>
          <cell r="T156">
            <v>3.6942999999999997E-2</v>
          </cell>
          <cell r="U156">
            <v>8.2399999999999997E-4</v>
          </cell>
          <cell r="V156">
            <v>1.1225000000000001E-2</v>
          </cell>
          <cell r="W156" t="str">
            <v xml:space="preserve"> 0</v>
          </cell>
          <cell r="X156">
            <v>1.2049000000000001E-2</v>
          </cell>
          <cell r="Z156">
            <v>4.8991999999999994E-2</v>
          </cell>
        </row>
        <row r="158">
          <cell r="F158">
            <v>0.18781200000000001</v>
          </cell>
          <cell r="G158">
            <v>0.23884</v>
          </cell>
          <cell r="H158">
            <v>0.235952</v>
          </cell>
          <cell r="I158">
            <v>0.66260399999999997</v>
          </cell>
          <cell r="K158">
            <v>0.193495</v>
          </cell>
          <cell r="L158">
            <v>0.21848500000000001</v>
          </cell>
          <cell r="M158">
            <v>0.245529</v>
          </cell>
          <cell r="N158">
            <v>0.65750900000000001</v>
          </cell>
          <cell r="O158">
            <v>1.3201130000000001</v>
          </cell>
          <cell r="P158">
            <v>0.22775999999999999</v>
          </cell>
          <cell r="Q158">
            <v>0.20292399999999999</v>
          </cell>
          <cell r="R158">
            <v>0.25413999999999998</v>
          </cell>
          <cell r="S158">
            <v>0.68482399999999988</v>
          </cell>
          <cell r="T158">
            <v>2.004937</v>
          </cell>
          <cell r="U158">
            <v>0.222944</v>
          </cell>
          <cell r="V158">
            <v>0.25131500000000001</v>
          </cell>
          <cell r="W158" t="str">
            <v xml:space="preserve"> 0</v>
          </cell>
          <cell r="X158">
            <v>0.47425899999999999</v>
          </cell>
          <cell r="Z158">
            <v>2.479196</v>
          </cell>
        </row>
        <row r="159">
          <cell r="F159">
            <v>0.117331</v>
          </cell>
          <cell r="G159">
            <v>3.0380999999999991E-2</v>
          </cell>
          <cell r="H159">
            <v>7.1720999999999979E-2</v>
          </cell>
          <cell r="I159">
            <v>0.21943299999999999</v>
          </cell>
          <cell r="K159">
            <v>1.1549999999999998E-2</v>
          </cell>
          <cell r="L159">
            <v>0.141294</v>
          </cell>
          <cell r="M159">
            <v>0.10925899999999998</v>
          </cell>
          <cell r="N159">
            <v>0.26210299999999997</v>
          </cell>
          <cell r="O159">
            <v>0.48153599999999996</v>
          </cell>
          <cell r="P159">
            <v>1.9212E-2</v>
          </cell>
          <cell r="Q159">
            <v>-0.13845700000000002</v>
          </cell>
          <cell r="R159">
            <v>0.10878199999999998</v>
          </cell>
          <cell r="S159">
            <v>-1.0463000000000106E-2</v>
          </cell>
          <cell r="T159">
            <v>0.47107299999999985</v>
          </cell>
          <cell r="U159">
            <v>8.5777000000000006E-2</v>
          </cell>
          <cell r="V159">
            <v>0.12880700000000003</v>
          </cell>
          <cell r="W159" t="str">
            <v xml:space="preserve"> 0</v>
          </cell>
          <cell r="X159">
            <v>0.21458399999999997</v>
          </cell>
          <cell r="Z159">
            <v>0.68565699999999985</v>
          </cell>
        </row>
        <row r="160">
          <cell r="F160" t="str">
            <v xml:space="preserve"> 0</v>
          </cell>
          <cell r="G160" t="str">
            <v xml:space="preserve"> 0</v>
          </cell>
          <cell r="H160" t="str">
            <v xml:space="preserve"> 0</v>
          </cell>
          <cell r="I160" t="str">
            <v xml:space="preserve"> 0</v>
          </cell>
          <cell r="K160">
            <v>2.6790999999999999E-2</v>
          </cell>
          <cell r="L160">
            <v>1.2099999999999999E-3</v>
          </cell>
          <cell r="M160">
            <v>1.2620000000000001E-3</v>
          </cell>
          <cell r="N160">
            <v>2.9262999999999997E-2</v>
          </cell>
          <cell r="O160">
            <v>2.9262999999999997E-2</v>
          </cell>
          <cell r="P160">
            <v>1.0150000000000001E-3</v>
          </cell>
          <cell r="Q160">
            <v>8.0599999999999997E-4</v>
          </cell>
          <cell r="R160">
            <v>5.8589999999999996E-3</v>
          </cell>
          <cell r="S160">
            <v>7.6799999999999993E-3</v>
          </cell>
          <cell r="T160">
            <v>3.6942999999999997E-2</v>
          </cell>
          <cell r="U160">
            <v>8.2399999999999997E-4</v>
          </cell>
          <cell r="V160">
            <v>1.1225000000000001E-2</v>
          </cell>
          <cell r="W160" t="str">
            <v xml:space="preserve"> 0</v>
          </cell>
          <cell r="X160">
            <v>1.2049000000000001E-2</v>
          </cell>
          <cell r="Z160">
            <v>4.8991999999999994E-2</v>
          </cell>
        </row>
        <row r="162">
          <cell r="F162">
            <v>0.116092</v>
          </cell>
          <cell r="G162">
            <v>0.17328399999999999</v>
          </cell>
          <cell r="H162">
            <v>0.28209299999999998</v>
          </cell>
          <cell r="I162">
            <v>0.57146899999999989</v>
          </cell>
          <cell r="K162">
            <v>0.13684000000000002</v>
          </cell>
          <cell r="L162">
            <v>0.15540700000000002</v>
          </cell>
          <cell r="M162">
            <v>0.50218499999999999</v>
          </cell>
          <cell r="N162">
            <v>0.79443200000000003</v>
          </cell>
          <cell r="O162">
            <v>1.365901</v>
          </cell>
          <cell r="P162">
            <v>0.13482799999999998</v>
          </cell>
          <cell r="Q162">
            <v>0.13506599999999999</v>
          </cell>
          <cell r="R162">
            <v>0.29039899999999996</v>
          </cell>
          <cell r="S162">
            <v>0.56029300000000004</v>
          </cell>
          <cell r="T162">
            <v>1.9261940000000002</v>
          </cell>
          <cell r="U162">
            <v>0.13624699999999998</v>
          </cell>
          <cell r="V162">
            <v>0.19653799999999999</v>
          </cell>
          <cell r="W162" t="str">
            <v xml:space="preserve"> 0</v>
          </cell>
          <cell r="X162">
            <v>0.33278500000000005</v>
          </cell>
          <cell r="Z162">
            <v>2.2589790000000001</v>
          </cell>
        </row>
        <row r="163">
          <cell r="F163">
            <v>1.2565999999999994E-2</v>
          </cell>
          <cell r="G163">
            <v>7.8481999999999996E-2</v>
          </cell>
          <cell r="H163">
            <v>6.9468999999999975E-2</v>
          </cell>
          <cell r="I163">
            <v>0.16051699999999985</v>
          </cell>
          <cell r="K163">
            <v>3.0169000000000015E-2</v>
          </cell>
          <cell r="L163">
            <v>-5.9659999999999713E-3</v>
          </cell>
          <cell r="M163">
            <v>9.5220000000000027E-2</v>
          </cell>
          <cell r="N163">
            <v>0.11942300000000017</v>
          </cell>
          <cell r="O163">
            <v>0.27994000000000002</v>
          </cell>
          <cell r="P163">
            <v>8.2428999999999975E-2</v>
          </cell>
          <cell r="Q163">
            <v>-2.9403000000000012E-2</v>
          </cell>
          <cell r="R163">
            <v>8.533899999999997E-2</v>
          </cell>
          <cell r="S163">
            <v>0.13836500000000007</v>
          </cell>
          <cell r="T163">
            <v>0.41830500000000009</v>
          </cell>
          <cell r="U163">
            <v>-1.0525000000000007E-2</v>
          </cell>
          <cell r="V163">
            <v>4.2878999999999973E-2</v>
          </cell>
          <cell r="W163" t="str">
            <v xml:space="preserve"> 0</v>
          </cell>
          <cell r="X163">
            <v>3.2353999999999994E-2</v>
          </cell>
          <cell r="Z163">
            <v>0.45065900000000009</v>
          </cell>
        </row>
        <row r="164">
          <cell r="F164">
            <v>1.4512000000000001E-2</v>
          </cell>
          <cell r="G164">
            <v>1.1729999999999999E-2</v>
          </cell>
          <cell r="H164">
            <v>2.7531E-2</v>
          </cell>
          <cell r="I164">
            <v>5.3773000000000001E-2</v>
          </cell>
          <cell r="K164">
            <v>3.0920999999999997E-2</v>
          </cell>
          <cell r="L164">
            <v>2.5307E-2</v>
          </cell>
          <cell r="M164">
            <v>-1.4622999999999999E-2</v>
          </cell>
          <cell r="N164">
            <v>4.1605000000000003E-2</v>
          </cell>
          <cell r="O164">
            <v>9.5378000000000004E-2</v>
          </cell>
          <cell r="P164">
            <v>2.8555000000000001E-2</v>
          </cell>
          <cell r="Q164">
            <v>8.2702999999999999E-2</v>
          </cell>
          <cell r="R164">
            <v>1.6448999999999998E-2</v>
          </cell>
          <cell r="S164">
            <v>0.12770699999999999</v>
          </cell>
          <cell r="T164">
            <v>0.22308499999999998</v>
          </cell>
          <cell r="U164">
            <v>2.1587000000000002E-2</v>
          </cell>
          <cell r="V164">
            <v>3.2965000000000001E-2</v>
          </cell>
          <cell r="W164" t="str">
            <v xml:space="preserve"> 0</v>
          </cell>
          <cell r="X164">
            <v>5.4552000000000003E-2</v>
          </cell>
          <cell r="Z164">
            <v>0.27763699999999997</v>
          </cell>
        </row>
        <row r="166">
          <cell r="F166">
            <v>0.23338800000000001</v>
          </cell>
          <cell r="G166">
            <v>0.23965699999999998</v>
          </cell>
          <cell r="H166">
            <v>0.27665600000000001</v>
          </cell>
          <cell r="I166">
            <v>0.74970100000000006</v>
          </cell>
          <cell r="K166">
            <v>0.238565</v>
          </cell>
          <cell r="L166">
            <v>0.28390299999999996</v>
          </cell>
          <cell r="M166">
            <v>0.28911300000000001</v>
          </cell>
          <cell r="N166">
            <v>0.81158099999999989</v>
          </cell>
          <cell r="O166">
            <v>1.5612819999999998</v>
          </cell>
          <cell r="P166">
            <v>0.25622799999999996</v>
          </cell>
          <cell r="Q166">
            <v>0.27889799999999998</v>
          </cell>
          <cell r="R166">
            <v>0.263959</v>
          </cell>
          <cell r="S166">
            <v>0.79908500000000005</v>
          </cell>
          <cell r="T166">
            <v>2.3603670000000001</v>
          </cell>
          <cell r="U166">
            <v>0.16872100000000001</v>
          </cell>
          <cell r="V166">
            <v>0.17666899999999999</v>
          </cell>
          <cell r="W166" t="str">
            <v xml:space="preserve"> 0</v>
          </cell>
          <cell r="X166">
            <v>0.34538999999999997</v>
          </cell>
          <cell r="Z166">
            <v>2.7057570000000002</v>
          </cell>
        </row>
        <row r="167">
          <cell r="F167">
            <v>0.17809900000000001</v>
          </cell>
          <cell r="G167">
            <v>0.18860599999999997</v>
          </cell>
          <cell r="H167">
            <v>0.12290599999999997</v>
          </cell>
          <cell r="I167">
            <v>0.48961100000000007</v>
          </cell>
          <cell r="K167">
            <v>0.18936800000000001</v>
          </cell>
          <cell r="L167">
            <v>0.22046599999999997</v>
          </cell>
          <cell r="M167">
            <v>0.201958</v>
          </cell>
          <cell r="N167">
            <v>0.61179199999999989</v>
          </cell>
          <cell r="O167">
            <v>1.1014029999999999</v>
          </cell>
          <cell r="P167">
            <v>0.17306899999999995</v>
          </cell>
          <cell r="Q167">
            <v>0.19538599999999998</v>
          </cell>
          <cell r="R167">
            <v>0.14774000000000001</v>
          </cell>
          <cell r="S167">
            <v>0.51619500000000007</v>
          </cell>
          <cell r="T167">
            <v>1.6175980000000001</v>
          </cell>
          <cell r="U167">
            <v>9.9623000000000017E-2</v>
          </cell>
          <cell r="V167">
            <v>4.7061999999999993E-2</v>
          </cell>
          <cell r="W167" t="str">
            <v xml:space="preserve"> 0</v>
          </cell>
          <cell r="X167">
            <v>0.14668500000000001</v>
          </cell>
          <cell r="Z167">
            <v>1.764283</v>
          </cell>
        </row>
        <row r="168">
          <cell r="F168">
            <v>1.0640000000000001E-3</v>
          </cell>
          <cell r="G168">
            <v>6.3000000000000003E-4</v>
          </cell>
          <cell r="H168">
            <v>7.7200000000000001E-4</v>
          </cell>
          <cell r="I168">
            <v>2.4659999999999999E-3</v>
          </cell>
          <cell r="K168">
            <v>2.8109000000000002E-2</v>
          </cell>
          <cell r="L168">
            <v>1.4320000000000001E-3</v>
          </cell>
          <cell r="M168">
            <v>1.4920000000000001E-3</v>
          </cell>
          <cell r="N168">
            <v>3.1033000000000002E-2</v>
          </cell>
          <cell r="O168">
            <v>3.3499000000000001E-2</v>
          </cell>
          <cell r="P168">
            <v>2.7239999999999999E-3</v>
          </cell>
          <cell r="Q168">
            <v>1.0169999999999999E-3</v>
          </cell>
          <cell r="R168">
            <v>6.986E-3</v>
          </cell>
          <cell r="S168">
            <v>1.0726999999999999E-2</v>
          </cell>
          <cell r="T168">
            <v>4.4226000000000001E-2</v>
          </cell>
          <cell r="U168">
            <v>8.6900000000000009E-4</v>
          </cell>
          <cell r="V168">
            <v>1.3277000000000001E-2</v>
          </cell>
          <cell r="W168" t="str">
            <v xml:space="preserve"> 0</v>
          </cell>
          <cell r="X168">
            <v>1.4146000000000001E-2</v>
          </cell>
          <cell r="Z168">
            <v>5.8372E-2</v>
          </cell>
        </row>
        <row r="170">
          <cell r="F170">
            <v>0.116092</v>
          </cell>
          <cell r="G170">
            <v>0.17328399999999999</v>
          </cell>
          <cell r="H170">
            <v>0.28209299999999998</v>
          </cell>
          <cell r="I170">
            <v>0.57146899999999989</v>
          </cell>
          <cell r="K170">
            <v>0.13684000000000002</v>
          </cell>
          <cell r="L170">
            <v>0.15540700000000002</v>
          </cell>
          <cell r="M170">
            <v>0.50218499999999999</v>
          </cell>
          <cell r="N170">
            <v>0.79443200000000003</v>
          </cell>
          <cell r="O170">
            <v>1.365901</v>
          </cell>
          <cell r="P170">
            <v>0.13482799999999998</v>
          </cell>
          <cell r="Q170">
            <v>0.13506599999999999</v>
          </cell>
          <cell r="R170">
            <v>0.29039899999999996</v>
          </cell>
          <cell r="S170">
            <v>0.56029300000000004</v>
          </cell>
          <cell r="T170">
            <v>1.9261940000000002</v>
          </cell>
          <cell r="U170">
            <v>0.13624699999999998</v>
          </cell>
          <cell r="V170">
            <v>0.19653799999999999</v>
          </cell>
          <cell r="W170" t="str">
            <v xml:space="preserve"> 0</v>
          </cell>
          <cell r="X170">
            <v>0.33278500000000005</v>
          </cell>
          <cell r="Z170">
            <v>2.2589790000000001</v>
          </cell>
        </row>
        <row r="171">
          <cell r="F171">
            <v>1.2565999999999994E-2</v>
          </cell>
          <cell r="G171">
            <v>7.8481999999999996E-2</v>
          </cell>
          <cell r="H171">
            <v>6.9468999999999975E-2</v>
          </cell>
          <cell r="I171">
            <v>0.16051699999999985</v>
          </cell>
          <cell r="K171">
            <v>3.0169000000000015E-2</v>
          </cell>
          <cell r="L171">
            <v>-5.9659999999999713E-3</v>
          </cell>
          <cell r="M171">
            <v>9.5220000000000027E-2</v>
          </cell>
          <cell r="N171">
            <v>0.11942300000000017</v>
          </cell>
          <cell r="O171">
            <v>0.27994000000000002</v>
          </cell>
          <cell r="P171">
            <v>8.2428999999999975E-2</v>
          </cell>
          <cell r="Q171">
            <v>-2.9403000000000012E-2</v>
          </cell>
          <cell r="R171">
            <v>8.533899999999997E-2</v>
          </cell>
          <cell r="S171">
            <v>0.13836500000000007</v>
          </cell>
          <cell r="T171">
            <v>0.41830500000000009</v>
          </cell>
          <cell r="U171">
            <v>-1.0525000000000007E-2</v>
          </cell>
          <cell r="V171">
            <v>4.2878999999999973E-2</v>
          </cell>
          <cell r="W171" t="str">
            <v xml:space="preserve"> 0</v>
          </cell>
          <cell r="X171">
            <v>3.2353999999999994E-2</v>
          </cell>
          <cell r="Z171">
            <v>0.45065900000000009</v>
          </cell>
        </row>
        <row r="172">
          <cell r="F172">
            <v>1.4512000000000001E-2</v>
          </cell>
          <cell r="G172">
            <v>1.1729999999999999E-2</v>
          </cell>
          <cell r="H172">
            <v>2.7531E-2</v>
          </cell>
          <cell r="I172">
            <v>5.3773000000000001E-2</v>
          </cell>
          <cell r="K172">
            <v>3.0920999999999997E-2</v>
          </cell>
          <cell r="L172">
            <v>2.5307E-2</v>
          </cell>
          <cell r="M172">
            <v>-1.4622999999999999E-2</v>
          </cell>
          <cell r="N172">
            <v>4.1605000000000003E-2</v>
          </cell>
          <cell r="O172">
            <v>9.5378000000000004E-2</v>
          </cell>
          <cell r="P172">
            <v>2.8555000000000001E-2</v>
          </cell>
          <cell r="Q172">
            <v>8.2702999999999999E-2</v>
          </cell>
          <cell r="R172">
            <v>1.6448999999999998E-2</v>
          </cell>
          <cell r="S172">
            <v>0.12770699999999999</v>
          </cell>
          <cell r="T172">
            <v>0.22308499999999998</v>
          </cell>
          <cell r="U172">
            <v>2.1587000000000002E-2</v>
          </cell>
          <cell r="V172">
            <v>3.2965000000000001E-2</v>
          </cell>
          <cell r="W172" t="str">
            <v xml:space="preserve"> 0</v>
          </cell>
          <cell r="X172">
            <v>5.4552000000000003E-2</v>
          </cell>
          <cell r="Z172">
            <v>0.27763699999999997</v>
          </cell>
        </row>
        <row r="174">
          <cell r="F174">
            <v>0.116092</v>
          </cell>
          <cell r="G174">
            <v>0.17328399999999999</v>
          </cell>
          <cell r="H174">
            <v>0.28209299999999998</v>
          </cell>
          <cell r="I174">
            <v>0.57146899999999989</v>
          </cell>
          <cell r="K174">
            <v>0.13684000000000002</v>
          </cell>
          <cell r="L174">
            <v>0.15540700000000002</v>
          </cell>
          <cell r="M174">
            <v>0.50218499999999999</v>
          </cell>
          <cell r="N174">
            <v>0.79443200000000003</v>
          </cell>
          <cell r="O174">
            <v>1.365901</v>
          </cell>
          <cell r="P174">
            <v>0.13482799999999998</v>
          </cell>
          <cell r="Q174">
            <v>0.13506599999999999</v>
          </cell>
          <cell r="R174">
            <v>0.29039899999999996</v>
          </cell>
          <cell r="S174">
            <v>0.56029300000000004</v>
          </cell>
          <cell r="T174">
            <v>1.9261940000000002</v>
          </cell>
          <cell r="U174">
            <v>0.13624699999999998</v>
          </cell>
          <cell r="V174">
            <v>0.19653799999999999</v>
          </cell>
          <cell r="W174" t="str">
            <v xml:space="preserve"> 0</v>
          </cell>
          <cell r="X174">
            <v>0.33278500000000005</v>
          </cell>
          <cell r="Z174">
            <v>2.2589790000000001</v>
          </cell>
        </row>
        <row r="175">
          <cell r="F175">
            <v>1.2565999999999994E-2</v>
          </cell>
          <cell r="G175">
            <v>7.8481999999999996E-2</v>
          </cell>
          <cell r="H175">
            <v>6.9468999999999975E-2</v>
          </cell>
          <cell r="I175">
            <v>0.16051699999999985</v>
          </cell>
          <cell r="K175">
            <v>3.0169000000000015E-2</v>
          </cell>
          <cell r="L175">
            <v>-5.9659999999999713E-3</v>
          </cell>
          <cell r="M175">
            <v>9.5220000000000027E-2</v>
          </cell>
          <cell r="N175">
            <v>0.11942300000000017</v>
          </cell>
          <cell r="O175">
            <v>0.27994000000000002</v>
          </cell>
          <cell r="P175">
            <v>8.2428999999999975E-2</v>
          </cell>
          <cell r="Q175">
            <v>-2.9403000000000012E-2</v>
          </cell>
          <cell r="R175">
            <v>8.533899999999997E-2</v>
          </cell>
          <cell r="S175">
            <v>0.13836500000000007</v>
          </cell>
          <cell r="T175">
            <v>0.41830500000000009</v>
          </cell>
          <cell r="U175">
            <v>-1.0525000000000007E-2</v>
          </cell>
          <cell r="V175">
            <v>4.2878999999999973E-2</v>
          </cell>
          <cell r="W175" t="str">
            <v xml:space="preserve"> 0</v>
          </cell>
          <cell r="X175">
            <v>3.2353999999999994E-2</v>
          </cell>
          <cell r="Z175">
            <v>0.45065900000000009</v>
          </cell>
        </row>
        <row r="176">
          <cell r="F176">
            <v>1.4512000000000001E-2</v>
          </cell>
          <cell r="G176">
            <v>1.1729999999999999E-2</v>
          </cell>
          <cell r="H176">
            <v>2.7531E-2</v>
          </cell>
          <cell r="I176">
            <v>5.3773000000000001E-2</v>
          </cell>
          <cell r="K176">
            <v>3.0920999999999997E-2</v>
          </cell>
          <cell r="L176">
            <v>2.5307E-2</v>
          </cell>
          <cell r="M176">
            <v>-1.4622999999999999E-2</v>
          </cell>
          <cell r="N176">
            <v>4.1605000000000003E-2</v>
          </cell>
          <cell r="O176">
            <v>9.5378000000000004E-2</v>
          </cell>
          <cell r="P176">
            <v>2.8555000000000001E-2</v>
          </cell>
          <cell r="Q176">
            <v>8.2702999999999999E-2</v>
          </cell>
          <cell r="R176">
            <v>1.6448999999999998E-2</v>
          </cell>
          <cell r="S176">
            <v>0.12770699999999999</v>
          </cell>
          <cell r="T176">
            <v>0.22308499999999998</v>
          </cell>
          <cell r="U176">
            <v>2.1587000000000002E-2</v>
          </cell>
          <cell r="V176">
            <v>3.2965000000000001E-2</v>
          </cell>
          <cell r="W176" t="str">
            <v xml:space="preserve"> 0</v>
          </cell>
          <cell r="X176">
            <v>5.4552000000000003E-2</v>
          </cell>
          <cell r="Z176">
            <v>0.27763699999999997</v>
          </cell>
        </row>
        <row r="178">
          <cell r="F178">
            <v>0.69763200000000014</v>
          </cell>
          <cell r="G178">
            <v>0.65268000000000026</v>
          </cell>
          <cell r="H178">
            <v>0.70228600000000008</v>
          </cell>
          <cell r="I178">
            <v>2.0525980000000001</v>
          </cell>
          <cell r="K178">
            <v>0.5877730000000001</v>
          </cell>
          <cell r="L178">
            <v>0.86740100000000009</v>
          </cell>
          <cell r="M178">
            <v>1.2793109999999999</v>
          </cell>
          <cell r="N178">
            <v>2.7344849999999998</v>
          </cell>
          <cell r="O178">
            <v>4.787083</v>
          </cell>
          <cell r="P178">
            <v>0.80787500000000001</v>
          </cell>
          <cell r="Q178">
            <v>0.36093100000000011</v>
          </cell>
          <cell r="R178">
            <v>1.1052459999999997</v>
          </cell>
          <cell r="S178">
            <v>2.2740520000000006</v>
          </cell>
          <cell r="T178">
            <v>7.0611350000000002</v>
          </cell>
          <cell r="U178">
            <v>0.34409500000000015</v>
          </cell>
          <cell r="V178">
            <v>0.49526000000000014</v>
          </cell>
          <cell r="W178" t="str">
            <v xml:space="preserve"> 0</v>
          </cell>
          <cell r="X178">
            <v>0.83935499999999974</v>
          </cell>
          <cell r="Z178">
            <v>7.9004899999999996</v>
          </cell>
        </row>
        <row r="179">
          <cell r="F179">
            <v>0.20064600000000002</v>
          </cell>
          <cell r="G179">
            <v>0.17262</v>
          </cell>
          <cell r="H179">
            <v>0.44478299999999993</v>
          </cell>
          <cell r="I179">
            <v>0.81804900000000014</v>
          </cell>
          <cell r="K179">
            <v>0.37089199999999994</v>
          </cell>
          <cell r="L179">
            <v>0.32138900000000004</v>
          </cell>
          <cell r="M179">
            <v>0.39752599999999999</v>
          </cell>
          <cell r="N179">
            <v>1.0898069999999997</v>
          </cell>
          <cell r="O179">
            <v>1.9078559999999998</v>
          </cell>
          <cell r="P179">
            <v>0.22478099999999998</v>
          </cell>
          <cell r="Q179">
            <v>0.24453899999999998</v>
          </cell>
          <cell r="R179">
            <v>0.46002199999999999</v>
          </cell>
          <cell r="S179">
            <v>0.929342</v>
          </cell>
          <cell r="T179">
            <v>2.8371979999999999</v>
          </cell>
          <cell r="U179">
            <v>0.33211000000000002</v>
          </cell>
          <cell r="V179">
            <v>0.41934200000000005</v>
          </cell>
          <cell r="W179" t="str">
            <v xml:space="preserve"> 0</v>
          </cell>
          <cell r="X179">
            <v>0.75145200000000001</v>
          </cell>
          <cell r="Z179">
            <v>3.5886499999999999</v>
          </cell>
        </row>
        <row r="180">
          <cell r="F180">
            <v>0.20064600000000002</v>
          </cell>
          <cell r="G180">
            <v>0.17262</v>
          </cell>
          <cell r="H180">
            <v>0.44478299999999993</v>
          </cell>
          <cell r="I180">
            <v>0.81804900000000014</v>
          </cell>
          <cell r="K180">
            <v>0.37089199999999994</v>
          </cell>
          <cell r="L180">
            <v>0.32138900000000004</v>
          </cell>
          <cell r="M180">
            <v>0.39752599999999999</v>
          </cell>
          <cell r="N180">
            <v>1.0898069999999997</v>
          </cell>
          <cell r="O180">
            <v>1.9078559999999998</v>
          </cell>
          <cell r="P180">
            <v>0.22478099999999998</v>
          </cell>
          <cell r="Q180">
            <v>0.24453899999999998</v>
          </cell>
          <cell r="R180">
            <v>0.46002199999999999</v>
          </cell>
          <cell r="S180">
            <v>0.929342</v>
          </cell>
          <cell r="T180">
            <v>2.8371979999999999</v>
          </cell>
          <cell r="U180">
            <v>0.33211000000000002</v>
          </cell>
          <cell r="V180">
            <v>0.41934200000000005</v>
          </cell>
          <cell r="W180" t="str">
            <v xml:space="preserve"> 0</v>
          </cell>
          <cell r="X180">
            <v>0.75145200000000001</v>
          </cell>
          <cell r="Z180">
            <v>3.5886499999999999</v>
          </cell>
        </row>
        <row r="181">
          <cell r="F181">
            <v>0.20064600000000002</v>
          </cell>
          <cell r="G181">
            <v>0.17262</v>
          </cell>
          <cell r="H181">
            <v>0.44478299999999993</v>
          </cell>
          <cell r="I181">
            <v>0.81804900000000014</v>
          </cell>
          <cell r="K181">
            <v>0.37089199999999994</v>
          </cell>
          <cell r="L181">
            <v>0.32138900000000004</v>
          </cell>
          <cell r="M181">
            <v>0.39752599999999999</v>
          </cell>
          <cell r="N181">
            <v>1.0898069999999997</v>
          </cell>
          <cell r="O181">
            <v>1.9078559999999998</v>
          </cell>
          <cell r="P181">
            <v>0.22478099999999998</v>
          </cell>
          <cell r="Q181">
            <v>0.24453899999999998</v>
          </cell>
          <cell r="R181">
            <v>0.46002199999999999</v>
          </cell>
          <cell r="S181">
            <v>0.929342</v>
          </cell>
          <cell r="T181">
            <v>2.8371979999999999</v>
          </cell>
          <cell r="U181">
            <v>0.33211000000000002</v>
          </cell>
          <cell r="V181">
            <v>0.41934200000000005</v>
          </cell>
          <cell r="W181" t="str">
            <v xml:space="preserve"> 0</v>
          </cell>
          <cell r="X181">
            <v>0.75145200000000001</v>
          </cell>
          <cell r="Z181">
            <v>3.5886499999999999</v>
          </cell>
        </row>
        <row r="184">
          <cell r="F184">
            <v>0.19897999999999999</v>
          </cell>
          <cell r="G184">
            <v>0.210453</v>
          </cell>
          <cell r="H184">
            <v>0.24451000000000001</v>
          </cell>
          <cell r="I184">
            <v>0.65394299999999994</v>
          </cell>
          <cell r="K184">
            <v>0.185556</v>
          </cell>
          <cell r="L184">
            <v>0.22456399999999999</v>
          </cell>
          <cell r="M184">
            <v>0.43203900000000001</v>
          </cell>
          <cell r="N184">
            <v>0.8421590000000001</v>
          </cell>
          <cell r="O184">
            <v>1.496102</v>
          </cell>
          <cell r="P184">
            <v>0.27304899999999999</v>
          </cell>
          <cell r="Q184">
            <v>0.21797800000000001</v>
          </cell>
          <cell r="R184">
            <v>0.33651699999999996</v>
          </cell>
          <cell r="S184">
            <v>0.82754399999999984</v>
          </cell>
          <cell r="T184">
            <v>2.3236460000000001</v>
          </cell>
          <cell r="U184">
            <v>0.151364</v>
          </cell>
          <cell r="V184">
            <v>0.20189400000000002</v>
          </cell>
          <cell r="W184" t="str">
            <v xml:space="preserve"> 0</v>
          </cell>
          <cell r="X184">
            <v>0.35325800000000002</v>
          </cell>
          <cell r="Z184">
            <v>2.676904</v>
          </cell>
        </row>
        <row r="185">
          <cell r="F185" t="str">
            <v xml:space="preserve"> 0</v>
          </cell>
          <cell r="G185" t="str">
            <v xml:space="preserve"> 0</v>
          </cell>
          <cell r="H185">
            <v>-5.3421999999999997E-2</v>
          </cell>
          <cell r="I185">
            <v>-5.3421999999999997E-2</v>
          </cell>
          <cell r="K185" t="str">
            <v xml:space="preserve"> 0</v>
          </cell>
          <cell r="L185" t="str">
            <v xml:space="preserve"> 0</v>
          </cell>
          <cell r="M185">
            <v>5.1381999999999997E-2</v>
          </cell>
          <cell r="N185">
            <v>5.1381999999999997E-2</v>
          </cell>
          <cell r="O185">
            <v>-2.0400000000000001E-3</v>
          </cell>
          <cell r="P185" t="str">
            <v xml:space="preserve"> 0</v>
          </cell>
          <cell r="Q185" t="str">
            <v xml:space="preserve"> 0</v>
          </cell>
          <cell r="R185">
            <v>-6.9453000000000015E-2</v>
          </cell>
          <cell r="S185">
            <v>-6.9453000000000015E-2</v>
          </cell>
          <cell r="T185">
            <v>-7.1493000000000015E-2</v>
          </cell>
          <cell r="U185" t="str">
            <v xml:space="preserve"> 0</v>
          </cell>
          <cell r="V185" t="str">
            <v xml:space="preserve"> 0</v>
          </cell>
          <cell r="W185" t="str">
            <v xml:space="preserve"> 0</v>
          </cell>
          <cell r="X185" t="str">
            <v xml:space="preserve"> 0</v>
          </cell>
          <cell r="Z185">
            <v>-7.1493000000000015E-2</v>
          </cell>
        </row>
        <row r="186">
          <cell r="F186" t="str">
            <v xml:space="preserve"> 0</v>
          </cell>
          <cell r="G186" t="str">
            <v xml:space="preserve"> 0</v>
          </cell>
          <cell r="H186" t="str">
            <v xml:space="preserve"> 0</v>
          </cell>
          <cell r="I186" t="str">
            <v xml:space="preserve"> 0</v>
          </cell>
          <cell r="K186" t="str">
            <v xml:space="preserve"> 0</v>
          </cell>
          <cell r="L186" t="str">
            <v xml:space="preserve"> 0</v>
          </cell>
          <cell r="M186" t="str">
            <v xml:space="preserve"> 0</v>
          </cell>
          <cell r="N186" t="str">
            <v xml:space="preserve"> 0</v>
          </cell>
          <cell r="O186" t="str">
            <v xml:space="preserve"> 0</v>
          </cell>
          <cell r="P186" t="str">
            <v xml:space="preserve"> 0</v>
          </cell>
          <cell r="Q186" t="str">
            <v xml:space="preserve"> 0</v>
          </cell>
          <cell r="R186" t="str">
            <v xml:space="preserve"> 0</v>
          </cell>
          <cell r="S186" t="str">
            <v xml:space="preserve"> 0</v>
          </cell>
          <cell r="T186" t="str">
            <v xml:space="preserve"> 0</v>
          </cell>
          <cell r="U186" t="str">
            <v xml:space="preserve"> 0</v>
          </cell>
          <cell r="V186" t="str">
            <v xml:space="preserve"> 0</v>
          </cell>
          <cell r="W186" t="str">
            <v xml:space="preserve"> 0</v>
          </cell>
          <cell r="X186" t="str">
            <v xml:space="preserve"> 0</v>
          </cell>
          <cell r="Z186" t="str">
            <v xml:space="preserve"> 0</v>
          </cell>
        </row>
        <row r="187">
          <cell r="F187" t="str">
            <v xml:space="preserve"> 0</v>
          </cell>
          <cell r="G187" t="str">
            <v xml:space="preserve"> 0</v>
          </cell>
          <cell r="H187" t="str">
            <v xml:space="preserve"> 0</v>
          </cell>
          <cell r="I187" t="str">
            <v xml:space="preserve"> 0</v>
          </cell>
          <cell r="K187" t="str">
            <v xml:space="preserve"> 0</v>
          </cell>
          <cell r="L187" t="str">
            <v xml:space="preserve"> 0</v>
          </cell>
          <cell r="M187" t="str">
            <v xml:space="preserve"> 0</v>
          </cell>
          <cell r="N187" t="str">
            <v xml:space="preserve"> 0</v>
          </cell>
          <cell r="O187" t="str">
            <v xml:space="preserve"> 0</v>
          </cell>
          <cell r="P187" t="str">
            <v xml:space="preserve"> 0</v>
          </cell>
          <cell r="Q187" t="str">
            <v xml:space="preserve"> 0</v>
          </cell>
          <cell r="R187" t="str">
            <v xml:space="preserve"> 0</v>
          </cell>
          <cell r="S187" t="str">
            <v xml:space="preserve"> 0</v>
          </cell>
          <cell r="T187" t="str">
            <v xml:space="preserve"> 0</v>
          </cell>
          <cell r="U187" t="str">
            <v xml:space="preserve"> 0</v>
          </cell>
          <cell r="V187" t="str">
            <v xml:space="preserve"> 0</v>
          </cell>
          <cell r="W187" t="str">
            <v xml:space="preserve"> 0</v>
          </cell>
          <cell r="X187" t="str">
            <v xml:space="preserve"> 0</v>
          </cell>
          <cell r="Z187" t="str">
            <v xml:space="preserve"> 0</v>
          </cell>
        </row>
        <row r="188">
          <cell r="F188">
            <v>1.129E-3</v>
          </cell>
          <cell r="G188">
            <v>-1.44E-4</v>
          </cell>
          <cell r="H188">
            <v>2.0739999999999999E-3</v>
          </cell>
          <cell r="I188">
            <v>3.0590000000000001E-3</v>
          </cell>
          <cell r="K188">
            <v>1.658E-3</v>
          </cell>
          <cell r="L188">
            <v>2.166E-3</v>
          </cell>
          <cell r="M188">
            <v>1.8190000000000001E-3</v>
          </cell>
          <cell r="N188">
            <v>5.6430000000000004E-3</v>
          </cell>
          <cell r="O188">
            <v>8.7020000000000014E-3</v>
          </cell>
          <cell r="P188">
            <v>2.2699999999999999E-3</v>
          </cell>
          <cell r="Q188">
            <v>1.1083000000000001E-2</v>
          </cell>
          <cell r="R188">
            <v>-8.9510000000000006E-3</v>
          </cell>
          <cell r="S188">
            <v>4.4019999999999997E-3</v>
          </cell>
          <cell r="T188">
            <v>1.3104000000000001E-2</v>
          </cell>
          <cell r="U188">
            <v>3.0240000000000002E-3</v>
          </cell>
          <cell r="V188">
            <v>1.6130000000000001E-3</v>
          </cell>
          <cell r="W188" t="str">
            <v xml:space="preserve"> 0</v>
          </cell>
          <cell r="X188">
            <v>4.6370000000000005E-3</v>
          </cell>
          <cell r="Z188">
            <v>1.7741E-2</v>
          </cell>
        </row>
        <row r="189">
          <cell r="F189" t="str">
            <v xml:space="preserve"> 0</v>
          </cell>
          <cell r="G189" t="str">
            <v xml:space="preserve"> 0</v>
          </cell>
          <cell r="H189" t="str">
            <v xml:space="preserve"> 0</v>
          </cell>
          <cell r="I189" t="str">
            <v xml:space="preserve"> 0</v>
          </cell>
          <cell r="K189" t="str">
            <v xml:space="preserve"> 0</v>
          </cell>
          <cell r="L189" t="str">
            <v xml:space="preserve"> 0</v>
          </cell>
          <cell r="M189" t="str">
            <v xml:space="preserve"> 0</v>
          </cell>
          <cell r="N189" t="str">
            <v xml:space="preserve"> 0</v>
          </cell>
          <cell r="O189" t="str">
            <v xml:space="preserve"> 0</v>
          </cell>
          <cell r="P189" t="str">
            <v xml:space="preserve"> 0</v>
          </cell>
          <cell r="Q189" t="str">
            <v xml:space="preserve"> 0</v>
          </cell>
          <cell r="R189" t="str">
            <v xml:space="preserve"> 0</v>
          </cell>
          <cell r="S189" t="str">
            <v xml:space="preserve"> 0</v>
          </cell>
          <cell r="T189" t="str">
            <v xml:space="preserve"> 0</v>
          </cell>
          <cell r="U189" t="str">
            <v xml:space="preserve"> 0</v>
          </cell>
          <cell r="V189" t="str">
            <v xml:space="preserve"> 0</v>
          </cell>
          <cell r="W189" t="str">
            <v xml:space="preserve"> 0</v>
          </cell>
          <cell r="X189" t="str">
            <v xml:space="preserve"> 0</v>
          </cell>
          <cell r="Z189" t="str">
            <v xml:space="preserve"> 0</v>
          </cell>
        </row>
        <row r="190">
          <cell r="F190" t="str">
            <v xml:space="preserve"> 0</v>
          </cell>
          <cell r="G190" t="str">
            <v xml:space="preserve"> 0</v>
          </cell>
          <cell r="H190" t="str">
            <v xml:space="preserve"> 0</v>
          </cell>
          <cell r="I190" t="str">
            <v xml:space="preserve"> 0</v>
          </cell>
          <cell r="K190" t="str">
            <v xml:space="preserve"> 0</v>
          </cell>
          <cell r="L190" t="str">
            <v xml:space="preserve"> 0</v>
          </cell>
          <cell r="M190" t="str">
            <v xml:space="preserve"> 0</v>
          </cell>
          <cell r="N190" t="str">
            <v xml:space="preserve"> 0</v>
          </cell>
          <cell r="O190" t="str">
            <v xml:space="preserve"> 0</v>
          </cell>
          <cell r="P190" t="str">
            <v xml:space="preserve"> 0</v>
          </cell>
          <cell r="Q190" t="str">
            <v xml:space="preserve"> 0</v>
          </cell>
          <cell r="R190" t="str">
            <v xml:space="preserve"> 0</v>
          </cell>
          <cell r="S190" t="str">
            <v xml:space="preserve"> 0</v>
          </cell>
          <cell r="T190" t="str">
            <v xml:space="preserve"> 0</v>
          </cell>
          <cell r="U190" t="str">
            <v xml:space="preserve"> 0</v>
          </cell>
          <cell r="V190" t="str">
            <v xml:space="preserve"> 0</v>
          </cell>
          <cell r="W190" t="str">
            <v xml:space="preserve"> 0</v>
          </cell>
          <cell r="X190" t="str">
            <v xml:space="preserve"> 0</v>
          </cell>
          <cell r="Z190" t="str">
            <v xml:space="preserve"> 0</v>
          </cell>
        </row>
        <row r="191">
          <cell r="F191" t="str">
            <v xml:space="preserve"> 0</v>
          </cell>
          <cell r="G191" t="str">
            <v xml:space="preserve"> 0</v>
          </cell>
          <cell r="H191" t="str">
            <v xml:space="preserve"> 0</v>
          </cell>
          <cell r="I191" t="str">
            <v xml:space="preserve"> 0</v>
          </cell>
          <cell r="K191" t="str">
            <v xml:space="preserve"> 0</v>
          </cell>
          <cell r="L191" t="str">
            <v xml:space="preserve"> 0</v>
          </cell>
          <cell r="M191" t="str">
            <v xml:space="preserve"> 0</v>
          </cell>
          <cell r="N191" t="str">
            <v xml:space="preserve"> 0</v>
          </cell>
          <cell r="O191" t="str">
            <v xml:space="preserve"> 0</v>
          </cell>
          <cell r="P191" t="str">
            <v xml:space="preserve"> 0</v>
          </cell>
          <cell r="Q191" t="str">
            <v xml:space="preserve"> 0</v>
          </cell>
          <cell r="R191" t="str">
            <v xml:space="preserve"> 0</v>
          </cell>
          <cell r="S191" t="str">
            <v xml:space="preserve"> 0</v>
          </cell>
          <cell r="T191" t="str">
            <v xml:space="preserve"> 0</v>
          </cell>
          <cell r="U191" t="str">
            <v xml:space="preserve"> 0</v>
          </cell>
          <cell r="V191" t="str">
            <v xml:space="preserve"> 0</v>
          </cell>
          <cell r="W191" t="str">
            <v xml:space="preserve"> 0</v>
          </cell>
          <cell r="X191" t="str">
            <v xml:space="preserve"> 0</v>
          </cell>
          <cell r="Z191" t="str">
            <v xml:space="preserve"> 0</v>
          </cell>
        </row>
        <row r="192">
          <cell r="F192" t="str">
            <v xml:space="preserve"> 0</v>
          </cell>
          <cell r="G192" t="str">
            <v xml:space="preserve"> 0</v>
          </cell>
          <cell r="H192" t="str">
            <v xml:space="preserve"> 0</v>
          </cell>
          <cell r="I192" t="str">
            <v xml:space="preserve"> 0</v>
          </cell>
          <cell r="K192" t="str">
            <v xml:space="preserve"> 0</v>
          </cell>
          <cell r="L192" t="str">
            <v xml:space="preserve"> 0</v>
          </cell>
          <cell r="M192" t="str">
            <v xml:space="preserve"> 0</v>
          </cell>
          <cell r="N192" t="str">
            <v xml:space="preserve"> 0</v>
          </cell>
          <cell r="O192" t="str">
            <v xml:space="preserve"> 0</v>
          </cell>
          <cell r="P192" t="str">
            <v xml:space="preserve"> 0</v>
          </cell>
          <cell r="Q192" t="str">
            <v xml:space="preserve"> 0</v>
          </cell>
          <cell r="R192" t="str">
            <v xml:space="preserve"> 0</v>
          </cell>
          <cell r="S192" t="str">
            <v xml:space="preserve"> 0</v>
          </cell>
          <cell r="T192" t="str">
            <v xml:space="preserve"> 0</v>
          </cell>
          <cell r="U192" t="str">
            <v xml:space="preserve"> 0</v>
          </cell>
          <cell r="V192" t="str">
            <v xml:space="preserve"> 0</v>
          </cell>
          <cell r="W192" t="str">
            <v xml:space="preserve"> 0</v>
          </cell>
          <cell r="X192" t="str">
            <v xml:space="preserve"> 0</v>
          </cell>
          <cell r="Z192" t="str">
            <v xml:space="preserve"> 0</v>
          </cell>
        </row>
        <row r="193">
          <cell r="F193" t="str">
            <v xml:space="preserve"> 0</v>
          </cell>
          <cell r="G193" t="str">
            <v xml:space="preserve"> 0</v>
          </cell>
          <cell r="H193">
            <v>2.4789999999999999E-3</v>
          </cell>
          <cell r="I193">
            <v>2.4789999999999999E-3</v>
          </cell>
          <cell r="K193">
            <v>-2.0999999999999999E-5</v>
          </cell>
          <cell r="L193" t="str">
            <v xml:space="preserve"> 0</v>
          </cell>
          <cell r="M193">
            <v>-1.0000000000000002E-6</v>
          </cell>
          <cell r="N193">
            <v>-2.1999999999999999E-5</v>
          </cell>
          <cell r="O193">
            <v>2.457E-3</v>
          </cell>
          <cell r="P193">
            <v>1.13E-4</v>
          </cell>
          <cell r="Q193" t="str">
            <v xml:space="preserve"> 0</v>
          </cell>
          <cell r="R193">
            <v>1.7746000000000001E-2</v>
          </cell>
          <cell r="S193">
            <v>1.7859E-2</v>
          </cell>
          <cell r="T193">
            <v>2.0316000000000001E-2</v>
          </cell>
          <cell r="U193" t="str">
            <v xml:space="preserve"> 0</v>
          </cell>
          <cell r="V193" t="str">
            <v xml:space="preserve"> 0</v>
          </cell>
          <cell r="W193" t="str">
            <v xml:space="preserve"> 0</v>
          </cell>
          <cell r="X193" t="str">
            <v xml:space="preserve"> 0</v>
          </cell>
          <cell r="Z193">
            <v>2.0316000000000001E-2</v>
          </cell>
        </row>
        <row r="194">
          <cell r="F194">
            <v>0</v>
          </cell>
          <cell r="G194">
            <v>0</v>
          </cell>
          <cell r="H194">
            <v>2.4789999999999999E-3</v>
          </cell>
          <cell r="I194">
            <v>2.4789999999999999E-3</v>
          </cell>
          <cell r="K194">
            <v>-2.0999999999999999E-5</v>
          </cell>
          <cell r="L194">
            <v>0</v>
          </cell>
          <cell r="M194">
            <v>-1.0000000000000002E-6</v>
          </cell>
          <cell r="N194">
            <v>-2.1999999999999999E-5</v>
          </cell>
          <cell r="O194">
            <v>2.457E-3</v>
          </cell>
          <cell r="P194">
            <v>1.13E-4</v>
          </cell>
          <cell r="Q194">
            <v>0</v>
          </cell>
          <cell r="R194">
            <v>1.7746000000000001E-2</v>
          </cell>
          <cell r="S194">
            <v>1.7859E-2</v>
          </cell>
          <cell r="T194">
            <v>2.0316000000000001E-2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2.0316000000000001E-2</v>
          </cell>
        </row>
        <row r="195">
          <cell r="F195" t="str">
            <v xml:space="preserve"> 0</v>
          </cell>
          <cell r="G195" t="str">
            <v xml:space="preserve"> 0</v>
          </cell>
          <cell r="H195" t="str">
            <v xml:space="preserve"> 0</v>
          </cell>
          <cell r="I195" t="str">
            <v xml:space="preserve"> 0</v>
          </cell>
          <cell r="K195" t="str">
            <v xml:space="preserve"> 0</v>
          </cell>
          <cell r="L195" t="str">
            <v xml:space="preserve"> 0</v>
          </cell>
          <cell r="M195" t="str">
            <v xml:space="preserve"> 0</v>
          </cell>
          <cell r="N195" t="str">
            <v xml:space="preserve"> 0</v>
          </cell>
          <cell r="O195" t="str">
            <v xml:space="preserve"> 0</v>
          </cell>
          <cell r="P195" t="str">
            <v xml:space="preserve"> 0</v>
          </cell>
          <cell r="Q195" t="str">
            <v xml:space="preserve"> 0</v>
          </cell>
          <cell r="R195" t="str">
            <v xml:space="preserve"> 0</v>
          </cell>
          <cell r="S195" t="str">
            <v xml:space="preserve"> 0</v>
          </cell>
          <cell r="T195" t="str">
            <v xml:space="preserve"> 0</v>
          </cell>
          <cell r="U195" t="str">
            <v xml:space="preserve"> 0</v>
          </cell>
          <cell r="V195" t="str">
            <v xml:space="preserve"> 0</v>
          </cell>
          <cell r="W195" t="str">
            <v xml:space="preserve"> 0</v>
          </cell>
          <cell r="X195" t="str">
            <v xml:space="preserve"> 0</v>
          </cell>
          <cell r="Z195" t="str">
            <v xml:space="preserve"> 0</v>
          </cell>
        </row>
        <row r="196">
          <cell r="F196" t="str">
            <v xml:space="preserve"> 0</v>
          </cell>
          <cell r="G196" t="str">
            <v xml:space="preserve"> 0</v>
          </cell>
          <cell r="H196" t="str">
            <v xml:space="preserve"> 0</v>
          </cell>
          <cell r="I196" t="str">
            <v xml:space="preserve"> 0</v>
          </cell>
          <cell r="K196" t="str">
            <v xml:space="preserve"> 0</v>
          </cell>
          <cell r="L196" t="str">
            <v xml:space="preserve"> 0</v>
          </cell>
          <cell r="M196" t="str">
            <v xml:space="preserve"> 0</v>
          </cell>
          <cell r="N196" t="str">
            <v xml:space="preserve"> 0</v>
          </cell>
          <cell r="O196" t="str">
            <v xml:space="preserve"> 0</v>
          </cell>
          <cell r="P196" t="str">
            <v xml:space="preserve"> 0</v>
          </cell>
          <cell r="Q196" t="str">
            <v xml:space="preserve"> 0</v>
          </cell>
          <cell r="R196" t="str">
            <v xml:space="preserve"> 0</v>
          </cell>
          <cell r="S196" t="str">
            <v xml:space="preserve"> 0</v>
          </cell>
          <cell r="T196" t="str">
            <v xml:space="preserve"> 0</v>
          </cell>
          <cell r="U196" t="str">
            <v xml:space="preserve"> 0</v>
          </cell>
          <cell r="V196" t="str">
            <v xml:space="preserve"> 0</v>
          </cell>
          <cell r="W196" t="str">
            <v xml:space="preserve"> 0</v>
          </cell>
          <cell r="X196" t="str">
            <v xml:space="preserve"> 0</v>
          </cell>
          <cell r="Z196" t="str">
            <v xml:space="preserve"> 0</v>
          </cell>
        </row>
        <row r="197">
          <cell r="F197">
            <v>8.7771999999999989E-2</v>
          </cell>
          <cell r="G197">
            <v>2.4888999999999998E-2</v>
          </cell>
          <cell r="H197">
            <v>5.1840999999999998E-2</v>
          </cell>
          <cell r="I197">
            <v>0.16450200000000001</v>
          </cell>
          <cell r="K197">
            <v>-4.6932999999999996E-2</v>
          </cell>
          <cell r="L197">
            <v>4.8553000000000013E-2</v>
          </cell>
          <cell r="M197">
            <v>2.8442999999999996E-2</v>
          </cell>
          <cell r="N197">
            <v>3.0062999999999954E-2</v>
          </cell>
          <cell r="O197">
            <v>0.19456499999999996</v>
          </cell>
          <cell r="P197">
            <v>2.3134999999999989E-2</v>
          </cell>
          <cell r="Q197">
            <v>2.7118999999999994E-2</v>
          </cell>
          <cell r="R197">
            <v>3.1594999999999984E-2</v>
          </cell>
          <cell r="S197">
            <v>8.1849000000000005E-2</v>
          </cell>
          <cell r="T197">
            <v>0.27641399999999994</v>
          </cell>
          <cell r="U197">
            <v>3.6445000000000005E-2</v>
          </cell>
          <cell r="V197">
            <v>2.5730000000000015E-3</v>
          </cell>
          <cell r="W197" t="str">
            <v xml:space="preserve"> 0</v>
          </cell>
          <cell r="X197">
            <v>3.9018000000000004E-2</v>
          </cell>
          <cell r="Z197">
            <v>0.31543199999999993</v>
          </cell>
        </row>
        <row r="198">
          <cell r="F198" t="str">
            <v xml:space="preserve"> 0</v>
          </cell>
          <cell r="G198" t="str">
            <v xml:space="preserve"> 0</v>
          </cell>
          <cell r="H198" t="str">
            <v xml:space="preserve"> 0</v>
          </cell>
          <cell r="I198" t="str">
            <v xml:space="preserve"> 0</v>
          </cell>
          <cell r="K198" t="str">
            <v xml:space="preserve"> 0</v>
          </cell>
          <cell r="L198" t="str">
            <v xml:space="preserve"> 0</v>
          </cell>
          <cell r="M198" t="str">
            <v xml:space="preserve"> 0</v>
          </cell>
          <cell r="N198" t="str">
            <v xml:space="preserve"> 0</v>
          </cell>
          <cell r="O198" t="str">
            <v xml:space="preserve"> 0</v>
          </cell>
          <cell r="P198" t="str">
            <v xml:space="preserve"> 0</v>
          </cell>
          <cell r="Q198" t="str">
            <v xml:space="preserve"> 0</v>
          </cell>
          <cell r="R198" t="str">
            <v xml:space="preserve"> 0</v>
          </cell>
          <cell r="S198" t="str">
            <v xml:space="preserve"> 0</v>
          </cell>
          <cell r="T198" t="str">
            <v xml:space="preserve"> 0</v>
          </cell>
          <cell r="U198" t="str">
            <v xml:space="preserve"> 0</v>
          </cell>
          <cell r="V198" t="str">
            <v xml:space="preserve"> 0</v>
          </cell>
          <cell r="W198" t="str">
            <v xml:space="preserve"> 0</v>
          </cell>
          <cell r="X198" t="str">
            <v xml:space="preserve"> 0</v>
          </cell>
          <cell r="Z198" t="str">
            <v xml:space="preserve"> 0</v>
          </cell>
        </row>
        <row r="199">
          <cell r="F199" t="str">
            <v xml:space="preserve"> 0</v>
          </cell>
          <cell r="G199" t="str">
            <v xml:space="preserve"> 0</v>
          </cell>
          <cell r="H199" t="str">
            <v xml:space="preserve"> 0</v>
          </cell>
          <cell r="I199" t="str">
            <v xml:space="preserve"> 0</v>
          </cell>
          <cell r="K199" t="str">
            <v xml:space="preserve"> 0</v>
          </cell>
          <cell r="L199" t="str">
            <v xml:space="preserve"> 0</v>
          </cell>
          <cell r="M199" t="str">
            <v xml:space="preserve"> 0</v>
          </cell>
          <cell r="N199" t="str">
            <v xml:space="preserve"> 0</v>
          </cell>
          <cell r="O199" t="str">
            <v xml:space="preserve"> 0</v>
          </cell>
          <cell r="P199" t="str">
            <v xml:space="preserve"> 0</v>
          </cell>
          <cell r="Q199" t="str">
            <v xml:space="preserve"> 0</v>
          </cell>
          <cell r="R199" t="str">
            <v xml:space="preserve"> 0</v>
          </cell>
          <cell r="S199" t="str">
            <v xml:space="preserve"> 0</v>
          </cell>
          <cell r="T199" t="str">
            <v xml:space="preserve"> 0</v>
          </cell>
          <cell r="U199" t="str">
            <v xml:space="preserve"> 0</v>
          </cell>
          <cell r="V199" t="str">
            <v xml:space="preserve"> 0</v>
          </cell>
          <cell r="W199" t="str">
            <v xml:space="preserve"> 0</v>
          </cell>
          <cell r="X199" t="str">
            <v xml:space="preserve"> 0</v>
          </cell>
          <cell r="Z199" t="str">
            <v xml:space="preserve"> 0</v>
          </cell>
        </row>
        <row r="200">
          <cell r="F200" t="str">
            <v xml:space="preserve"> 0</v>
          </cell>
          <cell r="G200" t="str">
            <v xml:space="preserve"> 0</v>
          </cell>
          <cell r="H200" t="str">
            <v xml:space="preserve"> 0</v>
          </cell>
          <cell r="I200" t="str">
            <v xml:space="preserve"> 0</v>
          </cell>
          <cell r="K200" t="str">
            <v xml:space="preserve"> 0</v>
          </cell>
          <cell r="L200" t="str">
            <v xml:space="preserve"> 0</v>
          </cell>
          <cell r="M200" t="str">
            <v xml:space="preserve"> 0</v>
          </cell>
          <cell r="N200" t="str">
            <v xml:space="preserve"> 0</v>
          </cell>
          <cell r="O200" t="str">
            <v xml:space="preserve"> 0</v>
          </cell>
          <cell r="P200" t="str">
            <v xml:space="preserve"> 0</v>
          </cell>
          <cell r="Q200" t="str">
            <v xml:space="preserve"> 0</v>
          </cell>
          <cell r="R200" t="str">
            <v xml:space="preserve"> 0</v>
          </cell>
          <cell r="S200" t="str">
            <v xml:space="preserve"> 0</v>
          </cell>
          <cell r="T200" t="str">
            <v xml:space="preserve"> 0</v>
          </cell>
          <cell r="U200" t="str">
            <v xml:space="preserve"> 0</v>
          </cell>
          <cell r="V200" t="str">
            <v xml:space="preserve"> 0</v>
          </cell>
          <cell r="W200" t="str">
            <v xml:space="preserve"> 0</v>
          </cell>
          <cell r="X200" t="str">
            <v xml:space="preserve"> 0</v>
          </cell>
          <cell r="Z200" t="str">
            <v xml:space="preserve"> 0</v>
          </cell>
        </row>
        <row r="201">
          <cell r="F201" t="str">
            <v xml:space="preserve"> 0</v>
          </cell>
          <cell r="G201" t="str">
            <v xml:space="preserve"> 0</v>
          </cell>
          <cell r="H201" t="str">
            <v xml:space="preserve"> 0</v>
          </cell>
          <cell r="I201" t="str">
            <v xml:space="preserve"> 0</v>
          </cell>
          <cell r="K201" t="str">
            <v xml:space="preserve"> 0</v>
          </cell>
          <cell r="L201" t="str">
            <v xml:space="preserve"> 0</v>
          </cell>
          <cell r="M201" t="str">
            <v xml:space="preserve"> 0</v>
          </cell>
          <cell r="N201" t="str">
            <v xml:space="preserve"> 0</v>
          </cell>
          <cell r="O201" t="str">
            <v xml:space="preserve"> 0</v>
          </cell>
          <cell r="P201" t="str">
            <v xml:space="preserve"> 0</v>
          </cell>
          <cell r="Q201" t="str">
            <v xml:space="preserve"> 0</v>
          </cell>
          <cell r="R201" t="str">
            <v xml:space="preserve"> 0</v>
          </cell>
          <cell r="S201" t="str">
            <v xml:space="preserve"> 0</v>
          </cell>
          <cell r="T201" t="str">
            <v xml:space="preserve"> 0</v>
          </cell>
          <cell r="U201" t="str">
            <v xml:space="preserve"> 0</v>
          </cell>
          <cell r="V201" t="str">
            <v xml:space="preserve"> 0</v>
          </cell>
          <cell r="W201" t="str">
            <v xml:space="preserve"> 0</v>
          </cell>
          <cell r="X201" t="str">
            <v xml:space="preserve"> 0</v>
          </cell>
          <cell r="Z201" t="str">
            <v xml:space="preserve"> 0</v>
          </cell>
        </row>
        <row r="202">
          <cell r="F202" t="str">
            <v xml:space="preserve"> 0</v>
          </cell>
          <cell r="G202" t="str">
            <v xml:space="preserve"> 0</v>
          </cell>
          <cell r="H202" t="str">
            <v xml:space="preserve"> 0</v>
          </cell>
          <cell r="I202" t="str">
            <v xml:space="preserve"> 0</v>
          </cell>
          <cell r="K202" t="str">
            <v xml:space="preserve"> 0</v>
          </cell>
          <cell r="L202" t="str">
            <v xml:space="preserve"> 0</v>
          </cell>
          <cell r="M202" t="str">
            <v xml:space="preserve"> 0</v>
          </cell>
          <cell r="N202" t="str">
            <v xml:space="preserve"> 0</v>
          </cell>
          <cell r="O202" t="str">
            <v xml:space="preserve"> 0</v>
          </cell>
          <cell r="P202" t="str">
            <v xml:space="preserve"> 0</v>
          </cell>
          <cell r="Q202" t="str">
            <v xml:space="preserve"> 0</v>
          </cell>
          <cell r="R202" t="str">
            <v xml:space="preserve"> 0</v>
          </cell>
          <cell r="S202" t="str">
            <v xml:space="preserve"> 0</v>
          </cell>
          <cell r="T202" t="str">
            <v xml:space="preserve"> 0</v>
          </cell>
          <cell r="U202" t="str">
            <v xml:space="preserve"> 0</v>
          </cell>
          <cell r="V202" t="str">
            <v xml:space="preserve"> 0</v>
          </cell>
          <cell r="W202" t="str">
            <v xml:space="preserve"> 0</v>
          </cell>
          <cell r="X202" t="str">
            <v xml:space="preserve"> 0</v>
          </cell>
          <cell r="Z202" t="str">
            <v xml:space="preserve"> 0</v>
          </cell>
        </row>
        <row r="203">
          <cell r="F203" t="str">
            <v xml:space="preserve"> 0</v>
          </cell>
          <cell r="G203" t="str">
            <v xml:space="preserve"> 0</v>
          </cell>
          <cell r="H203" t="str">
            <v xml:space="preserve"> 0</v>
          </cell>
          <cell r="I203" t="str">
            <v xml:space="preserve"> 0</v>
          </cell>
          <cell r="K203" t="str">
            <v xml:space="preserve"> 0</v>
          </cell>
          <cell r="L203" t="str">
            <v xml:space="preserve"> 0</v>
          </cell>
          <cell r="M203" t="str">
            <v xml:space="preserve"> 0</v>
          </cell>
          <cell r="N203" t="str">
            <v xml:space="preserve"> 0</v>
          </cell>
          <cell r="O203" t="str">
            <v xml:space="preserve"> 0</v>
          </cell>
          <cell r="P203" t="str">
            <v xml:space="preserve"> 0</v>
          </cell>
          <cell r="Q203" t="str">
            <v xml:space="preserve"> 0</v>
          </cell>
          <cell r="R203" t="str">
            <v xml:space="preserve"> 0</v>
          </cell>
          <cell r="S203" t="str">
            <v xml:space="preserve"> 0</v>
          </cell>
          <cell r="T203" t="str">
            <v xml:space="preserve"> 0</v>
          </cell>
          <cell r="U203" t="str">
            <v xml:space="preserve"> 0</v>
          </cell>
          <cell r="V203" t="str">
            <v xml:space="preserve"> 0</v>
          </cell>
          <cell r="W203" t="str">
            <v xml:space="preserve"> 0</v>
          </cell>
          <cell r="X203" t="str">
            <v xml:space="preserve"> 0</v>
          </cell>
          <cell r="Z203" t="str">
            <v xml:space="preserve"> 0</v>
          </cell>
        </row>
        <row r="204">
          <cell r="F204" t="str">
            <v xml:space="preserve"> 0</v>
          </cell>
          <cell r="G204" t="str">
            <v xml:space="preserve"> 0</v>
          </cell>
          <cell r="H204" t="str">
            <v xml:space="preserve"> 0</v>
          </cell>
          <cell r="I204" t="str">
            <v xml:space="preserve"> 0</v>
          </cell>
          <cell r="K204" t="str">
            <v xml:space="preserve"> 0</v>
          </cell>
          <cell r="L204" t="str">
            <v xml:space="preserve"> 0</v>
          </cell>
          <cell r="M204" t="str">
            <v xml:space="preserve"> 0</v>
          </cell>
          <cell r="N204" t="str">
            <v xml:space="preserve"> 0</v>
          </cell>
          <cell r="O204" t="str">
            <v xml:space="preserve"> 0</v>
          </cell>
          <cell r="P204" t="str">
            <v xml:space="preserve"> 0</v>
          </cell>
          <cell r="Q204" t="str">
            <v xml:space="preserve"> 0</v>
          </cell>
          <cell r="R204" t="str">
            <v xml:space="preserve"> 0</v>
          </cell>
          <cell r="S204" t="str">
            <v xml:space="preserve"> 0</v>
          </cell>
          <cell r="T204" t="str">
            <v xml:space="preserve"> 0</v>
          </cell>
          <cell r="U204" t="str">
            <v xml:space="preserve"> 0</v>
          </cell>
          <cell r="V204" t="str">
            <v xml:space="preserve"> 0</v>
          </cell>
          <cell r="W204" t="str">
            <v xml:space="preserve"> 0</v>
          </cell>
          <cell r="X204" t="str">
            <v xml:space="preserve"> 0</v>
          </cell>
          <cell r="Z204" t="str">
            <v xml:space="preserve"> 0</v>
          </cell>
        </row>
        <row r="205">
          <cell r="F205" t="str">
            <v xml:space="preserve"> 0</v>
          </cell>
          <cell r="G205" t="str">
            <v xml:space="preserve"> 0</v>
          </cell>
          <cell r="H205" t="str">
            <v xml:space="preserve"> 0</v>
          </cell>
          <cell r="I205" t="str">
            <v xml:space="preserve"> 0</v>
          </cell>
          <cell r="K205" t="str">
            <v xml:space="preserve"> 0</v>
          </cell>
          <cell r="L205" t="str">
            <v xml:space="preserve"> 0</v>
          </cell>
          <cell r="M205" t="str">
            <v xml:space="preserve"> 0</v>
          </cell>
          <cell r="N205" t="str">
            <v xml:space="preserve"> 0</v>
          </cell>
          <cell r="O205" t="str">
            <v xml:space="preserve"> 0</v>
          </cell>
          <cell r="P205" t="str">
            <v xml:space="preserve"> 0</v>
          </cell>
          <cell r="Q205" t="str">
            <v xml:space="preserve"> 0</v>
          </cell>
          <cell r="R205" t="str">
            <v xml:space="preserve"> 0</v>
          </cell>
          <cell r="S205" t="str">
            <v xml:space="preserve"> 0</v>
          </cell>
          <cell r="T205" t="str">
            <v xml:space="preserve"> 0</v>
          </cell>
          <cell r="U205" t="str">
            <v xml:space="preserve"> 0</v>
          </cell>
          <cell r="V205" t="str">
            <v xml:space="preserve"> 0</v>
          </cell>
          <cell r="W205" t="str">
            <v xml:space="preserve"> 0</v>
          </cell>
          <cell r="X205" t="str">
            <v xml:space="preserve"> 0</v>
          </cell>
          <cell r="Z205" t="str">
            <v xml:space="preserve"> 0</v>
          </cell>
        </row>
        <row r="206">
          <cell r="F206" t="str">
            <v xml:space="preserve"> 0</v>
          </cell>
          <cell r="G206" t="str">
            <v xml:space="preserve"> 0</v>
          </cell>
          <cell r="H206" t="str">
            <v xml:space="preserve"> 0</v>
          </cell>
          <cell r="I206" t="str">
            <v xml:space="preserve"> 0</v>
          </cell>
          <cell r="K206" t="str">
            <v xml:space="preserve"> 0</v>
          </cell>
          <cell r="L206" t="str">
            <v xml:space="preserve"> 0</v>
          </cell>
          <cell r="M206" t="str">
            <v xml:space="preserve"> 0</v>
          </cell>
          <cell r="N206" t="str">
            <v xml:space="preserve"> 0</v>
          </cell>
          <cell r="O206" t="str">
            <v xml:space="preserve"> 0</v>
          </cell>
          <cell r="P206" t="str">
            <v xml:space="preserve"> 0</v>
          </cell>
          <cell r="Q206" t="str">
            <v xml:space="preserve"> 0</v>
          </cell>
          <cell r="R206" t="str">
            <v xml:space="preserve"> 0</v>
          </cell>
          <cell r="S206" t="str">
            <v xml:space="preserve"> 0</v>
          </cell>
          <cell r="T206" t="str">
            <v xml:space="preserve"> 0</v>
          </cell>
          <cell r="U206" t="str">
            <v xml:space="preserve"> 0</v>
          </cell>
          <cell r="V206" t="str">
            <v xml:space="preserve"> 0</v>
          </cell>
          <cell r="W206" t="str">
            <v xml:space="preserve"> 0</v>
          </cell>
          <cell r="X206" t="str">
            <v xml:space="preserve"> 0</v>
          </cell>
          <cell r="Z206" t="str">
            <v xml:space="preserve"> 0</v>
          </cell>
        </row>
        <row r="207">
          <cell r="F207">
            <v>6.3170000000000006E-3</v>
          </cell>
          <cell r="G207">
            <v>2.931E-3</v>
          </cell>
          <cell r="H207">
            <v>9.41E-4</v>
          </cell>
          <cell r="I207">
            <v>1.0189E-2</v>
          </cell>
          <cell r="K207">
            <v>5.986E-3</v>
          </cell>
          <cell r="L207">
            <v>-2.3899999999999998E-4</v>
          </cell>
          <cell r="M207">
            <v>7.1579999999999994E-3</v>
          </cell>
          <cell r="N207">
            <v>1.2905E-2</v>
          </cell>
          <cell r="O207">
            <v>2.3094E-2</v>
          </cell>
          <cell r="P207">
            <v>2.529E-3</v>
          </cell>
          <cell r="Q207">
            <v>7.071E-3</v>
          </cell>
          <cell r="R207">
            <v>3.0709999999999999E-3</v>
          </cell>
          <cell r="S207">
            <v>1.2671000000000002E-2</v>
          </cell>
          <cell r="T207">
            <v>3.5765000000000005E-2</v>
          </cell>
          <cell r="U207">
            <v>-1.555E-3</v>
          </cell>
          <cell r="V207">
            <v>-1.7699999999999997E-4</v>
          </cell>
          <cell r="W207" t="str">
            <v xml:space="preserve"> 0</v>
          </cell>
          <cell r="X207">
            <v>-1.732E-3</v>
          </cell>
          <cell r="Z207">
            <v>3.4033000000000008E-2</v>
          </cell>
        </row>
        <row r="208">
          <cell r="F208">
            <v>-1.3951E-2</v>
          </cell>
          <cell r="G208" t="str">
            <v xml:space="preserve"> 0</v>
          </cell>
          <cell r="H208" t="str">
            <v xml:space="preserve"> 0</v>
          </cell>
          <cell r="I208">
            <v>-1.3951E-2</v>
          </cell>
          <cell r="K208" t="str">
            <v xml:space="preserve"> 0</v>
          </cell>
          <cell r="L208">
            <v>3.4000000000000002E-4</v>
          </cell>
          <cell r="M208" t="str">
            <v xml:space="preserve"> 0</v>
          </cell>
          <cell r="N208">
            <v>3.4000000000000002E-4</v>
          </cell>
          <cell r="O208">
            <v>-1.3611E-2</v>
          </cell>
          <cell r="P208" t="str">
            <v xml:space="preserve"> 0</v>
          </cell>
          <cell r="Q208">
            <v>0.13700000000000001</v>
          </cell>
          <cell r="R208" t="str">
            <v xml:space="preserve"> 0</v>
          </cell>
          <cell r="S208">
            <v>0.13700000000000001</v>
          </cell>
          <cell r="T208">
            <v>0.12338900000000001</v>
          </cell>
          <cell r="U208" t="str">
            <v xml:space="preserve"> 0</v>
          </cell>
          <cell r="V208" t="str">
            <v xml:space="preserve"> 0</v>
          </cell>
          <cell r="W208" t="str">
            <v xml:space="preserve"> 0</v>
          </cell>
          <cell r="X208" t="str">
            <v xml:space="preserve"> 0</v>
          </cell>
          <cell r="Z208">
            <v>0.12338900000000001</v>
          </cell>
        </row>
        <row r="209">
          <cell r="F209" t="str">
            <v xml:space="preserve"> 0</v>
          </cell>
          <cell r="G209" t="str">
            <v xml:space="preserve"> 0</v>
          </cell>
          <cell r="H209" t="str">
            <v xml:space="preserve"> 0</v>
          </cell>
          <cell r="I209" t="str">
            <v xml:space="preserve"> 0</v>
          </cell>
          <cell r="K209" t="str">
            <v xml:space="preserve"> 0</v>
          </cell>
          <cell r="L209" t="str">
            <v xml:space="preserve"> 0</v>
          </cell>
          <cell r="M209" t="str">
            <v xml:space="preserve"> 0</v>
          </cell>
          <cell r="N209" t="str">
            <v xml:space="preserve"> 0</v>
          </cell>
          <cell r="O209" t="str">
            <v xml:space="preserve"> 0</v>
          </cell>
          <cell r="P209" t="str">
            <v xml:space="preserve"> 0</v>
          </cell>
          <cell r="Q209" t="str">
            <v xml:space="preserve"> 0</v>
          </cell>
          <cell r="R209" t="str">
            <v xml:space="preserve"> 0</v>
          </cell>
          <cell r="S209" t="str">
            <v xml:space="preserve"> 0</v>
          </cell>
          <cell r="T209" t="str">
            <v xml:space="preserve"> 0</v>
          </cell>
          <cell r="U209" t="str">
            <v xml:space="preserve"> 0</v>
          </cell>
          <cell r="V209" t="str">
            <v xml:space="preserve"> 0</v>
          </cell>
          <cell r="W209" t="str">
            <v xml:space="preserve"> 0</v>
          </cell>
          <cell r="X209" t="str">
            <v xml:space="preserve"> 0</v>
          </cell>
          <cell r="Z209" t="str">
            <v xml:space="preserve"> 0</v>
          </cell>
        </row>
        <row r="210">
          <cell r="F210" t="str">
            <v xml:space="preserve"> 0</v>
          </cell>
          <cell r="G210" t="str">
            <v xml:space="preserve"> 0</v>
          </cell>
          <cell r="H210" t="str">
            <v xml:space="preserve"> 0</v>
          </cell>
          <cell r="I210" t="str">
            <v xml:space="preserve"> 0</v>
          </cell>
          <cell r="K210" t="str">
            <v xml:space="preserve"> 0</v>
          </cell>
          <cell r="L210" t="str">
            <v xml:space="preserve"> 0</v>
          </cell>
          <cell r="M210" t="str">
            <v xml:space="preserve"> 0</v>
          </cell>
          <cell r="N210" t="str">
            <v xml:space="preserve"> 0</v>
          </cell>
          <cell r="O210" t="str">
            <v xml:space="preserve"> 0</v>
          </cell>
          <cell r="P210" t="str">
            <v xml:space="preserve"> 0</v>
          </cell>
          <cell r="Q210" t="str">
            <v xml:space="preserve"> 0</v>
          </cell>
          <cell r="R210" t="str">
            <v xml:space="preserve"> 0</v>
          </cell>
          <cell r="S210" t="str">
            <v xml:space="preserve"> 0</v>
          </cell>
          <cell r="T210" t="str">
            <v xml:space="preserve"> 0</v>
          </cell>
          <cell r="U210" t="str">
            <v xml:space="preserve"> 0</v>
          </cell>
          <cell r="V210" t="str">
            <v xml:space="preserve"> 0</v>
          </cell>
          <cell r="W210" t="str">
            <v xml:space="preserve"> 0</v>
          </cell>
          <cell r="X210" t="str">
            <v xml:space="preserve"> 0</v>
          </cell>
          <cell r="Z210" t="str">
            <v xml:space="preserve"> 0</v>
          </cell>
        </row>
        <row r="211">
          <cell r="F211">
            <v>3.9999999999999998E-6</v>
          </cell>
          <cell r="G211">
            <v>-3.0000000000000001E-6</v>
          </cell>
          <cell r="H211">
            <v>5.0000000000000004E-6</v>
          </cell>
          <cell r="I211">
            <v>6.0000000000000002E-6</v>
          </cell>
          <cell r="K211">
            <v>-1.4E-5</v>
          </cell>
          <cell r="L211">
            <v>1.1E-5</v>
          </cell>
          <cell r="M211">
            <v>1.9999999999999999E-6</v>
          </cell>
          <cell r="N211">
            <v>-1.0000000000000002E-6</v>
          </cell>
          <cell r="O211">
            <v>4.9999999999999996E-6</v>
          </cell>
          <cell r="P211">
            <v>-6.0000000000000002E-6</v>
          </cell>
          <cell r="Q211">
            <v>7.9999999999999996E-6</v>
          </cell>
          <cell r="R211">
            <v>-1.354E-3</v>
          </cell>
          <cell r="S211">
            <v>-1.3519999999999999E-3</v>
          </cell>
          <cell r="T211">
            <v>-1.3469999999999999E-3</v>
          </cell>
          <cell r="U211">
            <v>1.3389999999999999E-3</v>
          </cell>
          <cell r="V211" t="str">
            <v xml:space="preserve"> 0</v>
          </cell>
          <cell r="W211" t="str">
            <v xml:space="preserve"> 0</v>
          </cell>
          <cell r="X211">
            <v>1.3389999999999999E-3</v>
          </cell>
          <cell r="Z211">
            <v>-7.9999999999999776E-6</v>
          </cell>
        </row>
        <row r="212">
          <cell r="F212">
            <v>8.1270999999999996E-2</v>
          </cell>
          <cell r="G212">
            <v>2.7673E-2</v>
          </cell>
          <cell r="H212">
            <v>3.9180000000000065E-3</v>
          </cell>
          <cell r="I212">
            <v>0.11286200000000002</v>
          </cell>
          <cell r="K212">
            <v>-3.9323999999999998E-2</v>
          </cell>
          <cell r="L212">
            <v>5.0831000000000015E-2</v>
          </cell>
          <cell r="M212">
            <v>8.8802999999999993E-2</v>
          </cell>
          <cell r="N212">
            <v>0.10030999999999995</v>
          </cell>
          <cell r="O212">
            <v>0.21317199999999997</v>
          </cell>
          <cell r="P212">
            <v>2.804099999999999E-2</v>
          </cell>
          <cell r="Q212">
            <v>0.182281</v>
          </cell>
          <cell r="R212">
            <v>-2.734600000000004E-2</v>
          </cell>
          <cell r="S212">
            <v>0.182976</v>
          </cell>
          <cell r="T212">
            <v>0.39614799999999994</v>
          </cell>
          <cell r="U212">
            <v>3.9252999999999996E-2</v>
          </cell>
          <cell r="V212">
            <v>4.0090000000000021E-3</v>
          </cell>
          <cell r="W212" t="str">
            <v xml:space="preserve"> 0</v>
          </cell>
          <cell r="X212">
            <v>4.3262000000000002E-2</v>
          </cell>
          <cell r="Z212">
            <v>0.43940999999999997</v>
          </cell>
        </row>
        <row r="213">
          <cell r="F213">
            <v>8.7771999999999989E-2</v>
          </cell>
          <cell r="G213">
            <v>2.4888999999999998E-2</v>
          </cell>
          <cell r="H213">
            <v>5.1840999999999998E-2</v>
          </cell>
          <cell r="I213">
            <v>0.16450200000000001</v>
          </cell>
          <cell r="K213">
            <v>-4.6932999999999996E-2</v>
          </cell>
          <cell r="L213">
            <v>4.8553000000000013E-2</v>
          </cell>
          <cell r="M213">
            <v>2.8442999999999996E-2</v>
          </cell>
          <cell r="N213">
            <v>3.0062999999999954E-2</v>
          </cell>
          <cell r="O213">
            <v>0.19456499999999996</v>
          </cell>
          <cell r="P213">
            <v>2.3134999999999989E-2</v>
          </cell>
          <cell r="Q213">
            <v>2.7118999999999994E-2</v>
          </cell>
          <cell r="R213">
            <v>3.1594999999999984E-2</v>
          </cell>
          <cell r="S213">
            <v>8.1849000000000005E-2</v>
          </cell>
          <cell r="T213">
            <v>0.27641399999999994</v>
          </cell>
          <cell r="U213">
            <v>3.6445000000000005E-2</v>
          </cell>
          <cell r="V213">
            <v>2.5730000000000015E-3</v>
          </cell>
          <cell r="W213">
            <v>0</v>
          </cell>
          <cell r="X213">
            <v>3.9018000000000004E-2</v>
          </cell>
          <cell r="Y213">
            <v>0</v>
          </cell>
          <cell r="Z213">
            <v>0.31543199999999993</v>
          </cell>
        </row>
        <row r="214">
          <cell r="F214">
            <v>6.3210000000000002E-3</v>
          </cell>
          <cell r="G214">
            <v>2.928E-3</v>
          </cell>
          <cell r="H214">
            <v>9.4600000000000001E-4</v>
          </cell>
          <cell r="I214">
            <v>1.0195000000000001E-2</v>
          </cell>
          <cell r="K214">
            <v>5.9719999999999999E-3</v>
          </cell>
          <cell r="L214">
            <v>-2.2799999999999999E-4</v>
          </cell>
          <cell r="M214">
            <v>7.1599999999999997E-3</v>
          </cell>
          <cell r="N214">
            <v>1.2904000000000001E-2</v>
          </cell>
          <cell r="O214">
            <v>2.3099000000000001E-2</v>
          </cell>
          <cell r="P214">
            <v>2.5230000000000001E-3</v>
          </cell>
          <cell r="Q214">
            <v>7.0790000000000002E-3</v>
          </cell>
          <cell r="R214">
            <v>1.717E-3</v>
          </cell>
          <cell r="S214">
            <v>1.1319000000000003E-2</v>
          </cell>
          <cell r="T214">
            <v>3.4418000000000004E-2</v>
          </cell>
          <cell r="U214">
            <v>-2.1600000000000005E-4</v>
          </cell>
          <cell r="V214">
            <v>-1.7699999999999997E-4</v>
          </cell>
          <cell r="W214">
            <v>0</v>
          </cell>
          <cell r="X214">
            <v>-3.9300000000000012E-4</v>
          </cell>
          <cell r="Y214">
            <v>0</v>
          </cell>
          <cell r="Z214">
            <v>3.4025000000000007E-2</v>
          </cell>
        </row>
        <row r="216">
          <cell r="F216" t="str">
            <v xml:space="preserve"> 0</v>
          </cell>
          <cell r="G216" t="str">
            <v xml:space="preserve"> 0</v>
          </cell>
          <cell r="H216" t="str">
            <v xml:space="preserve"> 0</v>
          </cell>
          <cell r="I216" t="str">
            <v xml:space="preserve"> 0</v>
          </cell>
          <cell r="K216" t="str">
            <v xml:space="preserve"> 0</v>
          </cell>
          <cell r="L216" t="str">
            <v xml:space="preserve"> 0</v>
          </cell>
          <cell r="M216" t="str">
            <v xml:space="preserve"> 0</v>
          </cell>
          <cell r="N216" t="str">
            <v xml:space="preserve"> 0</v>
          </cell>
          <cell r="O216" t="str">
            <v xml:space="preserve"> 0</v>
          </cell>
          <cell r="P216" t="str">
            <v xml:space="preserve"> 0</v>
          </cell>
          <cell r="Q216" t="str">
            <v xml:space="preserve"> 0</v>
          </cell>
          <cell r="R216" t="str">
            <v xml:space="preserve"> 0</v>
          </cell>
          <cell r="S216" t="str">
            <v xml:space="preserve"> 0</v>
          </cell>
          <cell r="T216" t="str">
            <v xml:space="preserve"> 0</v>
          </cell>
          <cell r="U216" t="str">
            <v xml:space="preserve"> 0</v>
          </cell>
          <cell r="V216" t="str">
            <v xml:space="preserve"> 0</v>
          </cell>
          <cell r="W216" t="str">
            <v xml:space="preserve"> 0</v>
          </cell>
          <cell r="X216" t="str">
            <v xml:space="preserve"> 0</v>
          </cell>
          <cell r="Z216" t="str">
            <v xml:space="preserve"> 0</v>
          </cell>
        </row>
        <row r="218">
          <cell r="F218">
            <v>-0.16573299999999996</v>
          </cell>
          <cell r="G218">
            <v>-6.7097000000000004E-2</v>
          </cell>
          <cell r="H218">
            <v>8.0609E-2</v>
          </cell>
          <cell r="I218">
            <v>-0.152221</v>
          </cell>
          <cell r="K218">
            <v>6.883800000000001E-2</v>
          </cell>
          <cell r="L218">
            <v>2.3199999999999957E-4</v>
          </cell>
          <cell r="M218">
            <v>6.1086000000000008E-2</v>
          </cell>
          <cell r="N218">
            <v>0.13015600000000002</v>
          </cell>
          <cell r="O218">
            <v>-2.2064999999999974E-2</v>
          </cell>
          <cell r="P218">
            <v>-4.0440000000000004E-2</v>
          </cell>
          <cell r="Q218">
            <v>2.9499999999999999E-3</v>
          </cell>
          <cell r="R218">
            <v>2.6612999999999998E-2</v>
          </cell>
          <cell r="S218">
            <v>-1.0877000000000001E-2</v>
          </cell>
          <cell r="T218">
            <v>-3.2941999999999971E-2</v>
          </cell>
          <cell r="U218">
            <v>1.9129999999999998E-2</v>
          </cell>
          <cell r="V218">
            <v>-0.15150700000000003</v>
          </cell>
          <cell r="W218" t="str">
            <v xml:space="preserve"> 0</v>
          </cell>
          <cell r="X218">
            <v>-0.13237700000000002</v>
          </cell>
          <cell r="Z218">
            <v>-0.16531899999999999</v>
          </cell>
        </row>
        <row r="219">
          <cell r="F219" t="str">
            <v xml:space="preserve"> 0</v>
          </cell>
          <cell r="G219" t="str">
            <v xml:space="preserve"> 0</v>
          </cell>
          <cell r="H219">
            <v>9.2599999999999996E-4</v>
          </cell>
          <cell r="I219">
            <v>9.2599999999999996E-4</v>
          </cell>
          <cell r="K219" t="str">
            <v xml:space="preserve"> 0</v>
          </cell>
          <cell r="L219" t="str">
            <v xml:space="preserve"> 0</v>
          </cell>
          <cell r="M219" t="str">
            <v xml:space="preserve"> 0</v>
          </cell>
          <cell r="N219" t="str">
            <v xml:space="preserve"> 0</v>
          </cell>
          <cell r="O219">
            <v>9.2599999999999996E-4</v>
          </cell>
          <cell r="P219" t="str">
            <v xml:space="preserve"> 0</v>
          </cell>
          <cell r="Q219" t="str">
            <v xml:space="preserve"> 0</v>
          </cell>
          <cell r="R219">
            <v>4.9200000000000003E-4</v>
          </cell>
          <cell r="S219">
            <v>4.9200000000000003E-4</v>
          </cell>
          <cell r="T219">
            <v>1.418E-3</v>
          </cell>
          <cell r="U219">
            <v>6.2323000000000003E-2</v>
          </cell>
          <cell r="V219" t="str">
            <v xml:space="preserve"> 0</v>
          </cell>
          <cell r="W219" t="str">
            <v xml:space="preserve"> 0</v>
          </cell>
          <cell r="X219">
            <v>6.2323000000000003E-2</v>
          </cell>
          <cell r="Z219">
            <v>6.3741000000000006E-2</v>
          </cell>
        </row>
        <row r="220">
          <cell r="F220" t="str">
            <v xml:space="preserve"> 0</v>
          </cell>
          <cell r="G220" t="str">
            <v xml:space="preserve"> 0</v>
          </cell>
          <cell r="H220" t="str">
            <v xml:space="preserve"> 0</v>
          </cell>
          <cell r="I220" t="str">
            <v xml:space="preserve"> 0</v>
          </cell>
          <cell r="K220" t="str">
            <v xml:space="preserve"> 0</v>
          </cell>
          <cell r="L220" t="str">
            <v xml:space="preserve"> 0</v>
          </cell>
          <cell r="M220" t="str">
            <v xml:space="preserve"> 0</v>
          </cell>
          <cell r="N220" t="str">
            <v xml:space="preserve"> 0</v>
          </cell>
          <cell r="O220" t="str">
            <v xml:space="preserve"> 0</v>
          </cell>
          <cell r="P220" t="str">
            <v xml:space="preserve"> 0</v>
          </cell>
          <cell r="Q220" t="str">
            <v xml:space="preserve"> 0</v>
          </cell>
          <cell r="R220" t="str">
            <v xml:space="preserve"> 0</v>
          </cell>
          <cell r="S220" t="str">
            <v xml:space="preserve"> 0</v>
          </cell>
          <cell r="T220" t="str">
            <v xml:space="preserve"> 0</v>
          </cell>
          <cell r="U220" t="str">
            <v xml:space="preserve"> 0</v>
          </cell>
          <cell r="V220" t="str">
            <v xml:space="preserve"> 0</v>
          </cell>
          <cell r="W220" t="str">
            <v xml:space="preserve"> 0</v>
          </cell>
          <cell r="X220" t="str">
            <v xml:space="preserve"> 0</v>
          </cell>
          <cell r="Z220" t="str">
            <v xml:space="preserve"> 0</v>
          </cell>
        </row>
        <row r="221">
          <cell r="F221" t="str">
            <v xml:space="preserve"> 0</v>
          </cell>
          <cell r="G221" t="str">
            <v xml:space="preserve"> 0</v>
          </cell>
          <cell r="H221" t="str">
            <v xml:space="preserve"> 0</v>
          </cell>
          <cell r="I221" t="str">
            <v xml:space="preserve"> 0</v>
          </cell>
          <cell r="K221" t="str">
            <v xml:space="preserve"> 0</v>
          </cell>
          <cell r="L221" t="str">
            <v xml:space="preserve"> 0</v>
          </cell>
          <cell r="M221" t="str">
            <v xml:space="preserve"> 0</v>
          </cell>
          <cell r="N221" t="str">
            <v xml:space="preserve"> 0</v>
          </cell>
          <cell r="O221" t="str">
            <v xml:space="preserve"> 0</v>
          </cell>
          <cell r="P221" t="str">
            <v xml:space="preserve"> 0</v>
          </cell>
          <cell r="Q221" t="str">
            <v xml:space="preserve"> 0</v>
          </cell>
          <cell r="R221" t="str">
            <v xml:space="preserve"> 0</v>
          </cell>
          <cell r="S221" t="str">
            <v xml:space="preserve"> 0</v>
          </cell>
          <cell r="T221" t="str">
            <v xml:space="preserve"> 0</v>
          </cell>
          <cell r="U221" t="str">
            <v xml:space="preserve"> 0</v>
          </cell>
          <cell r="V221" t="str">
            <v xml:space="preserve"> 0</v>
          </cell>
          <cell r="W221" t="str">
            <v xml:space="preserve"> 0</v>
          </cell>
          <cell r="X221" t="str">
            <v xml:space="preserve"> 0</v>
          </cell>
          <cell r="Z221" t="str">
            <v xml:space="preserve"> 0</v>
          </cell>
        </row>
        <row r="222">
          <cell r="F222">
            <v>-1.0174000000000001E-2</v>
          </cell>
          <cell r="G222">
            <v>-2.5602E-2</v>
          </cell>
          <cell r="H222">
            <v>-5.8682000000000012E-2</v>
          </cell>
          <cell r="I222">
            <v>-9.4458000000000014E-2</v>
          </cell>
          <cell r="K222">
            <v>1.4780000000000001E-3</v>
          </cell>
          <cell r="L222">
            <v>-2.7935999999999996E-2</v>
          </cell>
          <cell r="M222">
            <v>-3.7256999999999998E-2</v>
          </cell>
          <cell r="N222">
            <v>-6.3714999999999994E-2</v>
          </cell>
          <cell r="O222">
            <v>-0.15817300000000001</v>
          </cell>
          <cell r="P222">
            <v>-2.9149000000000001E-2</v>
          </cell>
          <cell r="Q222">
            <v>-3.1394999999999992E-2</v>
          </cell>
          <cell r="R222">
            <v>-3.1375E-2</v>
          </cell>
          <cell r="S222">
            <v>-9.1919000000000001E-2</v>
          </cell>
          <cell r="T222">
            <v>-0.25009199999999998</v>
          </cell>
          <cell r="U222">
            <v>-2.9500999999999999E-2</v>
          </cell>
          <cell r="V222">
            <v>-2.3108999999999998E-2</v>
          </cell>
          <cell r="W222" t="str">
            <v xml:space="preserve"> 0</v>
          </cell>
          <cell r="X222">
            <v>-5.2610000000000004E-2</v>
          </cell>
          <cell r="Z222">
            <v>-0.30270199999999997</v>
          </cell>
        </row>
        <row r="223">
          <cell r="F223">
            <v>-4.3000000000000002E-5</v>
          </cell>
          <cell r="G223">
            <v>-8.2600000000000002E-4</v>
          </cell>
          <cell r="H223">
            <v>-5.7600000000000001E-4</v>
          </cell>
          <cell r="I223">
            <v>-1.4450000000000001E-3</v>
          </cell>
          <cell r="K223">
            <v>-2.7E-4</v>
          </cell>
          <cell r="L223">
            <v>-2.0590000000000001E-3</v>
          </cell>
          <cell r="M223">
            <v>-3.6499999999999998E-4</v>
          </cell>
          <cell r="N223">
            <v>-2.6939999999999998E-3</v>
          </cell>
          <cell r="O223">
            <v>-4.1390000000000003E-3</v>
          </cell>
          <cell r="P223">
            <v>-2.1967E-2</v>
          </cell>
          <cell r="Q223">
            <v>8.1600000000000006E-3</v>
          </cell>
          <cell r="R223">
            <v>-3.4299999999999999E-4</v>
          </cell>
          <cell r="S223">
            <v>-1.4149999999999999E-2</v>
          </cell>
          <cell r="T223">
            <v>-1.8289E-2</v>
          </cell>
          <cell r="U223">
            <v>-3.7500000000000001E-4</v>
          </cell>
          <cell r="V223">
            <v>-2.274E-3</v>
          </cell>
          <cell r="W223" t="str">
            <v xml:space="preserve"> 0</v>
          </cell>
          <cell r="X223">
            <v>-2.6489999999999999E-3</v>
          </cell>
          <cell r="Z223">
            <v>-2.0937999999999998E-2</v>
          </cell>
        </row>
        <row r="224">
          <cell r="F224">
            <v>-0.17594999999999994</v>
          </cell>
          <cell r="G224">
            <v>-9.3524999999999997E-2</v>
          </cell>
          <cell r="H224">
            <v>2.2276999999999984E-2</v>
          </cell>
          <cell r="I224">
            <v>-0.247198</v>
          </cell>
          <cell r="K224">
            <v>7.0046000000000011E-2</v>
          </cell>
          <cell r="L224">
            <v>-2.9762999999999998E-2</v>
          </cell>
          <cell r="M224">
            <v>2.3464000000000009E-2</v>
          </cell>
          <cell r="N224">
            <v>6.3747000000000026E-2</v>
          </cell>
          <cell r="O224">
            <v>-0.18345099999999998</v>
          </cell>
          <cell r="P224">
            <v>-9.1556000000000012E-2</v>
          </cell>
          <cell r="Q224">
            <v>-2.0284999999999991E-2</v>
          </cell>
          <cell r="R224">
            <v>-4.6130000000000025E-3</v>
          </cell>
          <cell r="S224">
            <v>-0.116454</v>
          </cell>
          <cell r="T224">
            <v>-0.29990499999999998</v>
          </cell>
          <cell r="U224">
            <v>5.1576999999999998E-2</v>
          </cell>
          <cell r="V224">
            <v>-0.17689000000000002</v>
          </cell>
          <cell r="W224">
            <v>0</v>
          </cell>
          <cell r="X224">
            <v>-0.12531300000000004</v>
          </cell>
          <cell r="Z224">
            <v>-0.42521799999999998</v>
          </cell>
        </row>
        <row r="225">
          <cell r="F225">
            <v>-0.17594999999999997</v>
          </cell>
          <cell r="G225">
            <v>-9.3524999999999997E-2</v>
          </cell>
          <cell r="H225">
            <v>2.2276999999999984E-2</v>
          </cell>
          <cell r="I225">
            <v>-0.247198</v>
          </cell>
          <cell r="K225">
            <v>7.0046000000000011E-2</v>
          </cell>
          <cell r="L225">
            <v>-2.9762999999999994E-2</v>
          </cell>
          <cell r="M225">
            <v>2.3464000000000013E-2</v>
          </cell>
          <cell r="N225">
            <v>6.3747000000000026E-2</v>
          </cell>
          <cell r="O225">
            <v>-0.18345099999999998</v>
          </cell>
          <cell r="P225">
            <v>-9.1555999999999998E-2</v>
          </cell>
          <cell r="Q225">
            <v>-2.0284999999999991E-2</v>
          </cell>
          <cell r="R225">
            <v>-4.613000000000006E-3</v>
          </cell>
          <cell r="S225">
            <v>-0.116454</v>
          </cell>
          <cell r="T225">
            <v>-0.29990499999999998</v>
          </cell>
          <cell r="U225">
            <v>5.1576999999999998E-2</v>
          </cell>
          <cell r="V225">
            <v>-0.17689000000000002</v>
          </cell>
          <cell r="W225" t="str">
            <v xml:space="preserve"> 0</v>
          </cell>
          <cell r="X225">
            <v>-0.12531300000000001</v>
          </cell>
          <cell r="Z225">
            <v>-0.42521799999999998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F227">
            <v>0.30494700000000002</v>
          </cell>
          <cell r="G227">
            <v>0.31722100000000003</v>
          </cell>
          <cell r="H227">
            <v>0.71548800000000001</v>
          </cell>
          <cell r="I227">
            <v>1.337656</v>
          </cell>
          <cell r="K227">
            <v>0.58716999999999997</v>
          </cell>
          <cell r="L227">
            <v>0.567021</v>
          </cell>
          <cell r="M227">
            <v>0.941832</v>
          </cell>
          <cell r="N227">
            <v>2.0960229999999997</v>
          </cell>
          <cell r="O227">
            <v>3.4336789999999997</v>
          </cell>
          <cell r="P227">
            <v>0.43431500000000006</v>
          </cell>
          <cell r="Q227">
            <v>0.62451299999999998</v>
          </cell>
          <cell r="R227">
            <v>0.76457999999999982</v>
          </cell>
          <cell r="S227">
            <v>1.8234079999999997</v>
          </cell>
          <cell r="T227">
            <v>5.2570869999999994</v>
          </cell>
          <cell r="U227">
            <v>0.57430399999999993</v>
          </cell>
          <cell r="V227">
            <v>0.44835500000000011</v>
          </cell>
          <cell r="W227" t="str">
            <v xml:space="preserve"> 0</v>
          </cell>
          <cell r="X227">
            <v>1.0226589999999998</v>
          </cell>
          <cell r="Z227">
            <v>6.2797459999999994</v>
          </cell>
        </row>
        <row r="230">
          <cell r="F230">
            <v>0.39268500000000012</v>
          </cell>
          <cell r="G230">
            <v>0.33545900000000017</v>
          </cell>
          <cell r="H230">
            <v>-1.3201999999999955E-2</v>
          </cell>
          <cell r="I230">
            <v>0.71494200000000019</v>
          </cell>
          <cell r="K230">
            <v>6.0300000000015289E-4</v>
          </cell>
          <cell r="L230">
            <v>0.30037999999999998</v>
          </cell>
          <cell r="M230">
            <v>0.33747899999999992</v>
          </cell>
          <cell r="N230">
            <v>0.63846199999999986</v>
          </cell>
          <cell r="O230">
            <v>1.3534040000000001</v>
          </cell>
          <cell r="P230">
            <v>0.37355999999999995</v>
          </cell>
          <cell r="Q230">
            <v>-0.26358199999999987</v>
          </cell>
          <cell r="R230">
            <v>0.34066599999999986</v>
          </cell>
          <cell r="S230">
            <v>0.45064400000000088</v>
          </cell>
          <cell r="T230">
            <v>1.804048000000001</v>
          </cell>
          <cell r="U230">
            <v>-0.23020899999999983</v>
          </cell>
          <cell r="V230">
            <v>4.6905000000000065E-2</v>
          </cell>
          <cell r="W230" t="str">
            <v xml:space="preserve"> 0</v>
          </cell>
          <cell r="X230">
            <v>-0.18330400000000016</v>
          </cell>
          <cell r="Z230">
            <v>1.6207440000000009</v>
          </cell>
        </row>
        <row r="232">
          <cell r="F232">
            <v>-1.3951E-2</v>
          </cell>
          <cell r="G232" t="str">
            <v xml:space="preserve"> 0</v>
          </cell>
          <cell r="H232" t="str">
            <v xml:space="preserve"> 0</v>
          </cell>
          <cell r="I232">
            <v>-1.3951E-2</v>
          </cell>
          <cell r="K232" t="str">
            <v xml:space="preserve"> 0</v>
          </cell>
          <cell r="L232">
            <v>3.4000000000000002E-4</v>
          </cell>
          <cell r="M232" t="str">
            <v xml:space="preserve"> 0</v>
          </cell>
          <cell r="N232">
            <v>3.4000000000000002E-4</v>
          </cell>
          <cell r="O232">
            <v>-1.3611E-2</v>
          </cell>
          <cell r="P232" t="str">
            <v xml:space="preserve"> 0</v>
          </cell>
          <cell r="Q232">
            <v>0.13700000000000001</v>
          </cell>
          <cell r="R232" t="str">
            <v xml:space="preserve"> 0</v>
          </cell>
          <cell r="S232">
            <v>0.13700000000000001</v>
          </cell>
          <cell r="T232">
            <v>0.12338900000000001</v>
          </cell>
          <cell r="U232" t="str">
            <v xml:space="preserve"> 0</v>
          </cell>
          <cell r="V232" t="str">
            <v xml:space="preserve"> 0</v>
          </cell>
          <cell r="W232" t="str">
            <v xml:space="preserve"> 0</v>
          </cell>
          <cell r="X232" t="str">
            <v xml:space="preserve"> 0</v>
          </cell>
          <cell r="Z232">
            <v>0.12338900000000001</v>
          </cell>
        </row>
        <row r="234">
          <cell r="F234" t="str">
            <v xml:space="preserve"> 0</v>
          </cell>
          <cell r="G234" t="str">
            <v xml:space="preserve"> 0</v>
          </cell>
          <cell r="H234" t="str">
            <v xml:space="preserve"> 0</v>
          </cell>
          <cell r="I234" t="str">
            <v xml:space="preserve"> 0</v>
          </cell>
          <cell r="K234" t="str">
            <v xml:space="preserve"> 0</v>
          </cell>
          <cell r="L234" t="str">
            <v xml:space="preserve"> 0</v>
          </cell>
          <cell r="M234" t="str">
            <v xml:space="preserve"> 0</v>
          </cell>
          <cell r="N234" t="str">
            <v xml:space="preserve"> 0</v>
          </cell>
          <cell r="O234" t="str">
            <v xml:space="preserve"> 0</v>
          </cell>
          <cell r="P234" t="str">
            <v xml:space="preserve"> 0</v>
          </cell>
          <cell r="Q234" t="str">
            <v xml:space="preserve"> 0</v>
          </cell>
          <cell r="R234" t="str">
            <v xml:space="preserve"> 0</v>
          </cell>
          <cell r="S234" t="str">
            <v xml:space="preserve"> 0</v>
          </cell>
          <cell r="T234" t="str">
            <v xml:space="preserve"> 0</v>
          </cell>
          <cell r="U234" t="str">
            <v xml:space="preserve"> 0</v>
          </cell>
          <cell r="V234" t="str">
            <v xml:space="preserve"> 0</v>
          </cell>
          <cell r="W234" t="str">
            <v xml:space="preserve"> 0</v>
          </cell>
          <cell r="X234" t="str">
            <v xml:space="preserve"> 0</v>
          </cell>
          <cell r="Z234" t="str">
            <v xml:space="preserve"> 0</v>
          </cell>
        </row>
        <row r="235">
          <cell r="F235" t="str">
            <v xml:space="preserve"> 0</v>
          </cell>
          <cell r="G235" t="str">
            <v xml:space="preserve"> 0</v>
          </cell>
          <cell r="H235" t="str">
            <v xml:space="preserve"> 0</v>
          </cell>
          <cell r="I235" t="str">
            <v xml:space="preserve"> 0</v>
          </cell>
          <cell r="K235" t="str">
            <v xml:space="preserve"> 0</v>
          </cell>
          <cell r="L235" t="str">
            <v xml:space="preserve"> 0</v>
          </cell>
          <cell r="M235" t="str">
            <v xml:space="preserve"> 0</v>
          </cell>
          <cell r="N235" t="str">
            <v xml:space="preserve"> 0</v>
          </cell>
          <cell r="O235" t="str">
            <v xml:space="preserve"> 0</v>
          </cell>
          <cell r="P235" t="str">
            <v xml:space="preserve"> 0</v>
          </cell>
          <cell r="Q235" t="str">
            <v xml:space="preserve"> 0</v>
          </cell>
          <cell r="R235" t="str">
            <v xml:space="preserve"> 0</v>
          </cell>
          <cell r="S235" t="str">
            <v xml:space="preserve"> 0</v>
          </cell>
          <cell r="T235" t="str">
            <v xml:space="preserve"> 0</v>
          </cell>
          <cell r="U235" t="str">
            <v xml:space="preserve"> 0</v>
          </cell>
          <cell r="V235">
            <v>3.1000000000000001E-5</v>
          </cell>
          <cell r="W235" t="str">
            <v xml:space="preserve"> 0</v>
          </cell>
          <cell r="X235">
            <v>3.1000000000000001E-5</v>
          </cell>
          <cell r="Z235">
            <v>3.1000000000000001E-5</v>
          </cell>
        </row>
        <row r="236">
          <cell r="F236" t="str">
            <v xml:space="preserve"> 0</v>
          </cell>
          <cell r="G236" t="str">
            <v xml:space="preserve"> 0</v>
          </cell>
          <cell r="H236" t="str">
            <v xml:space="preserve"> 0</v>
          </cell>
          <cell r="I236" t="str">
            <v xml:space="preserve"> 0</v>
          </cell>
          <cell r="K236" t="str">
            <v xml:space="preserve"> 0</v>
          </cell>
          <cell r="L236" t="str">
            <v xml:space="preserve"> 0</v>
          </cell>
          <cell r="M236" t="str">
            <v xml:space="preserve"> 0</v>
          </cell>
          <cell r="N236" t="str">
            <v xml:space="preserve"> 0</v>
          </cell>
          <cell r="O236" t="str">
            <v xml:space="preserve"> 0</v>
          </cell>
          <cell r="P236" t="str">
            <v xml:space="preserve"> 0</v>
          </cell>
          <cell r="Q236" t="str">
            <v xml:space="preserve"> 0</v>
          </cell>
          <cell r="R236" t="str">
            <v xml:space="preserve"> 0</v>
          </cell>
          <cell r="S236" t="str">
            <v xml:space="preserve"> 0</v>
          </cell>
          <cell r="T236" t="str">
            <v xml:space="preserve"> 0</v>
          </cell>
          <cell r="U236" t="str">
            <v xml:space="preserve"> 0</v>
          </cell>
          <cell r="V236" t="str">
            <v xml:space="preserve"> 0</v>
          </cell>
          <cell r="W236" t="str">
            <v xml:space="preserve"> 0</v>
          </cell>
          <cell r="X236" t="str">
            <v xml:space="preserve"> 0</v>
          </cell>
          <cell r="Z236" t="str">
            <v xml:space="preserve"> 0</v>
          </cell>
        </row>
        <row r="238">
          <cell r="F238" t="str">
            <v xml:space="preserve"> 0</v>
          </cell>
          <cell r="G238" t="str">
            <v xml:space="preserve"> 0</v>
          </cell>
          <cell r="H238" t="str">
            <v xml:space="preserve"> 0</v>
          </cell>
          <cell r="I238" t="str">
            <v xml:space="preserve"> 0</v>
          </cell>
          <cell r="K238" t="str">
            <v xml:space="preserve"> 0</v>
          </cell>
          <cell r="L238" t="str">
            <v xml:space="preserve"> 0</v>
          </cell>
          <cell r="M238" t="str">
            <v xml:space="preserve"> 0</v>
          </cell>
          <cell r="N238" t="str">
            <v xml:space="preserve"> 0</v>
          </cell>
          <cell r="O238" t="str">
            <v xml:space="preserve"> 0</v>
          </cell>
          <cell r="P238" t="str">
            <v xml:space="preserve"> 0</v>
          </cell>
          <cell r="Q238" t="str">
            <v xml:space="preserve"> 0</v>
          </cell>
          <cell r="R238" t="str">
            <v xml:space="preserve"> 0</v>
          </cell>
          <cell r="S238" t="str">
            <v xml:space="preserve"> 0</v>
          </cell>
          <cell r="T238" t="str">
            <v xml:space="preserve"> 0</v>
          </cell>
          <cell r="U238" t="str">
            <v xml:space="preserve"> 0</v>
          </cell>
          <cell r="V238" t="str">
            <v xml:space="preserve"> 0</v>
          </cell>
          <cell r="W238" t="str">
            <v xml:space="preserve"> 0</v>
          </cell>
          <cell r="X238" t="str">
            <v xml:space="preserve"> 0</v>
          </cell>
          <cell r="Z238" t="str">
            <v xml:space="preserve"> 0</v>
          </cell>
        </row>
        <row r="239">
          <cell r="F239" t="str">
            <v xml:space="preserve"> 0</v>
          </cell>
          <cell r="G239" t="str">
            <v xml:space="preserve"> 0</v>
          </cell>
          <cell r="H239" t="str">
            <v xml:space="preserve"> 0</v>
          </cell>
          <cell r="I239" t="str">
            <v xml:space="preserve"> 0</v>
          </cell>
          <cell r="K239" t="str">
            <v xml:space="preserve"> 0</v>
          </cell>
          <cell r="L239" t="str">
            <v xml:space="preserve"> 0</v>
          </cell>
          <cell r="M239" t="str">
            <v xml:space="preserve"> 0</v>
          </cell>
          <cell r="N239" t="str">
            <v xml:space="preserve"> 0</v>
          </cell>
          <cell r="O239" t="str">
            <v xml:space="preserve"> 0</v>
          </cell>
          <cell r="P239" t="str">
            <v xml:space="preserve"> 0</v>
          </cell>
          <cell r="Q239" t="str">
            <v xml:space="preserve"> 0</v>
          </cell>
          <cell r="R239" t="str">
            <v xml:space="preserve"> 0</v>
          </cell>
          <cell r="S239" t="str">
            <v xml:space="preserve"> 0</v>
          </cell>
          <cell r="T239" t="str">
            <v xml:space="preserve"> 0</v>
          </cell>
          <cell r="U239" t="str">
            <v xml:space="preserve"> 0</v>
          </cell>
          <cell r="V239">
            <v>6.0000000000000002E-6</v>
          </cell>
          <cell r="W239" t="str">
            <v xml:space="preserve"> 0</v>
          </cell>
          <cell r="X239">
            <v>6.0000000000000002E-6</v>
          </cell>
          <cell r="Z239">
            <v>6.0000000000000002E-6</v>
          </cell>
        </row>
        <row r="240">
          <cell r="F240" t="str">
            <v xml:space="preserve"> 0</v>
          </cell>
          <cell r="G240" t="str">
            <v xml:space="preserve"> 0</v>
          </cell>
          <cell r="H240" t="str">
            <v xml:space="preserve"> 0</v>
          </cell>
          <cell r="I240" t="str">
            <v xml:space="preserve"> 0</v>
          </cell>
          <cell r="K240" t="str">
            <v xml:space="preserve"> 0</v>
          </cell>
          <cell r="L240" t="str">
            <v xml:space="preserve"> 0</v>
          </cell>
          <cell r="M240" t="str">
            <v xml:space="preserve"> 0</v>
          </cell>
          <cell r="N240" t="str">
            <v xml:space="preserve"> 0</v>
          </cell>
          <cell r="O240" t="str">
            <v xml:space="preserve"> 0</v>
          </cell>
          <cell r="P240" t="str">
            <v xml:space="preserve"> 0</v>
          </cell>
          <cell r="Q240" t="str">
            <v xml:space="preserve"> 0</v>
          </cell>
          <cell r="R240" t="str">
            <v xml:space="preserve"> 0</v>
          </cell>
          <cell r="S240" t="str">
            <v xml:space="preserve"> 0</v>
          </cell>
          <cell r="T240" t="str">
            <v xml:space="preserve"> 0</v>
          </cell>
          <cell r="U240" t="str">
            <v xml:space="preserve"> 0</v>
          </cell>
          <cell r="V240" t="str">
            <v xml:space="preserve"> 0</v>
          </cell>
          <cell r="W240" t="str">
            <v xml:space="preserve"> 0</v>
          </cell>
          <cell r="X240" t="str">
            <v xml:space="preserve"> 0</v>
          </cell>
          <cell r="Z240" t="str">
            <v xml:space="preserve"> 0</v>
          </cell>
        </row>
        <row r="241">
          <cell r="F241" t="str">
            <v xml:space="preserve"> 0</v>
          </cell>
          <cell r="G241" t="str">
            <v xml:space="preserve"> 0</v>
          </cell>
          <cell r="H241" t="str">
            <v xml:space="preserve"> 0</v>
          </cell>
          <cell r="I241" t="str">
            <v xml:space="preserve"> 0</v>
          </cell>
          <cell r="K241" t="str">
            <v xml:space="preserve"> 0</v>
          </cell>
          <cell r="L241" t="str">
            <v xml:space="preserve"> 0</v>
          </cell>
          <cell r="M241" t="str">
            <v xml:space="preserve"> 0</v>
          </cell>
          <cell r="N241" t="str">
            <v xml:space="preserve"> 0</v>
          </cell>
          <cell r="O241" t="str">
            <v xml:space="preserve"> 0</v>
          </cell>
          <cell r="P241" t="str">
            <v xml:space="preserve"> 0</v>
          </cell>
          <cell r="Q241" t="str">
            <v xml:space="preserve"> 0</v>
          </cell>
          <cell r="R241" t="str">
            <v xml:space="preserve"> 0</v>
          </cell>
          <cell r="S241" t="str">
            <v xml:space="preserve"> 0</v>
          </cell>
          <cell r="T241" t="str">
            <v xml:space="preserve"> 0</v>
          </cell>
          <cell r="U241" t="str">
            <v xml:space="preserve"> 0</v>
          </cell>
          <cell r="V241" t="str">
            <v xml:space="preserve"> 0</v>
          </cell>
          <cell r="W241" t="str">
            <v xml:space="preserve"> 0</v>
          </cell>
          <cell r="X241" t="str">
            <v xml:space="preserve"> 0</v>
          </cell>
          <cell r="Z241" t="str">
            <v xml:space="preserve"> 0</v>
          </cell>
        </row>
        <row r="242">
          <cell r="F242" t="str">
            <v xml:space="preserve"> 0</v>
          </cell>
          <cell r="G242" t="str">
            <v xml:space="preserve"> 0</v>
          </cell>
          <cell r="H242" t="str">
            <v xml:space="preserve"> 0</v>
          </cell>
          <cell r="I242" t="str">
            <v xml:space="preserve"> 0</v>
          </cell>
          <cell r="K242" t="str">
            <v xml:space="preserve"> 0</v>
          </cell>
          <cell r="L242" t="str">
            <v xml:space="preserve"> 0</v>
          </cell>
          <cell r="M242" t="str">
            <v xml:space="preserve"> 0</v>
          </cell>
          <cell r="N242" t="str">
            <v xml:space="preserve"> 0</v>
          </cell>
          <cell r="O242" t="str">
            <v xml:space="preserve"> 0</v>
          </cell>
          <cell r="P242" t="str">
            <v xml:space="preserve"> 0</v>
          </cell>
          <cell r="Q242" t="str">
            <v xml:space="preserve"> 0</v>
          </cell>
          <cell r="R242" t="str">
            <v xml:space="preserve"> 0</v>
          </cell>
          <cell r="S242" t="str">
            <v xml:space="preserve"> 0</v>
          </cell>
          <cell r="T242" t="str">
            <v xml:space="preserve"> 0</v>
          </cell>
          <cell r="U242" t="str">
            <v xml:space="preserve"> 0</v>
          </cell>
          <cell r="V242">
            <v>9.3999999999999994E-5</v>
          </cell>
          <cell r="W242" t="str">
            <v xml:space="preserve"> 0</v>
          </cell>
          <cell r="X242">
            <v>9.3999999999999994E-5</v>
          </cell>
          <cell r="Z242">
            <v>9.3999999999999994E-5</v>
          </cell>
        </row>
        <row r="243">
          <cell r="F243" t="str">
            <v xml:space="preserve"> 0</v>
          </cell>
          <cell r="G243" t="str">
            <v xml:space="preserve"> 0</v>
          </cell>
          <cell r="H243" t="str">
            <v xml:space="preserve"> 0</v>
          </cell>
          <cell r="I243" t="str">
            <v xml:space="preserve"> 0</v>
          </cell>
          <cell r="K243" t="str">
            <v xml:space="preserve"> 0</v>
          </cell>
          <cell r="L243" t="str">
            <v xml:space="preserve"> 0</v>
          </cell>
          <cell r="M243" t="str">
            <v xml:space="preserve"> 0</v>
          </cell>
          <cell r="N243" t="str">
            <v xml:space="preserve"> 0</v>
          </cell>
          <cell r="O243" t="str">
            <v xml:space="preserve"> 0</v>
          </cell>
          <cell r="P243" t="str">
            <v xml:space="preserve"> 0</v>
          </cell>
          <cell r="Q243" t="str">
            <v xml:space="preserve"> 0</v>
          </cell>
          <cell r="R243" t="str">
            <v xml:space="preserve"> 0</v>
          </cell>
          <cell r="S243" t="str">
            <v xml:space="preserve"> 0</v>
          </cell>
          <cell r="T243" t="str">
            <v xml:space="preserve"> 0</v>
          </cell>
          <cell r="U243" t="str">
            <v xml:space="preserve"> 0</v>
          </cell>
          <cell r="V243" t="str">
            <v xml:space="preserve"> 0</v>
          </cell>
          <cell r="W243" t="str">
            <v xml:space="preserve"> 0</v>
          </cell>
          <cell r="X243" t="str">
            <v xml:space="preserve"> 0</v>
          </cell>
          <cell r="Z243" t="str">
            <v xml:space="preserve"> 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9.9999999999999991E-5</v>
          </cell>
          <cell r="W245">
            <v>0</v>
          </cell>
          <cell r="X245">
            <v>9.9999999999999991E-5</v>
          </cell>
          <cell r="Y245">
            <v>0</v>
          </cell>
          <cell r="Z245">
            <v>9.9999999999999991E-5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</row>
        <row r="248">
          <cell r="F248" t="str">
            <v xml:space="preserve"> 0</v>
          </cell>
          <cell r="G248" t="str">
            <v xml:space="preserve"> 0</v>
          </cell>
          <cell r="H248" t="str">
            <v xml:space="preserve"> 0</v>
          </cell>
          <cell r="I248" t="str">
            <v xml:space="preserve"> 0</v>
          </cell>
          <cell r="K248" t="str">
            <v xml:space="preserve"> 0</v>
          </cell>
          <cell r="L248" t="str">
            <v xml:space="preserve"> 0</v>
          </cell>
          <cell r="M248" t="str">
            <v xml:space="preserve"> 0</v>
          </cell>
          <cell r="N248" t="str">
            <v xml:space="preserve"> 0</v>
          </cell>
          <cell r="O248" t="str">
            <v xml:space="preserve"> 0</v>
          </cell>
          <cell r="P248" t="str">
            <v xml:space="preserve"> 0</v>
          </cell>
          <cell r="Q248" t="str">
            <v xml:space="preserve"> 0</v>
          </cell>
          <cell r="R248" t="str">
            <v xml:space="preserve"> 0</v>
          </cell>
          <cell r="S248" t="str">
            <v xml:space="preserve"> 0</v>
          </cell>
          <cell r="T248" t="str">
            <v xml:space="preserve"> 0</v>
          </cell>
          <cell r="U248" t="str">
            <v xml:space="preserve"> 0</v>
          </cell>
          <cell r="V248" t="str">
            <v xml:space="preserve"> 0</v>
          </cell>
          <cell r="W248" t="str">
            <v xml:space="preserve"> 0</v>
          </cell>
          <cell r="X248" t="str">
            <v xml:space="preserve"> 0</v>
          </cell>
          <cell r="Z248" t="str">
            <v xml:space="preserve"> 0</v>
          </cell>
        </row>
        <row r="249">
          <cell r="F249" t="str">
            <v xml:space="preserve"> 0</v>
          </cell>
          <cell r="G249" t="str">
            <v xml:space="preserve"> 0</v>
          </cell>
          <cell r="H249" t="str">
            <v xml:space="preserve"> 0</v>
          </cell>
          <cell r="I249" t="str">
            <v xml:space="preserve"> 0</v>
          </cell>
          <cell r="K249" t="str">
            <v xml:space="preserve"> 0</v>
          </cell>
          <cell r="L249" t="str">
            <v xml:space="preserve"> 0</v>
          </cell>
          <cell r="M249" t="str">
            <v xml:space="preserve"> 0</v>
          </cell>
          <cell r="N249" t="str">
            <v xml:space="preserve"> 0</v>
          </cell>
          <cell r="O249" t="str">
            <v xml:space="preserve"> 0</v>
          </cell>
          <cell r="P249" t="str">
            <v xml:space="preserve"> 0</v>
          </cell>
          <cell r="Q249" t="str">
            <v xml:space="preserve"> 0</v>
          </cell>
          <cell r="R249" t="str">
            <v xml:space="preserve"> 0</v>
          </cell>
          <cell r="S249" t="str">
            <v xml:space="preserve"> 0</v>
          </cell>
          <cell r="T249" t="str">
            <v xml:space="preserve"> 0</v>
          </cell>
          <cell r="U249" t="str">
            <v xml:space="preserve"> 0</v>
          </cell>
          <cell r="V249">
            <v>6.3599999999999996E-4</v>
          </cell>
          <cell r="W249" t="str">
            <v xml:space="preserve"> 0</v>
          </cell>
          <cell r="X249">
            <v>6.3599999999999996E-4</v>
          </cell>
          <cell r="Z249">
            <v>6.3599999999999996E-4</v>
          </cell>
        </row>
        <row r="250">
          <cell r="F250" t="str">
            <v xml:space="preserve"> 0</v>
          </cell>
          <cell r="G250" t="str">
            <v xml:space="preserve"> 0</v>
          </cell>
          <cell r="H250" t="str">
            <v xml:space="preserve"> 0</v>
          </cell>
          <cell r="I250" t="str">
            <v xml:space="preserve"> 0</v>
          </cell>
          <cell r="K250" t="str">
            <v xml:space="preserve"> 0</v>
          </cell>
          <cell r="L250" t="str">
            <v xml:space="preserve"> 0</v>
          </cell>
          <cell r="M250" t="str">
            <v xml:space="preserve"> 0</v>
          </cell>
          <cell r="N250" t="str">
            <v xml:space="preserve"> 0</v>
          </cell>
          <cell r="O250" t="str">
            <v xml:space="preserve"> 0</v>
          </cell>
          <cell r="P250" t="str">
            <v xml:space="preserve"> 0</v>
          </cell>
          <cell r="Q250" t="str">
            <v xml:space="preserve"> 0</v>
          </cell>
          <cell r="R250" t="str">
            <v xml:space="preserve"> 0</v>
          </cell>
          <cell r="S250" t="str">
            <v xml:space="preserve"> 0</v>
          </cell>
          <cell r="T250" t="str">
            <v xml:space="preserve"> 0</v>
          </cell>
          <cell r="U250" t="str">
            <v xml:space="preserve"> 0</v>
          </cell>
          <cell r="V250" t="str">
            <v xml:space="preserve"> 0</v>
          </cell>
          <cell r="W250" t="str">
            <v xml:space="preserve"> 0</v>
          </cell>
          <cell r="X250" t="str">
            <v xml:space="preserve"> 0</v>
          </cell>
          <cell r="Z250" t="str">
            <v xml:space="preserve"> 0</v>
          </cell>
        </row>
        <row r="252">
          <cell r="F252" t="str">
            <v xml:space="preserve"> 0</v>
          </cell>
          <cell r="G252" t="str">
            <v xml:space="preserve"> 0</v>
          </cell>
          <cell r="H252" t="str">
            <v xml:space="preserve"> 0</v>
          </cell>
          <cell r="I252" t="str">
            <v xml:space="preserve"> 0</v>
          </cell>
          <cell r="K252" t="str">
            <v xml:space="preserve"> 0</v>
          </cell>
          <cell r="L252" t="str">
            <v xml:space="preserve"> 0</v>
          </cell>
          <cell r="M252" t="str">
            <v xml:space="preserve"> 0</v>
          </cell>
          <cell r="N252" t="str">
            <v xml:space="preserve"> 0</v>
          </cell>
          <cell r="O252" t="str">
            <v xml:space="preserve"> 0</v>
          </cell>
          <cell r="P252" t="str">
            <v xml:space="preserve"> 0</v>
          </cell>
          <cell r="Q252" t="str">
            <v xml:space="preserve"> 0</v>
          </cell>
          <cell r="R252" t="str">
            <v xml:space="preserve"> 0</v>
          </cell>
          <cell r="S252" t="str">
            <v xml:space="preserve"> 0</v>
          </cell>
          <cell r="T252" t="str">
            <v xml:space="preserve"> 0</v>
          </cell>
          <cell r="U252" t="str">
            <v xml:space="preserve"> 0</v>
          </cell>
          <cell r="V252" t="str">
            <v xml:space="preserve"> 0</v>
          </cell>
          <cell r="W252" t="str">
            <v xml:space="preserve"> 0</v>
          </cell>
          <cell r="X252" t="str">
            <v xml:space="preserve"> 0</v>
          </cell>
          <cell r="Z252" t="str">
            <v xml:space="preserve"> 0</v>
          </cell>
        </row>
        <row r="253">
          <cell r="F253" t="str">
            <v xml:space="preserve"> 0</v>
          </cell>
          <cell r="G253" t="str">
            <v xml:space="preserve"> 0</v>
          </cell>
          <cell r="H253" t="str">
            <v xml:space="preserve"> 0</v>
          </cell>
          <cell r="I253" t="str">
            <v xml:space="preserve"> 0</v>
          </cell>
          <cell r="K253" t="str">
            <v xml:space="preserve"> 0</v>
          </cell>
          <cell r="L253">
            <v>4.26E-4</v>
          </cell>
          <cell r="M253" t="str">
            <v xml:space="preserve"> 0</v>
          </cell>
          <cell r="N253">
            <v>4.26E-4</v>
          </cell>
          <cell r="O253">
            <v>4.26E-4</v>
          </cell>
          <cell r="P253" t="str">
            <v xml:space="preserve"> 0</v>
          </cell>
          <cell r="Q253" t="str">
            <v xml:space="preserve"> 0</v>
          </cell>
          <cell r="R253" t="str">
            <v xml:space="preserve"> 0</v>
          </cell>
          <cell r="S253" t="str">
            <v xml:space="preserve"> 0</v>
          </cell>
          <cell r="T253">
            <v>4.26E-4</v>
          </cell>
          <cell r="U253" t="str">
            <v xml:space="preserve"> 0</v>
          </cell>
          <cell r="V253">
            <v>-3.0000000000000003E-4</v>
          </cell>
          <cell r="W253" t="str">
            <v xml:space="preserve"> 0</v>
          </cell>
          <cell r="X253">
            <v>-3.0000000000000003E-4</v>
          </cell>
          <cell r="Z253">
            <v>1.2599999999999997E-4</v>
          </cell>
        </row>
        <row r="254">
          <cell r="F254" t="str">
            <v xml:space="preserve"> 0</v>
          </cell>
          <cell r="G254" t="str">
            <v xml:space="preserve"> 0</v>
          </cell>
          <cell r="H254" t="str">
            <v xml:space="preserve"> 0</v>
          </cell>
          <cell r="I254" t="str">
            <v xml:space="preserve"> 0</v>
          </cell>
          <cell r="K254" t="str">
            <v xml:space="preserve"> 0</v>
          </cell>
          <cell r="L254" t="str">
            <v xml:space="preserve"> 0</v>
          </cell>
          <cell r="M254" t="str">
            <v xml:space="preserve"> 0</v>
          </cell>
          <cell r="N254" t="str">
            <v xml:space="preserve"> 0</v>
          </cell>
          <cell r="O254" t="str">
            <v xml:space="preserve"> 0</v>
          </cell>
          <cell r="P254" t="str">
            <v xml:space="preserve"> 0</v>
          </cell>
          <cell r="Q254" t="str">
            <v xml:space="preserve"> 0</v>
          </cell>
          <cell r="R254" t="str">
            <v xml:space="preserve"> 0</v>
          </cell>
          <cell r="S254" t="str">
            <v xml:space="preserve"> 0</v>
          </cell>
          <cell r="T254" t="str">
            <v xml:space="preserve"> 0</v>
          </cell>
          <cell r="U254" t="str">
            <v xml:space="preserve"> 0</v>
          </cell>
          <cell r="V254" t="str">
            <v xml:space="preserve"> 0</v>
          </cell>
          <cell r="W254" t="str">
            <v xml:space="preserve"> 0</v>
          </cell>
          <cell r="X254" t="str">
            <v xml:space="preserve"> 0</v>
          </cell>
          <cell r="Z254" t="str">
            <v xml:space="preserve"> 0</v>
          </cell>
        </row>
        <row r="256">
          <cell r="F256" t="str">
            <v xml:space="preserve"> 0</v>
          </cell>
          <cell r="G256" t="str">
            <v xml:space="preserve"> 0</v>
          </cell>
          <cell r="H256" t="str">
            <v xml:space="preserve"> 0</v>
          </cell>
          <cell r="I256" t="str">
            <v xml:space="preserve"> 0</v>
          </cell>
          <cell r="K256" t="str">
            <v xml:space="preserve"> 0</v>
          </cell>
          <cell r="L256" t="str">
            <v xml:space="preserve"> 0</v>
          </cell>
          <cell r="M256" t="str">
            <v xml:space="preserve"> 0</v>
          </cell>
          <cell r="N256" t="str">
            <v xml:space="preserve"> 0</v>
          </cell>
          <cell r="O256" t="str">
            <v xml:space="preserve"> 0</v>
          </cell>
          <cell r="P256" t="str">
            <v xml:space="preserve"> 0</v>
          </cell>
          <cell r="Q256" t="str">
            <v xml:space="preserve"> 0</v>
          </cell>
          <cell r="R256" t="str">
            <v xml:space="preserve"> 0</v>
          </cell>
          <cell r="S256" t="str">
            <v xml:space="preserve"> 0</v>
          </cell>
          <cell r="T256" t="str">
            <v xml:space="preserve"> 0</v>
          </cell>
          <cell r="U256" t="str">
            <v xml:space="preserve"> 0</v>
          </cell>
          <cell r="V256" t="str">
            <v xml:space="preserve"> 0</v>
          </cell>
          <cell r="W256" t="str">
            <v xml:space="preserve"> 0</v>
          </cell>
          <cell r="X256" t="str">
            <v xml:space="preserve"> 0</v>
          </cell>
          <cell r="Z256" t="str">
            <v xml:space="preserve"> 0</v>
          </cell>
        </row>
        <row r="257">
          <cell r="F257" t="str">
            <v xml:space="preserve"> 0</v>
          </cell>
          <cell r="G257" t="str">
            <v xml:space="preserve"> 0</v>
          </cell>
          <cell r="H257" t="str">
            <v xml:space="preserve"> 0</v>
          </cell>
          <cell r="I257" t="str">
            <v xml:space="preserve"> 0</v>
          </cell>
          <cell r="K257" t="str">
            <v xml:space="preserve"> 0</v>
          </cell>
          <cell r="L257" t="str">
            <v xml:space="preserve"> 0</v>
          </cell>
          <cell r="M257" t="str">
            <v xml:space="preserve"> 0</v>
          </cell>
          <cell r="N257" t="str">
            <v xml:space="preserve"> 0</v>
          </cell>
          <cell r="O257" t="str">
            <v xml:space="preserve"> 0</v>
          </cell>
          <cell r="P257" t="str">
            <v xml:space="preserve"> 0</v>
          </cell>
          <cell r="Q257" t="str">
            <v xml:space="preserve"> 0</v>
          </cell>
          <cell r="R257" t="str">
            <v xml:space="preserve"> 0</v>
          </cell>
          <cell r="S257" t="str">
            <v xml:space="preserve"> 0</v>
          </cell>
          <cell r="T257" t="str">
            <v xml:space="preserve"> 0</v>
          </cell>
          <cell r="U257" t="str">
            <v xml:space="preserve"> 0</v>
          </cell>
          <cell r="V257">
            <v>5.7000000000000003E-5</v>
          </cell>
          <cell r="W257" t="str">
            <v xml:space="preserve"> 0</v>
          </cell>
          <cell r="X257">
            <v>5.7000000000000003E-5</v>
          </cell>
          <cell r="Z257">
            <v>5.7000000000000003E-5</v>
          </cell>
        </row>
        <row r="258">
          <cell r="F258" t="str">
            <v xml:space="preserve"> 0</v>
          </cell>
          <cell r="G258" t="str">
            <v xml:space="preserve"> 0</v>
          </cell>
          <cell r="H258" t="str">
            <v xml:space="preserve"> 0</v>
          </cell>
          <cell r="I258" t="str">
            <v xml:space="preserve"> 0</v>
          </cell>
          <cell r="K258" t="str">
            <v xml:space="preserve"> 0</v>
          </cell>
          <cell r="L258" t="str">
            <v xml:space="preserve"> 0</v>
          </cell>
          <cell r="M258" t="str">
            <v xml:space="preserve"> 0</v>
          </cell>
          <cell r="N258" t="str">
            <v xml:space="preserve"> 0</v>
          </cell>
          <cell r="O258" t="str">
            <v xml:space="preserve"> 0</v>
          </cell>
          <cell r="P258" t="str">
            <v xml:space="preserve"> 0</v>
          </cell>
          <cell r="Q258" t="str">
            <v xml:space="preserve"> 0</v>
          </cell>
          <cell r="R258" t="str">
            <v xml:space="preserve"> 0</v>
          </cell>
          <cell r="S258" t="str">
            <v xml:space="preserve"> 0</v>
          </cell>
          <cell r="T258" t="str">
            <v xml:space="preserve"> 0</v>
          </cell>
          <cell r="U258" t="str">
            <v xml:space="preserve"> 0</v>
          </cell>
          <cell r="V258" t="str">
            <v xml:space="preserve"> 0</v>
          </cell>
          <cell r="W258" t="str">
            <v xml:space="preserve"> 0</v>
          </cell>
          <cell r="X258" t="str">
            <v xml:space="preserve"> 0</v>
          </cell>
          <cell r="Z258" t="str">
            <v xml:space="preserve"> 0</v>
          </cell>
        </row>
        <row r="260">
          <cell r="F260" t="str">
            <v xml:space="preserve"> 0</v>
          </cell>
          <cell r="G260" t="str">
            <v xml:space="preserve"> 0</v>
          </cell>
          <cell r="H260" t="str">
            <v xml:space="preserve"> 0</v>
          </cell>
          <cell r="I260" t="str">
            <v xml:space="preserve"> 0</v>
          </cell>
          <cell r="K260" t="str">
            <v xml:space="preserve"> 0</v>
          </cell>
          <cell r="L260" t="str">
            <v xml:space="preserve"> 0</v>
          </cell>
          <cell r="M260" t="str">
            <v xml:space="preserve"> 0</v>
          </cell>
          <cell r="N260" t="str">
            <v xml:space="preserve"> 0</v>
          </cell>
          <cell r="O260" t="str">
            <v xml:space="preserve"> 0</v>
          </cell>
          <cell r="P260" t="str">
            <v xml:space="preserve"> 0</v>
          </cell>
          <cell r="Q260" t="str">
            <v xml:space="preserve"> 0</v>
          </cell>
          <cell r="R260" t="str">
            <v xml:space="preserve"> 0</v>
          </cell>
          <cell r="S260" t="str">
            <v xml:space="preserve"> 0</v>
          </cell>
          <cell r="T260" t="str">
            <v xml:space="preserve"> 0</v>
          </cell>
          <cell r="U260" t="str">
            <v xml:space="preserve"> 0</v>
          </cell>
          <cell r="V260" t="str">
            <v xml:space="preserve"> 0</v>
          </cell>
          <cell r="W260" t="str">
            <v xml:space="preserve"> 0</v>
          </cell>
          <cell r="X260" t="str">
            <v xml:space="preserve"> 0</v>
          </cell>
          <cell r="Z260" t="str">
            <v xml:space="preserve"> 0</v>
          </cell>
        </row>
        <row r="261">
          <cell r="F261" t="str">
            <v xml:space="preserve"> 0</v>
          </cell>
          <cell r="G261" t="str">
            <v xml:space="preserve"> 0</v>
          </cell>
          <cell r="H261" t="str">
            <v xml:space="preserve"> 0</v>
          </cell>
          <cell r="I261" t="str">
            <v xml:space="preserve"> 0</v>
          </cell>
          <cell r="K261" t="str">
            <v xml:space="preserve"> 0</v>
          </cell>
          <cell r="L261">
            <v>4.26E-4</v>
          </cell>
          <cell r="M261" t="str">
            <v xml:space="preserve"> 0</v>
          </cell>
          <cell r="N261">
            <v>4.26E-4</v>
          </cell>
          <cell r="O261">
            <v>4.26E-4</v>
          </cell>
          <cell r="P261" t="str">
            <v xml:space="preserve"> 0</v>
          </cell>
          <cell r="Q261" t="str">
            <v xml:space="preserve"> 0</v>
          </cell>
          <cell r="R261" t="str">
            <v xml:space="preserve"> 0</v>
          </cell>
          <cell r="S261" t="str">
            <v xml:space="preserve"> 0</v>
          </cell>
          <cell r="T261">
            <v>4.26E-4</v>
          </cell>
          <cell r="U261" t="str">
            <v xml:space="preserve"> 0</v>
          </cell>
          <cell r="V261">
            <v>5.1799999999999991E-4</v>
          </cell>
          <cell r="W261" t="str">
            <v xml:space="preserve"> 0</v>
          </cell>
          <cell r="X261">
            <v>5.1799999999999991E-4</v>
          </cell>
          <cell r="Z261">
            <v>9.4399999999999996E-4</v>
          </cell>
        </row>
        <row r="262">
          <cell r="F262" t="str">
            <v xml:space="preserve"> 0</v>
          </cell>
          <cell r="G262" t="str">
            <v xml:space="preserve"> 0</v>
          </cell>
          <cell r="H262" t="str">
            <v xml:space="preserve"> 0</v>
          </cell>
          <cell r="I262" t="str">
            <v xml:space="preserve"> 0</v>
          </cell>
          <cell r="K262" t="str">
            <v xml:space="preserve"> 0</v>
          </cell>
          <cell r="L262" t="str">
            <v xml:space="preserve"> 0</v>
          </cell>
          <cell r="M262" t="str">
            <v xml:space="preserve"> 0</v>
          </cell>
          <cell r="N262" t="str">
            <v xml:space="preserve"> 0</v>
          </cell>
          <cell r="O262" t="str">
            <v xml:space="preserve"> 0</v>
          </cell>
          <cell r="P262" t="str">
            <v xml:space="preserve"> 0</v>
          </cell>
          <cell r="Q262" t="str">
            <v xml:space="preserve"> 0</v>
          </cell>
          <cell r="R262" t="str">
            <v xml:space="preserve"> 0</v>
          </cell>
          <cell r="S262" t="str">
            <v xml:space="preserve"> 0</v>
          </cell>
          <cell r="T262" t="str">
            <v xml:space="preserve"> 0</v>
          </cell>
          <cell r="U262" t="str">
            <v xml:space="preserve"> 0</v>
          </cell>
          <cell r="V262" t="str">
            <v xml:space="preserve"> 0</v>
          </cell>
          <cell r="W262" t="str">
            <v xml:space="preserve"> 0</v>
          </cell>
          <cell r="X262" t="str">
            <v xml:space="preserve"> 0</v>
          </cell>
          <cell r="Z262" t="str">
            <v xml:space="preserve"> 0</v>
          </cell>
        </row>
        <row r="264">
          <cell r="F264">
            <v>1.3182670000000001</v>
          </cell>
          <cell r="G264">
            <v>1.4470859999999999</v>
          </cell>
          <cell r="H264">
            <v>1.8605080000000003</v>
          </cell>
          <cell r="I264">
            <v>4.6258609999999996</v>
          </cell>
          <cell r="K264">
            <v>1.2743059999999999</v>
          </cell>
          <cell r="L264">
            <v>1.5578340000000004</v>
          </cell>
          <cell r="M264">
            <v>2.7325459999999997</v>
          </cell>
          <cell r="N264">
            <v>5.5646860000000009</v>
          </cell>
          <cell r="O264">
            <v>10.190547</v>
          </cell>
          <cell r="P264">
            <v>1.6423289999999995</v>
          </cell>
          <cell r="Q264">
            <v>1.4367699999999999</v>
          </cell>
          <cell r="R264">
            <v>2.3611709999999997</v>
          </cell>
          <cell r="S264">
            <v>5.4402700000000008</v>
          </cell>
          <cell r="T264">
            <v>15.630817</v>
          </cell>
          <cell r="U264">
            <v>1.210083</v>
          </cell>
          <cell r="V264">
            <v>1.5843340000000001</v>
          </cell>
          <cell r="W264" t="str">
            <v xml:space="preserve"> 0</v>
          </cell>
          <cell r="X264">
            <v>2.7944169999999997</v>
          </cell>
          <cell r="Z264">
            <v>18.425234</v>
          </cell>
        </row>
        <row r="265">
          <cell r="F265">
            <v>0.72803200000000012</v>
          </cell>
          <cell r="G265">
            <v>0.67070899999999978</v>
          </cell>
          <cell r="H265">
            <v>0.69743000000000033</v>
          </cell>
          <cell r="I265">
            <v>2.096171</v>
          </cell>
          <cell r="K265">
            <v>0.66299700000000006</v>
          </cell>
          <cell r="L265">
            <v>0.83629800000000043</v>
          </cell>
          <cell r="M265">
            <v>1.2407949999999996</v>
          </cell>
          <cell r="N265">
            <v>2.7400900000000012</v>
          </cell>
          <cell r="O265">
            <v>4.8362610000000013</v>
          </cell>
          <cell r="P265">
            <v>0.84872099999999961</v>
          </cell>
          <cell r="Q265">
            <v>0.41359500000000005</v>
          </cell>
          <cell r="R265">
            <v>1.1309529999999999</v>
          </cell>
          <cell r="S265">
            <v>2.3932690000000005</v>
          </cell>
          <cell r="T265">
            <v>7.2295300000000022</v>
          </cell>
          <cell r="U265">
            <v>0.30117799999999983</v>
          </cell>
          <cell r="V265">
            <v>0.51034900000000016</v>
          </cell>
          <cell r="W265" t="str">
            <v xml:space="preserve"> 0</v>
          </cell>
          <cell r="X265">
            <v>0.81152699999999978</v>
          </cell>
          <cell r="Z265">
            <v>8.0410570000000021</v>
          </cell>
        </row>
        <row r="266">
          <cell r="F266">
            <v>2.8503999999999995E-2</v>
          </cell>
          <cell r="G266">
            <v>4.1911000000000004E-2</v>
          </cell>
          <cell r="H266">
            <v>0.112912</v>
          </cell>
          <cell r="I266">
            <v>0.18332700000000002</v>
          </cell>
          <cell r="K266">
            <v>4.4424000000000005E-2</v>
          </cell>
          <cell r="L266">
            <v>6.5689999999999998E-2</v>
          </cell>
          <cell r="M266">
            <v>6.9863000000000008E-2</v>
          </cell>
          <cell r="N266">
            <v>0.179977</v>
          </cell>
          <cell r="O266">
            <v>0.36330400000000002</v>
          </cell>
          <cell r="P266">
            <v>5.1036000000000005E-2</v>
          </cell>
          <cell r="Q266">
            <v>6.745000000000001E-2</v>
          </cell>
          <cell r="R266">
            <v>2.1378000000000001E-2</v>
          </cell>
          <cell r="S266">
            <v>0.13986400000000002</v>
          </cell>
          <cell r="T266">
            <v>0.50316800000000006</v>
          </cell>
          <cell r="U266">
            <v>6.2145000000000006E-2</v>
          </cell>
          <cell r="V266">
            <v>6.0589000000000004E-2</v>
          </cell>
          <cell r="W266" t="str">
            <v xml:space="preserve"> 0</v>
          </cell>
          <cell r="X266">
            <v>0.12273400000000001</v>
          </cell>
          <cell r="Z266">
            <v>0.62590200000000007</v>
          </cell>
        </row>
        <row r="268">
          <cell r="F268" t="str">
            <v xml:space="preserve"> 0</v>
          </cell>
          <cell r="G268" t="str">
            <v xml:space="preserve"> 0</v>
          </cell>
          <cell r="H268" t="str">
            <v xml:space="preserve"> 0</v>
          </cell>
          <cell r="I268" t="str">
            <v xml:space="preserve"> 0</v>
          </cell>
          <cell r="K268" t="str">
            <v xml:space="preserve"> 0</v>
          </cell>
          <cell r="L268" t="str">
            <v xml:space="preserve"> 0</v>
          </cell>
          <cell r="M268" t="str">
            <v xml:space="preserve"> 0</v>
          </cell>
          <cell r="N268" t="str">
            <v xml:space="preserve"> 0</v>
          </cell>
          <cell r="O268" t="str">
            <v xml:space="preserve"> 0</v>
          </cell>
          <cell r="P268" t="str">
            <v xml:space="preserve"> 0</v>
          </cell>
          <cell r="Q268" t="str">
            <v xml:space="preserve"> 0</v>
          </cell>
          <cell r="R268" t="str">
            <v xml:space="preserve"> 0</v>
          </cell>
          <cell r="S268" t="str">
            <v xml:space="preserve"> 0</v>
          </cell>
          <cell r="T268" t="str">
            <v xml:space="preserve"> 0</v>
          </cell>
          <cell r="U268" t="str">
            <v xml:space="preserve"> 0</v>
          </cell>
          <cell r="V268" t="str">
            <v xml:space="preserve"> 0</v>
          </cell>
          <cell r="W268" t="str">
            <v xml:space="preserve"> 0</v>
          </cell>
          <cell r="X268" t="str">
            <v xml:space="preserve"> 0</v>
          </cell>
          <cell r="Z268" t="str">
            <v xml:space="preserve"> 0</v>
          </cell>
        </row>
        <row r="269">
          <cell r="F269" t="str">
            <v xml:space="preserve"> 0</v>
          </cell>
          <cell r="G269" t="str">
            <v xml:space="preserve"> 0</v>
          </cell>
          <cell r="H269" t="str">
            <v xml:space="preserve"> 0</v>
          </cell>
          <cell r="I269" t="str">
            <v xml:space="preserve"> 0</v>
          </cell>
          <cell r="K269" t="str">
            <v xml:space="preserve"> 0</v>
          </cell>
          <cell r="L269" t="str">
            <v xml:space="preserve"> 0</v>
          </cell>
          <cell r="M269" t="str">
            <v xml:space="preserve"> 0</v>
          </cell>
          <cell r="N269" t="str">
            <v xml:space="preserve"> 0</v>
          </cell>
          <cell r="O269" t="str">
            <v xml:space="preserve"> 0</v>
          </cell>
          <cell r="P269" t="str">
            <v xml:space="preserve"> 0</v>
          </cell>
          <cell r="Q269" t="str">
            <v xml:space="preserve"> 0</v>
          </cell>
          <cell r="R269" t="str">
            <v xml:space="preserve"> 0</v>
          </cell>
          <cell r="S269" t="str">
            <v xml:space="preserve"> 0</v>
          </cell>
          <cell r="T269" t="str">
            <v xml:space="preserve"> 0</v>
          </cell>
          <cell r="U269" t="str">
            <v xml:space="preserve"> 0</v>
          </cell>
          <cell r="V269" t="str">
            <v xml:space="preserve"> 0</v>
          </cell>
          <cell r="W269" t="str">
            <v xml:space="preserve"> 0</v>
          </cell>
          <cell r="X269" t="str">
            <v xml:space="preserve"> 0</v>
          </cell>
          <cell r="Z269" t="str">
            <v xml:space="preserve"> 0</v>
          </cell>
        </row>
        <row r="270">
          <cell r="F270" t="str">
            <v xml:space="preserve"> 0</v>
          </cell>
          <cell r="G270" t="str">
            <v xml:space="preserve"> 0</v>
          </cell>
          <cell r="H270" t="str">
            <v xml:space="preserve"> 0</v>
          </cell>
          <cell r="I270" t="str">
            <v xml:space="preserve"> 0</v>
          </cell>
          <cell r="K270" t="str">
            <v xml:space="preserve"> 0</v>
          </cell>
          <cell r="L270" t="str">
            <v xml:space="preserve"> 0</v>
          </cell>
          <cell r="M270" t="str">
            <v xml:space="preserve"> 0</v>
          </cell>
          <cell r="N270" t="str">
            <v xml:space="preserve"> 0</v>
          </cell>
          <cell r="O270" t="str">
            <v xml:space="preserve"> 0</v>
          </cell>
          <cell r="P270" t="str">
            <v xml:space="preserve"> 0</v>
          </cell>
          <cell r="Q270" t="str">
            <v xml:space="preserve"> 0</v>
          </cell>
          <cell r="R270" t="str">
            <v xml:space="preserve"> 0</v>
          </cell>
          <cell r="S270" t="str">
            <v xml:space="preserve"> 0</v>
          </cell>
          <cell r="T270" t="str">
            <v xml:space="preserve"> 0</v>
          </cell>
          <cell r="U270" t="str">
            <v xml:space="preserve"> 0</v>
          </cell>
          <cell r="V270" t="str">
            <v xml:space="preserve"> 0</v>
          </cell>
          <cell r="W270" t="str">
            <v xml:space="preserve"> 0</v>
          </cell>
          <cell r="X270" t="str">
            <v xml:space="preserve"> 0</v>
          </cell>
          <cell r="Z270" t="str">
            <v xml:space="preserve"> 0</v>
          </cell>
        </row>
        <row r="272">
          <cell r="F272">
            <v>-7.6409999999999992E-2</v>
          </cell>
          <cell r="G272">
            <v>-7.0000000000002591E-6</v>
          </cell>
          <cell r="H272">
            <v>7.7318999999999999E-2</v>
          </cell>
          <cell r="I272">
            <v>9.0200000000000273E-4</v>
          </cell>
          <cell r="K272">
            <v>-4.7503999999999998E-2</v>
          </cell>
          <cell r="L272">
            <v>4.6600999999999997E-2</v>
          </cell>
          <cell r="M272">
            <v>0</v>
          </cell>
          <cell r="N272">
            <v>-9.0300000000000124E-4</v>
          </cell>
          <cell r="O272">
            <v>-9.9999999999850642E-7</v>
          </cell>
          <cell r="P272">
            <v>1.0000000000000842E-6</v>
          </cell>
          <cell r="Q272">
            <v>7.2999999999999864E-5</v>
          </cell>
          <cell r="R272">
            <v>9.0000000000000494E-6</v>
          </cell>
          <cell r="S272">
            <v>8.2999999999999998E-5</v>
          </cell>
          <cell r="T272">
            <v>8.2000000000001492E-5</v>
          </cell>
          <cell r="U272">
            <v>-3.0000000000001322E-6</v>
          </cell>
          <cell r="V272">
            <v>0</v>
          </cell>
          <cell r="W272" t="str">
            <v xml:space="preserve"> 0</v>
          </cell>
          <cell r="X272">
            <v>-3.0000000000001322E-6</v>
          </cell>
          <cell r="Z272">
            <v>7.9000000000001365E-5</v>
          </cell>
        </row>
        <row r="273">
          <cell r="F273">
            <v>-3.0399000000000016E-2</v>
          </cell>
          <cell r="G273">
            <v>-1.8029E-2</v>
          </cell>
          <cell r="H273">
            <v>4.8580000000000081E-3</v>
          </cell>
          <cell r="I273">
            <v>-4.3570000000000005E-2</v>
          </cell>
          <cell r="K273">
            <v>-7.5225E-2</v>
          </cell>
          <cell r="L273">
            <v>3.0678E-2</v>
          </cell>
          <cell r="M273">
            <v>3.8515999999999995E-2</v>
          </cell>
          <cell r="N273">
            <v>-6.0309999999999973E-3</v>
          </cell>
          <cell r="O273">
            <v>-4.9600999999999999E-2</v>
          </cell>
          <cell r="P273">
            <v>-4.0846E-2</v>
          </cell>
          <cell r="Q273">
            <v>-5.2664000000000002E-2</v>
          </cell>
          <cell r="R273">
            <v>-2.5704999999999995E-2</v>
          </cell>
          <cell r="S273">
            <v>-0.11921499999999999</v>
          </cell>
          <cell r="T273">
            <v>-0.16881599999999999</v>
          </cell>
          <cell r="U273">
            <v>4.2916999999999997E-2</v>
          </cell>
          <cell r="V273">
            <v>-1.5613000000000004E-2</v>
          </cell>
          <cell r="W273" t="str">
            <v xml:space="preserve"> 0</v>
          </cell>
          <cell r="X273">
            <v>2.7303999999999998E-2</v>
          </cell>
          <cell r="Z273">
            <v>-0.141512</v>
          </cell>
        </row>
        <row r="274">
          <cell r="F274">
            <v>0.199549</v>
          </cell>
          <cell r="G274">
            <v>0.13276500000000002</v>
          </cell>
          <cell r="H274">
            <v>0.31856299999999999</v>
          </cell>
          <cell r="I274">
            <v>0.65087699999999993</v>
          </cell>
          <cell r="K274">
            <v>0.33444400000000007</v>
          </cell>
          <cell r="L274">
            <v>0.25449000000000005</v>
          </cell>
          <cell r="M274">
            <v>0.36557100000000003</v>
          </cell>
          <cell r="N274">
            <v>0.95450499999999994</v>
          </cell>
          <cell r="O274">
            <v>1.6053819999999999</v>
          </cell>
          <cell r="P274">
            <v>0.17716399999999999</v>
          </cell>
          <cell r="Q274">
            <v>0.20383399999999999</v>
          </cell>
          <cell r="R274">
            <v>0.43730699999999995</v>
          </cell>
          <cell r="S274">
            <v>0.81830499999999995</v>
          </cell>
          <cell r="T274">
            <v>2.4236869999999997</v>
          </cell>
          <cell r="U274">
            <v>0.27142599999999995</v>
          </cell>
          <cell r="V274">
            <v>0.38490400000000002</v>
          </cell>
          <cell r="W274" t="str">
            <v xml:space="preserve"> 0</v>
          </cell>
          <cell r="X274">
            <v>0.65633000000000008</v>
          </cell>
          <cell r="Z274">
            <v>3.0800169999999998</v>
          </cell>
        </row>
        <row r="276">
          <cell r="F276">
            <v>1.3182670000000001</v>
          </cell>
          <cell r="G276">
            <v>1.4470859999999999</v>
          </cell>
          <cell r="H276">
            <v>1.8605080000000003</v>
          </cell>
          <cell r="I276">
            <v>4.6258609999999996</v>
          </cell>
          <cell r="K276">
            <v>1.2743059999999999</v>
          </cell>
          <cell r="L276">
            <v>1.5578340000000004</v>
          </cell>
          <cell r="M276">
            <v>2.7325459999999997</v>
          </cell>
          <cell r="N276">
            <v>5.5646860000000009</v>
          </cell>
          <cell r="O276">
            <v>10.190547</v>
          </cell>
          <cell r="P276">
            <v>1.6423289999999995</v>
          </cell>
          <cell r="Q276">
            <v>1.4367699999999999</v>
          </cell>
          <cell r="R276">
            <v>2.3611709999999997</v>
          </cell>
          <cell r="S276">
            <v>5.4402700000000008</v>
          </cell>
          <cell r="T276">
            <v>15.630817</v>
          </cell>
          <cell r="U276">
            <v>1.210083</v>
          </cell>
          <cell r="V276">
            <v>1.5843340000000001</v>
          </cell>
          <cell r="W276" t="str">
            <v xml:space="preserve"> 0</v>
          </cell>
          <cell r="X276">
            <v>2.7944169999999997</v>
          </cell>
          <cell r="Z276">
            <v>18.425234</v>
          </cell>
        </row>
        <row r="277">
          <cell r="F277">
            <v>0.72803200000000012</v>
          </cell>
          <cell r="G277">
            <v>0.67070899999999978</v>
          </cell>
          <cell r="H277">
            <v>0.69743000000000033</v>
          </cell>
          <cell r="I277">
            <v>2.096171</v>
          </cell>
          <cell r="K277">
            <v>0.66299700000000006</v>
          </cell>
          <cell r="L277">
            <v>0.83672400000000047</v>
          </cell>
          <cell r="M277">
            <v>1.2407949999999996</v>
          </cell>
          <cell r="N277">
            <v>2.7405160000000013</v>
          </cell>
          <cell r="O277">
            <v>4.8366870000000013</v>
          </cell>
          <cell r="P277">
            <v>0.84872099999999961</v>
          </cell>
          <cell r="Q277">
            <v>0.41359500000000005</v>
          </cell>
          <cell r="R277">
            <v>1.1309529999999999</v>
          </cell>
          <cell r="S277">
            <v>2.3932690000000005</v>
          </cell>
          <cell r="T277">
            <v>7.2299560000000014</v>
          </cell>
          <cell r="U277">
            <v>0.30117799999999983</v>
          </cell>
          <cell r="V277">
            <v>0.51087300000000013</v>
          </cell>
          <cell r="W277" t="str">
            <v xml:space="preserve"> 0</v>
          </cell>
          <cell r="X277">
            <v>0.81205099999999975</v>
          </cell>
          <cell r="Z277">
            <v>8.0420070000000017</v>
          </cell>
        </row>
        <row r="278">
          <cell r="F278">
            <v>2.8503999999999995E-2</v>
          </cell>
          <cell r="G278">
            <v>4.1911000000000004E-2</v>
          </cell>
          <cell r="H278">
            <v>0.112912</v>
          </cell>
          <cell r="I278">
            <v>0.18332700000000002</v>
          </cell>
          <cell r="K278">
            <v>4.4424000000000005E-2</v>
          </cell>
          <cell r="L278">
            <v>6.5689999999999998E-2</v>
          </cell>
          <cell r="M278">
            <v>6.9863000000000008E-2</v>
          </cell>
          <cell r="N278">
            <v>0.179977</v>
          </cell>
          <cell r="O278">
            <v>0.36330400000000002</v>
          </cell>
          <cell r="P278">
            <v>5.1036000000000005E-2</v>
          </cell>
          <cell r="Q278">
            <v>6.745000000000001E-2</v>
          </cell>
          <cell r="R278">
            <v>2.1378000000000001E-2</v>
          </cell>
          <cell r="S278">
            <v>0.13986400000000002</v>
          </cell>
          <cell r="T278">
            <v>0.50316800000000006</v>
          </cell>
          <cell r="U278">
            <v>6.2145000000000006E-2</v>
          </cell>
          <cell r="V278">
            <v>6.0589000000000004E-2</v>
          </cell>
          <cell r="W278" t="str">
            <v xml:space="preserve"> 0</v>
          </cell>
          <cell r="X278">
            <v>0.12273400000000001</v>
          </cell>
          <cell r="Z278">
            <v>0.62590200000000007</v>
          </cell>
        </row>
        <row r="280">
          <cell r="V280" t="str">
            <v xml:space="preserve"> 0</v>
          </cell>
          <cell r="W280" t="str">
            <v xml:space="preserve"> 0</v>
          </cell>
        </row>
        <row r="281">
          <cell r="V281" t="str">
            <v xml:space="preserve"> 0</v>
          </cell>
          <cell r="W281" t="str">
            <v xml:space="preserve"> 0</v>
          </cell>
        </row>
        <row r="282">
          <cell r="V282" t="str">
            <v xml:space="preserve"> 0</v>
          </cell>
          <cell r="W282" t="str">
            <v xml:space="preserve"> 0</v>
          </cell>
        </row>
        <row r="284">
          <cell r="F284">
            <v>7.842E-3</v>
          </cell>
          <cell r="G284">
            <v>4.3070000000000001E-3</v>
          </cell>
          <cell r="H284">
            <v>1.2336E-2</v>
          </cell>
          <cell r="I284">
            <v>2.4485000000000003E-2</v>
          </cell>
          <cell r="K284">
            <v>5.1310000000000001E-3</v>
          </cell>
          <cell r="L284">
            <v>9.3620000000000005E-3</v>
          </cell>
          <cell r="M284">
            <v>2.3497000000000001E-2</v>
          </cell>
          <cell r="N284">
            <v>3.7990000000000003E-2</v>
          </cell>
          <cell r="O284">
            <v>6.2475000000000003E-2</v>
          </cell>
          <cell r="P284">
            <v>3.7280000000000004E-3</v>
          </cell>
          <cell r="Q284">
            <v>7.3590000000000001E-3</v>
          </cell>
          <cell r="R284">
            <v>2.1819999999999999E-2</v>
          </cell>
          <cell r="S284">
            <v>3.2907000000000006E-2</v>
          </cell>
          <cell r="T284">
            <v>9.5382000000000008E-2</v>
          </cell>
          <cell r="U284">
            <v>4.3940000000000003E-3</v>
          </cell>
          <cell r="V284">
            <v>6.7349999999999997E-3</v>
          </cell>
          <cell r="W284" t="str">
            <v xml:space="preserve"> 0</v>
          </cell>
          <cell r="X284">
            <v>1.1129E-2</v>
          </cell>
          <cell r="Z284">
            <v>0.10651100000000001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SIT (2)"/>
      <sheetName val="ESTSIT"/>
      <sheetName val="ANASIT (2)"/>
      <sheetName val="ANASIT"/>
      <sheetName val="RECLASIF.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 xml:space="preserve"> CORPORA TRESMONTES S.A.</v>
          </cell>
        </row>
        <row r="3">
          <cell r="B3" t="str">
            <v>A MARZO 1999</v>
          </cell>
        </row>
        <row r="5">
          <cell r="B5" t="str">
            <v>A C T I V O   C I R C U L A N T E</v>
          </cell>
        </row>
        <row r="6">
          <cell r="C6" t="str">
            <v>Marzo</v>
          </cell>
        </row>
        <row r="7">
          <cell r="B7" t="str">
            <v>DISPONIBLE</v>
          </cell>
          <cell r="C7">
            <v>173.70000000000002</v>
          </cell>
        </row>
        <row r="9">
          <cell r="B9" t="str">
            <v>Caja</v>
          </cell>
          <cell r="C9">
            <v>8.4</v>
          </cell>
        </row>
        <row r="10">
          <cell r="B10" t="str">
            <v>Fondo Fijo Santiago</v>
          </cell>
          <cell r="C10">
            <v>3.6000000000000005</v>
          </cell>
        </row>
        <row r="11">
          <cell r="B11" t="str">
            <v>Fondo Fijo Valparaiso</v>
          </cell>
        </row>
        <row r="12">
          <cell r="B12" t="str">
            <v>Fondo Fijo Casablanca</v>
          </cell>
        </row>
        <row r="13">
          <cell r="B13" t="str">
            <v>Fondo Fijo Bodega Casablanca</v>
          </cell>
        </row>
        <row r="14">
          <cell r="B14" t="str">
            <v>Fondo Fijo Juniors</v>
          </cell>
        </row>
        <row r="15">
          <cell r="B15" t="str">
            <v>Caja Gerencia Moneda Nacional</v>
          </cell>
        </row>
        <row r="16">
          <cell r="B16" t="str">
            <v>Caja Gerencia US$</v>
          </cell>
          <cell r="C16">
            <v>2.2999999999999998</v>
          </cell>
        </row>
        <row r="17">
          <cell r="B17" t="str">
            <v>Caja Gerencia Santiago US$</v>
          </cell>
        </row>
        <row r="18">
          <cell r="B18" t="str">
            <v>Cajas Otras Monedas</v>
          </cell>
          <cell r="C18">
            <v>2.5</v>
          </cell>
        </row>
        <row r="20">
          <cell r="B20" t="str">
            <v>Banco</v>
          </cell>
          <cell r="C20">
            <v>165.3</v>
          </cell>
        </row>
        <row r="21">
          <cell r="B21" t="str">
            <v>Bancos</v>
          </cell>
          <cell r="C21">
            <v>65.8</v>
          </cell>
        </row>
        <row r="22">
          <cell r="B22" t="str">
            <v>Bancos US$</v>
          </cell>
          <cell r="C22">
            <v>99.5</v>
          </cell>
        </row>
        <row r="24">
          <cell r="B24" t="str">
            <v>Inversiones</v>
          </cell>
          <cell r="C24">
            <v>0</v>
          </cell>
        </row>
        <row r="25">
          <cell r="B25" t="str">
            <v>Inversiones</v>
          </cell>
          <cell r="C25">
            <v>0</v>
          </cell>
        </row>
        <row r="27">
          <cell r="B27" t="str">
            <v>Documentos por Cobrar</v>
          </cell>
          <cell r="C27">
            <v>0</v>
          </cell>
        </row>
        <row r="28">
          <cell r="B28" t="str">
            <v xml:space="preserve">Cheques cartera </v>
          </cell>
          <cell r="C28">
            <v>0</v>
          </cell>
        </row>
        <row r="30">
          <cell r="B30" t="str">
            <v>VENTAS POR COBRAR</v>
          </cell>
          <cell r="C30">
            <v>-2130.1999999999998</v>
          </cell>
        </row>
        <row r="32">
          <cell r="B32" t="str">
            <v>Ventas Internacionales</v>
          </cell>
          <cell r="C32">
            <v>-2130.1999999999998</v>
          </cell>
        </row>
        <row r="33">
          <cell r="B33" t="str">
            <v>Clientes America</v>
          </cell>
          <cell r="C33">
            <v>693.2</v>
          </cell>
        </row>
        <row r="34">
          <cell r="B34" t="str">
            <v>Clientes Te</v>
          </cell>
          <cell r="C34">
            <v>96.3</v>
          </cell>
        </row>
        <row r="35">
          <cell r="B35" t="str">
            <v>Rodhas (UNR98)</v>
          </cell>
          <cell r="C35">
            <v>-2919.7</v>
          </cell>
        </row>
        <row r="37">
          <cell r="B37" t="str">
            <v>DEUDORES</v>
          </cell>
          <cell r="C37">
            <v>11226.5</v>
          </cell>
        </row>
        <row r="39">
          <cell r="B39" t="str">
            <v>Varios Deudores</v>
          </cell>
          <cell r="C39">
            <v>74.100000000000023</v>
          </cell>
        </row>
        <row r="40">
          <cell r="B40" t="str">
            <v>Anticipo Proveedores</v>
          </cell>
          <cell r="C40">
            <v>33.800000000000004</v>
          </cell>
        </row>
        <row r="41">
          <cell r="B41" t="str">
            <v>Anticipos Ag.Aduana</v>
          </cell>
          <cell r="C41">
            <v>0.8</v>
          </cell>
        </row>
        <row r="42">
          <cell r="B42" t="str">
            <v xml:space="preserve">Camara Chileno  - Rusa </v>
          </cell>
          <cell r="C42">
            <v>5.6</v>
          </cell>
        </row>
        <row r="43">
          <cell r="B43" t="str">
            <v>Camara Chileno  - Ucrania</v>
          </cell>
          <cell r="C43">
            <v>0.2</v>
          </cell>
        </row>
        <row r="44">
          <cell r="B44" t="str">
            <v>Corpora Pacifico</v>
          </cell>
          <cell r="C44">
            <v>1.7</v>
          </cell>
        </row>
        <row r="45">
          <cell r="B45" t="str">
            <v>Corpora Aconcagua</v>
          </cell>
          <cell r="C45">
            <v>0.7</v>
          </cell>
        </row>
        <row r="46">
          <cell r="B46" t="str">
            <v>Varios</v>
          </cell>
          <cell r="C46">
            <v>31.300000000000011</v>
          </cell>
        </row>
        <row r="48">
          <cell r="B48" t="str">
            <v>Deudores Relacionados</v>
          </cell>
          <cell r="C48">
            <v>10824.7</v>
          </cell>
        </row>
        <row r="49">
          <cell r="B49" t="str">
            <v>CTM Chile</v>
          </cell>
          <cell r="C49">
            <v>0</v>
          </cell>
        </row>
        <row r="50">
          <cell r="B50" t="str">
            <v>CTM Chile</v>
          </cell>
          <cell r="C50">
            <v>0</v>
          </cell>
        </row>
        <row r="51">
          <cell r="B51" t="str">
            <v>CTM Chile (UF)</v>
          </cell>
          <cell r="C51">
            <v>1715.4</v>
          </cell>
        </row>
        <row r="52">
          <cell r="B52" t="str">
            <v>Proexpo</v>
          </cell>
          <cell r="C52">
            <v>675.89999999999986</v>
          </cell>
        </row>
        <row r="53">
          <cell r="B53" t="str">
            <v>Nutrinter</v>
          </cell>
        </row>
        <row r="54">
          <cell r="B54" t="str">
            <v>Rodhas</v>
          </cell>
          <cell r="C54">
            <v>4398.5999999999995</v>
          </cell>
        </row>
        <row r="55">
          <cell r="B55" t="str">
            <v>CTM Argentina</v>
          </cell>
          <cell r="C55">
            <v>3357.4000000000005</v>
          </cell>
        </row>
        <row r="56">
          <cell r="B56" t="str">
            <v>Food and Services</v>
          </cell>
          <cell r="C56">
            <v>19.399999999999999</v>
          </cell>
        </row>
        <row r="57">
          <cell r="B57" t="str">
            <v>Mark and  Soames</v>
          </cell>
          <cell r="C57">
            <v>59.6</v>
          </cell>
        </row>
        <row r="58">
          <cell r="B58" t="str">
            <v>Perú</v>
          </cell>
          <cell r="C58">
            <v>108.7</v>
          </cell>
        </row>
        <row r="59">
          <cell r="B59" t="str">
            <v>Colombia</v>
          </cell>
          <cell r="C59">
            <v>489.7</v>
          </cell>
        </row>
        <row r="60">
          <cell r="B60" t="str">
            <v>Corpora S.A.</v>
          </cell>
          <cell r="C60">
            <v>0</v>
          </cell>
        </row>
        <row r="62">
          <cell r="B62" t="str">
            <v>Cuenta Cte.Personal</v>
          </cell>
          <cell r="C62">
            <v>276.49999999999994</v>
          </cell>
        </row>
        <row r="63">
          <cell r="B63" t="str">
            <v>Prestamos Rol General</v>
          </cell>
          <cell r="C63">
            <v>78.5</v>
          </cell>
        </row>
        <row r="64">
          <cell r="B64" t="str">
            <v>Prestamos Rol  Privado</v>
          </cell>
        </row>
        <row r="65">
          <cell r="B65" t="str">
            <v>Anticipos al Personal</v>
          </cell>
          <cell r="C65">
            <v>119.2</v>
          </cell>
        </row>
        <row r="66">
          <cell r="B66" t="str">
            <v>Asignacion Familiar</v>
          </cell>
          <cell r="C66">
            <v>1.7</v>
          </cell>
        </row>
        <row r="67">
          <cell r="B67" t="str">
            <v>Anticipo Subsidio</v>
          </cell>
          <cell r="C67">
            <v>9.6999999999999993</v>
          </cell>
        </row>
        <row r="68">
          <cell r="B68" t="str">
            <v>Anticipo Cuadrilla Particular</v>
          </cell>
          <cell r="C68" t="str">
            <v xml:space="preserve"> </v>
          </cell>
        </row>
        <row r="69">
          <cell r="B69" t="str">
            <v>Prestaciones Bienestar</v>
          </cell>
          <cell r="C69">
            <v>0.1</v>
          </cell>
        </row>
        <row r="70">
          <cell r="B70" t="str">
            <v>Centro Salud Vida Plena</v>
          </cell>
        </row>
        <row r="71">
          <cell r="B71" t="str">
            <v>Prestamos por Pactar</v>
          </cell>
          <cell r="C71">
            <v>9.4</v>
          </cell>
        </row>
        <row r="72">
          <cell r="B72" t="str">
            <v xml:space="preserve">Anticipos  Gratificacion </v>
          </cell>
          <cell r="C72">
            <v>57.9</v>
          </cell>
        </row>
        <row r="74">
          <cell r="B74" t="str">
            <v>Anticipo a Rendir Cta.</v>
          </cell>
          <cell r="C74">
            <v>51.2</v>
          </cell>
        </row>
        <row r="75">
          <cell r="B75" t="str">
            <v>Valores a Rendir $</v>
          </cell>
          <cell r="C75">
            <v>17.7</v>
          </cell>
        </row>
        <row r="76">
          <cell r="B76" t="str">
            <v>Valores a Rendir US$</v>
          </cell>
          <cell r="C76">
            <v>30.7</v>
          </cell>
        </row>
        <row r="77">
          <cell r="B77" t="str">
            <v>Valores a Rendir  Leasing</v>
          </cell>
          <cell r="C77">
            <v>1.1000000000000001</v>
          </cell>
        </row>
        <row r="78">
          <cell r="B78" t="str">
            <v>A Rendir Cuadrillas</v>
          </cell>
          <cell r="C78">
            <v>1.7</v>
          </cell>
        </row>
        <row r="80">
          <cell r="B80" t="str">
            <v>EXISTENCIAS</v>
          </cell>
          <cell r="C80">
            <v>5895</v>
          </cell>
        </row>
        <row r="81">
          <cell r="B81" t="str">
            <v>Existencias de M.P. Import.</v>
          </cell>
          <cell r="C81">
            <v>780.19999999999993</v>
          </cell>
        </row>
        <row r="82">
          <cell r="B82" t="str">
            <v>Existencias de M.P.  Nac.</v>
          </cell>
          <cell r="C82">
            <v>555.29999999999995</v>
          </cell>
        </row>
        <row r="83">
          <cell r="B83" t="str">
            <v>Existencias de Materiales</v>
          </cell>
          <cell r="C83">
            <v>1891</v>
          </cell>
        </row>
        <row r="84">
          <cell r="B84" t="str">
            <v>Existencias de Productos Terminados</v>
          </cell>
          <cell r="C84">
            <v>1103.7</v>
          </cell>
        </row>
        <row r="85">
          <cell r="B85" t="str">
            <v>Existencias Productos  en Proceso</v>
          </cell>
          <cell r="C85">
            <v>132.4</v>
          </cell>
        </row>
        <row r="86">
          <cell r="B86" t="str">
            <v>Existencias en Transito</v>
          </cell>
          <cell r="C86">
            <v>698.80000000000007</v>
          </cell>
        </row>
        <row r="87">
          <cell r="B87" t="str">
            <v>Control Secundario</v>
          </cell>
          <cell r="C87">
            <v>194.4</v>
          </cell>
        </row>
        <row r="88">
          <cell r="B88" t="str">
            <v>Existencias  Conting. Café</v>
          </cell>
          <cell r="C88">
            <v>459.6</v>
          </cell>
        </row>
        <row r="89">
          <cell r="B89" t="str">
            <v>Existencias  Consig. Citricos</v>
          </cell>
          <cell r="C89">
            <v>79.599999999999994</v>
          </cell>
        </row>
        <row r="91">
          <cell r="B91" t="str">
            <v>IMPUESTOS</v>
          </cell>
          <cell r="C91">
            <v>1345.1</v>
          </cell>
        </row>
        <row r="92">
          <cell r="B92" t="str">
            <v>Pagos Provisionales</v>
          </cell>
          <cell r="C92">
            <v>243</v>
          </cell>
        </row>
        <row r="93">
          <cell r="B93" t="str">
            <v>Impuestos por recuperar</v>
          </cell>
          <cell r="C93">
            <v>54.300000000000004</v>
          </cell>
        </row>
        <row r="94">
          <cell r="B94" t="str">
            <v>Remanente de Credito Fiscal</v>
          </cell>
          <cell r="C94">
            <v>13.6</v>
          </cell>
        </row>
        <row r="95">
          <cell r="B95" t="str">
            <v>Impto.Diferido</v>
          </cell>
          <cell r="C95">
            <v>438.4</v>
          </cell>
        </row>
        <row r="96">
          <cell r="B96" t="str">
            <v>Reintegros por Recuperar</v>
          </cell>
          <cell r="C96">
            <v>595.79999999999995</v>
          </cell>
        </row>
        <row r="98">
          <cell r="B98" t="str">
            <v>GASTOS ANTICIPADOS</v>
          </cell>
          <cell r="C98">
            <v>2114</v>
          </cell>
        </row>
        <row r="100">
          <cell r="B100" t="str">
            <v>Gastos Diferidos</v>
          </cell>
          <cell r="C100">
            <v>2072.1999999999998</v>
          </cell>
        </row>
        <row r="101">
          <cell r="B101" t="str">
            <v>Deficit Reportapex</v>
          </cell>
          <cell r="C101">
            <v>1868.6</v>
          </cell>
        </row>
        <row r="102">
          <cell r="B102" t="str">
            <v>Deficit Perú</v>
          </cell>
          <cell r="C102">
            <v>8.6999999999999993</v>
          </cell>
        </row>
        <row r="103">
          <cell r="B103" t="str">
            <v>Mayor Valor Invers. ITM</v>
          </cell>
          <cell r="C103">
            <v>0</v>
          </cell>
        </row>
        <row r="104">
          <cell r="B104" t="str">
            <v>Mano de Obra no Asignada</v>
          </cell>
          <cell r="C104">
            <v>90</v>
          </cell>
        </row>
        <row r="105">
          <cell r="B105" t="str">
            <v>Cilindros Trilaminados</v>
          </cell>
          <cell r="C105">
            <v>2.6</v>
          </cell>
        </row>
        <row r="106">
          <cell r="B106" t="str">
            <v>Cilindros Bilaminados</v>
          </cell>
          <cell r="C106">
            <v>6.9</v>
          </cell>
        </row>
        <row r="107">
          <cell r="B107" t="str">
            <v>Cilindros Trilaminados 2</v>
          </cell>
          <cell r="C107">
            <v>15.8</v>
          </cell>
        </row>
        <row r="108">
          <cell r="B108" t="str">
            <v>Seguro</v>
          </cell>
          <cell r="C108">
            <v>3.5</v>
          </cell>
        </row>
        <row r="109">
          <cell r="B109" t="str">
            <v>Cilindros Bilaminados 2</v>
          </cell>
          <cell r="C109">
            <v>2.4</v>
          </cell>
        </row>
        <row r="110">
          <cell r="B110" t="str">
            <v>Interes Diferido Citicorp</v>
          </cell>
          <cell r="C110">
            <v>22.6</v>
          </cell>
        </row>
        <row r="111">
          <cell r="B111" t="str">
            <v>Factura Chile</v>
          </cell>
          <cell r="C111">
            <v>1.1000000000000001</v>
          </cell>
        </row>
        <row r="112">
          <cell r="B112" t="str">
            <v>Otros ( Patentes,.Int.Leasing)</v>
          </cell>
          <cell r="C112">
            <v>49.999999999999993</v>
          </cell>
        </row>
        <row r="113">
          <cell r="B113" t="str">
            <v xml:space="preserve"> </v>
          </cell>
          <cell r="C113" t="str">
            <v xml:space="preserve"> </v>
          </cell>
        </row>
        <row r="114">
          <cell r="B114" t="str">
            <v>Publicidad Internacional</v>
          </cell>
          <cell r="C114">
            <v>41.8</v>
          </cell>
        </row>
        <row r="115">
          <cell r="B115" t="str">
            <v>America</v>
          </cell>
          <cell r="C115">
            <v>13.6</v>
          </cell>
        </row>
        <row r="116">
          <cell r="B116" t="str">
            <v>Ctm</v>
          </cell>
          <cell r="C116">
            <v>1.8</v>
          </cell>
        </row>
        <row r="117">
          <cell r="B117" t="str">
            <v>Cis</v>
          </cell>
          <cell r="C117">
            <v>0</v>
          </cell>
        </row>
        <row r="118">
          <cell r="B118" t="str">
            <v>Argentina</v>
          </cell>
          <cell r="C118">
            <v>3</v>
          </cell>
        </row>
        <row r="119">
          <cell r="B119" t="str">
            <v>Colombia</v>
          </cell>
          <cell r="C119">
            <v>23.4</v>
          </cell>
        </row>
        <row r="121">
          <cell r="B121" t="str">
            <v>TOTAL ACTIVO CIRCULANTE</v>
          </cell>
          <cell r="C121">
            <v>18624.099999999999</v>
          </cell>
        </row>
        <row r="123">
          <cell r="B123" t="str">
            <v>ACTIVO FIJO</v>
          </cell>
        </row>
        <row r="125">
          <cell r="B125" t="str">
            <v>Valor Libro</v>
          </cell>
          <cell r="C125">
            <v>20643.400000000001</v>
          </cell>
        </row>
        <row r="126">
          <cell r="B126" t="str">
            <v>Fondo Depreciación</v>
          </cell>
          <cell r="C126">
            <v>-6652</v>
          </cell>
        </row>
        <row r="128">
          <cell r="B128" t="str">
            <v>Valor Neto</v>
          </cell>
          <cell r="C128">
            <v>13991.400000000001</v>
          </cell>
        </row>
        <row r="130">
          <cell r="B130" t="str">
            <v>Compras del Ejercicio</v>
          </cell>
          <cell r="C130">
            <v>162.9</v>
          </cell>
        </row>
        <row r="131">
          <cell r="B131" t="str">
            <v>Depreciacion</v>
          </cell>
          <cell r="C131">
            <v>-210.6</v>
          </cell>
        </row>
        <row r="132">
          <cell r="B132" t="str">
            <v>Ventas</v>
          </cell>
          <cell r="C132">
            <v>-18.2</v>
          </cell>
        </row>
        <row r="134">
          <cell r="B134" t="str">
            <v>ACTIVO FIJO NETO FINAL</v>
          </cell>
          <cell r="C134">
            <v>13925.5</v>
          </cell>
        </row>
        <row r="136">
          <cell r="B136" t="str">
            <v>ACTIVO FIJO FINANCIERO</v>
          </cell>
          <cell r="C136">
            <v>18112.399999999998</v>
          </cell>
        </row>
        <row r="138">
          <cell r="B138" t="str">
            <v>Derechos Sociedad</v>
          </cell>
          <cell r="C138">
            <v>17567.199999999997</v>
          </cell>
        </row>
        <row r="139">
          <cell r="B139" t="str">
            <v>Corpora S.A.</v>
          </cell>
          <cell r="C139">
            <v>493.7</v>
          </cell>
        </row>
        <row r="140">
          <cell r="B140" t="str">
            <v>CTM Chile S.A.</v>
          </cell>
          <cell r="C140">
            <v>829.3</v>
          </cell>
        </row>
        <row r="141">
          <cell r="B141" t="str">
            <v>Ctm Argentina</v>
          </cell>
          <cell r="C141">
            <v>2461.5</v>
          </cell>
        </row>
        <row r="142">
          <cell r="B142" t="str">
            <v>Reportapex</v>
          </cell>
          <cell r="C142">
            <v>2925.4</v>
          </cell>
        </row>
        <row r="143">
          <cell r="B143" t="str">
            <v>Inversiones Food and Services</v>
          </cell>
          <cell r="C143">
            <v>135.6</v>
          </cell>
        </row>
        <row r="144">
          <cell r="B144" t="str">
            <v>Ctm Chile Acciones</v>
          </cell>
          <cell r="C144">
            <v>10004.9</v>
          </cell>
        </row>
        <row r="145">
          <cell r="B145" t="str">
            <v>Rodhas</v>
          </cell>
          <cell r="C145">
            <v>183.1</v>
          </cell>
        </row>
        <row r="146">
          <cell r="B146" t="str">
            <v>Ctm Perú</v>
          </cell>
          <cell r="C146">
            <v>127.3</v>
          </cell>
        </row>
        <row r="147">
          <cell r="B147" t="str">
            <v>Ctm Colombia</v>
          </cell>
          <cell r="C147">
            <v>137.80000000000001</v>
          </cell>
        </row>
        <row r="148">
          <cell r="B148" t="str">
            <v>Brasil</v>
          </cell>
          <cell r="C148">
            <v>259</v>
          </cell>
        </row>
        <row r="149">
          <cell r="B149" t="str">
            <v>Ctm Guatemala</v>
          </cell>
          <cell r="C149">
            <v>4.8</v>
          </cell>
        </row>
        <row r="150">
          <cell r="B150" t="str">
            <v>Promociones y Pub. Las Americas</v>
          </cell>
          <cell r="C150">
            <v>4.8</v>
          </cell>
        </row>
        <row r="151">
          <cell r="B151" t="str">
            <v xml:space="preserve"> </v>
          </cell>
          <cell r="C151" t="str">
            <v xml:space="preserve"> </v>
          </cell>
        </row>
        <row r="153">
          <cell r="B153" t="str">
            <v>Gastos de Proyectos</v>
          </cell>
          <cell r="C153">
            <v>481.2</v>
          </cell>
        </row>
        <row r="154">
          <cell r="B154" t="str">
            <v>Proexpo (latvia)</v>
          </cell>
          <cell r="C154">
            <v>481.2</v>
          </cell>
        </row>
        <row r="156">
          <cell r="B156" t="str">
            <v>Otros</v>
          </cell>
          <cell r="C156">
            <v>64</v>
          </cell>
        </row>
        <row r="157">
          <cell r="B157" t="str">
            <v>Marcas</v>
          </cell>
          <cell r="C157">
            <v>57</v>
          </cell>
        </row>
        <row r="158">
          <cell r="B158" t="str">
            <v>Acciones Granadilla</v>
          </cell>
          <cell r="C158">
            <v>2.1</v>
          </cell>
        </row>
        <row r="159">
          <cell r="B159" t="str">
            <v>Instalaciones</v>
          </cell>
          <cell r="C159">
            <v>4.9000000000000004</v>
          </cell>
        </row>
        <row r="161">
          <cell r="B161" t="str">
            <v>TOTAL ACTIVO</v>
          </cell>
          <cell r="C161">
            <v>50662</v>
          </cell>
        </row>
        <row r="163">
          <cell r="B163" t="str">
            <v>PASIVO CIRCULANTE</v>
          </cell>
          <cell r="C163">
            <v>15851.500000000002</v>
          </cell>
        </row>
        <row r="165">
          <cell r="B165" t="str">
            <v>Obligaciones Bancos e Inst. Financ.</v>
          </cell>
          <cell r="C165">
            <v>5</v>
          </cell>
        </row>
        <row r="166">
          <cell r="B166" t="str">
            <v>Banco (Reclasificación)</v>
          </cell>
          <cell r="C166">
            <v>0</v>
          </cell>
        </row>
        <row r="167">
          <cell r="B167" t="str">
            <v>Cheques Caducados</v>
          </cell>
          <cell r="C167">
            <v>5</v>
          </cell>
        </row>
        <row r="168">
          <cell r="C168" t="str">
            <v xml:space="preserve"> </v>
          </cell>
        </row>
        <row r="169">
          <cell r="B169" t="str">
            <v>Bancos</v>
          </cell>
          <cell r="C169">
            <v>843.1</v>
          </cell>
        </row>
        <row r="170">
          <cell r="B170" t="str">
            <v>Acreditivos Bancarios</v>
          </cell>
          <cell r="C170">
            <v>146</v>
          </cell>
        </row>
        <row r="171">
          <cell r="B171" t="str">
            <v>Cobranza Extranjera</v>
          </cell>
          <cell r="C171">
            <v>697.1</v>
          </cell>
        </row>
        <row r="173">
          <cell r="B173" t="str">
            <v>Proveedores</v>
          </cell>
          <cell r="C173">
            <v>2662.8</v>
          </cell>
        </row>
        <row r="174">
          <cell r="B174" t="str">
            <v>Materias Primas</v>
          </cell>
          <cell r="C174">
            <v>331.4</v>
          </cell>
        </row>
        <row r="175">
          <cell r="B175" t="str">
            <v>Materiales</v>
          </cell>
          <cell r="C175">
            <v>1107</v>
          </cell>
        </row>
        <row r="176">
          <cell r="B176" t="str">
            <v>Fletes</v>
          </cell>
          <cell r="C176">
            <v>4.7</v>
          </cell>
        </row>
        <row r="177">
          <cell r="B177" t="str">
            <v>Cereales</v>
          </cell>
          <cell r="C177">
            <v>15.2</v>
          </cell>
        </row>
        <row r="178">
          <cell r="B178" t="str">
            <v xml:space="preserve">Gastos Generales   </v>
          </cell>
          <cell r="C178">
            <v>104.7</v>
          </cell>
        </row>
        <row r="179">
          <cell r="B179" t="str">
            <v>Activo Fijo</v>
          </cell>
          <cell r="C179">
            <v>16.2</v>
          </cell>
        </row>
        <row r="180">
          <cell r="B180" t="str">
            <v>Publicidad</v>
          </cell>
          <cell r="C180">
            <v>3.2</v>
          </cell>
        </row>
        <row r="181">
          <cell r="B181" t="str">
            <v>Exportaciones</v>
          </cell>
          <cell r="C181">
            <v>17</v>
          </cell>
        </row>
        <row r="182">
          <cell r="B182" t="str">
            <v>Café</v>
          </cell>
          <cell r="C182">
            <v>638.6</v>
          </cell>
        </row>
        <row r="183">
          <cell r="B183" t="str">
            <v xml:space="preserve">Citricos </v>
          </cell>
          <cell r="C183">
            <v>83</v>
          </cell>
        </row>
        <row r="184">
          <cell r="B184" t="str">
            <v>Ctm Chile S.A.</v>
          </cell>
          <cell r="C184">
            <v>151.19999999999999</v>
          </cell>
        </row>
        <row r="185">
          <cell r="B185" t="str">
            <v>Aprovisionamiento</v>
          </cell>
          <cell r="C185">
            <v>190.60000000000005</v>
          </cell>
        </row>
        <row r="187">
          <cell r="B187" t="str">
            <v>Existencias  Contingentes</v>
          </cell>
          <cell r="C187">
            <v>539.20000000000005</v>
          </cell>
        </row>
        <row r="188">
          <cell r="B188" t="str">
            <v>Café Citicorp</v>
          </cell>
          <cell r="C188">
            <v>459.6</v>
          </cell>
        </row>
        <row r="189">
          <cell r="B189" t="str">
            <v>Citricos</v>
          </cell>
          <cell r="C189">
            <v>79.599999999999994</v>
          </cell>
        </row>
        <row r="191">
          <cell r="B191" t="str">
            <v>Acreedores Relacionados</v>
          </cell>
          <cell r="C191">
            <v>11708.2</v>
          </cell>
        </row>
        <row r="192">
          <cell r="B192" t="str">
            <v>CTM Chile (acciones)</v>
          </cell>
          <cell r="C192">
            <v>5870</v>
          </cell>
        </row>
        <row r="193">
          <cell r="B193" t="str">
            <v>CTM Chile (Prestamo)</v>
          </cell>
          <cell r="C193">
            <v>5135.2</v>
          </cell>
        </row>
        <row r="194">
          <cell r="B194" t="str">
            <v>Rodhas</v>
          </cell>
          <cell r="C194">
            <v>142.30000000000001</v>
          </cell>
        </row>
        <row r="195">
          <cell r="B195" t="str">
            <v>Proexpo U.No Real. Maq.</v>
          </cell>
          <cell r="C195">
            <v>560.70000000000005</v>
          </cell>
        </row>
        <row r="197">
          <cell r="B197" t="str">
            <v>Impuestos y Retención</v>
          </cell>
          <cell r="C197">
            <v>93.199999999999989</v>
          </cell>
        </row>
        <row r="198">
          <cell r="B198" t="str">
            <v>Instituciones Previsionales</v>
          </cell>
          <cell r="C198">
            <v>64.099999999999994</v>
          </cell>
        </row>
        <row r="199">
          <cell r="B199" t="str">
            <v xml:space="preserve">Retenciones </v>
          </cell>
          <cell r="C199">
            <v>29.1</v>
          </cell>
        </row>
        <row r="200">
          <cell r="B200" t="str">
            <v>Iva por Pagar</v>
          </cell>
          <cell r="C200">
            <v>0</v>
          </cell>
        </row>
        <row r="202">
          <cell r="B202" t="str">
            <v>OTROS PASIVOS</v>
          </cell>
          <cell r="C202">
            <v>134.19999999999999</v>
          </cell>
        </row>
        <row r="204">
          <cell r="B204" t="str">
            <v>Exportaciones</v>
          </cell>
          <cell r="C204">
            <v>70.5</v>
          </cell>
        </row>
        <row r="205">
          <cell r="B205" t="str">
            <v>Fletes</v>
          </cell>
          <cell r="C205">
            <v>23.2</v>
          </cell>
        </row>
        <row r="206">
          <cell r="B206" t="str">
            <v>Comisión</v>
          </cell>
          <cell r="C206">
            <v>6.9</v>
          </cell>
        </row>
        <row r="207">
          <cell r="B207" t="str">
            <v>Seguros</v>
          </cell>
          <cell r="C207">
            <v>17.8</v>
          </cell>
        </row>
        <row r="208">
          <cell r="B208" t="str">
            <v>Gastos de Aduana</v>
          </cell>
          <cell r="C208">
            <v>22.599999999999998</v>
          </cell>
        </row>
        <row r="210">
          <cell r="B210" t="str">
            <v>Varios Acreedores</v>
          </cell>
          <cell r="C210">
            <v>25</v>
          </cell>
        </row>
        <row r="212">
          <cell r="B212" t="str">
            <v>Varios</v>
          </cell>
          <cell r="C212">
            <v>25</v>
          </cell>
        </row>
        <row r="215">
          <cell r="B215" t="str">
            <v>Remuneraciones Por Pagar</v>
          </cell>
          <cell r="C215">
            <v>35.700000000000003</v>
          </cell>
        </row>
        <row r="216">
          <cell r="B216" t="str">
            <v>Sueldos por Pagar</v>
          </cell>
          <cell r="C216">
            <v>0</v>
          </cell>
        </row>
        <row r="217">
          <cell r="B217" t="str">
            <v>Gratificaciones por Pagar</v>
          </cell>
          <cell r="C217">
            <v>0</v>
          </cell>
        </row>
        <row r="218">
          <cell r="B218" t="str">
            <v>Prov. Pago Remuneraciones</v>
          </cell>
          <cell r="C218">
            <v>0</v>
          </cell>
        </row>
        <row r="219">
          <cell r="B219" t="str">
            <v>Honorarios por Pagar</v>
          </cell>
          <cell r="C219">
            <v>9.9</v>
          </cell>
        </row>
        <row r="220">
          <cell r="B220" t="str">
            <v>Otras Remuneraciones</v>
          </cell>
          <cell r="C220">
            <v>23.3</v>
          </cell>
        </row>
        <row r="221">
          <cell r="B221" t="str">
            <v>Otros Pagos</v>
          </cell>
          <cell r="C221">
            <v>2.5</v>
          </cell>
        </row>
        <row r="223">
          <cell r="B223" t="str">
            <v>Leasing Por Pagar</v>
          </cell>
          <cell r="C223">
            <v>3</v>
          </cell>
        </row>
        <row r="224">
          <cell r="B224" t="str">
            <v>Leasing Por Pagar</v>
          </cell>
          <cell r="C224">
            <v>3</v>
          </cell>
        </row>
        <row r="226">
          <cell r="B226" t="str">
            <v>PROVISIONES</v>
          </cell>
          <cell r="C226">
            <v>677.19999999999993</v>
          </cell>
        </row>
        <row r="228">
          <cell r="B228" t="str">
            <v>Intereses Prestamos</v>
          </cell>
          <cell r="C228">
            <v>198.4</v>
          </cell>
        </row>
        <row r="229">
          <cell r="B229" t="str">
            <v>Prov. Interes Prestamo</v>
          </cell>
          <cell r="C229">
            <v>198.4</v>
          </cell>
        </row>
        <row r="231">
          <cell r="B231" t="str">
            <v>Otras Provisiones</v>
          </cell>
          <cell r="C231">
            <v>402.1</v>
          </cell>
        </row>
        <row r="232">
          <cell r="B232" t="str">
            <v>Deudores Incobrables</v>
          </cell>
          <cell r="C232">
            <v>180.1</v>
          </cell>
        </row>
        <row r="233">
          <cell r="B233" t="str">
            <v>Mermas</v>
          </cell>
          <cell r="C233">
            <v>5.4</v>
          </cell>
        </row>
        <row r="234">
          <cell r="B234" t="str">
            <v>Provisiones 98</v>
          </cell>
          <cell r="C234">
            <v>-3.3999999999999773</v>
          </cell>
        </row>
        <row r="235">
          <cell r="B235" t="str">
            <v>Bonificaciones</v>
          </cell>
          <cell r="C235">
            <v>5.2</v>
          </cell>
        </row>
        <row r="236">
          <cell r="B236" t="str">
            <v>Gratificaciones</v>
          </cell>
          <cell r="C236">
            <v>0</v>
          </cell>
        </row>
        <row r="237">
          <cell r="B237" t="str">
            <v>Vacaciones</v>
          </cell>
          <cell r="C237">
            <v>199.9</v>
          </cell>
        </row>
        <row r="238">
          <cell r="B238" t="str">
            <v>Bonificaciones Rol Privado</v>
          </cell>
        </row>
        <row r="239">
          <cell r="B239" t="str">
            <v>Provisiones 97</v>
          </cell>
        </row>
        <row r="240">
          <cell r="B240" t="str">
            <v>Provisión Participación</v>
          </cell>
        </row>
        <row r="241">
          <cell r="B241" t="str">
            <v>Otras Provisiones</v>
          </cell>
          <cell r="C241">
            <v>14.899999999999999</v>
          </cell>
        </row>
        <row r="243">
          <cell r="B243" t="str">
            <v>Variac. Cons. Std./Real</v>
          </cell>
          <cell r="C243">
            <v>51.4</v>
          </cell>
        </row>
        <row r="244">
          <cell r="B244" t="str">
            <v>Mat.Prima/Mater./M.O.</v>
          </cell>
          <cell r="C244">
            <v>51.4</v>
          </cell>
        </row>
        <row r="246">
          <cell r="B246" t="str">
            <v>Publicidad por Doc.Internacional</v>
          </cell>
          <cell r="C246">
            <v>25.3</v>
          </cell>
        </row>
        <row r="247">
          <cell r="B247" t="str">
            <v>America</v>
          </cell>
          <cell r="C247">
            <v>25.3</v>
          </cell>
        </row>
        <row r="249">
          <cell r="B249" t="str">
            <v>TOTAL PASIVO CIRCULANTE</v>
          </cell>
          <cell r="C249">
            <v>16662.900000000001</v>
          </cell>
        </row>
        <row r="251">
          <cell r="B251" t="str">
            <v>PASIVO LARGO PLAZO</v>
          </cell>
          <cell r="C251">
            <v>12405.7</v>
          </cell>
        </row>
        <row r="253">
          <cell r="B253" t="str">
            <v>Derechos Diferidos L.P</v>
          </cell>
          <cell r="C253">
            <v>110.1</v>
          </cell>
        </row>
        <row r="254">
          <cell r="C254" t="str">
            <v xml:space="preserve"> </v>
          </cell>
        </row>
        <row r="255">
          <cell r="B255" t="str">
            <v>Préstamos US$</v>
          </cell>
          <cell r="C255">
            <v>12295.6</v>
          </cell>
        </row>
        <row r="257">
          <cell r="B257" t="str">
            <v>OTROS PASIVOS LARGO PLAZO</v>
          </cell>
          <cell r="C257">
            <v>155.19999999999999</v>
          </cell>
        </row>
        <row r="259">
          <cell r="B259" t="str">
            <v>Indemnización Años de Servicio</v>
          </cell>
          <cell r="C259">
            <v>155.19999999999999</v>
          </cell>
        </row>
        <row r="261">
          <cell r="B261" t="str">
            <v>TOTAL PASIVO EXIGIBLE</v>
          </cell>
          <cell r="C261">
            <v>29223.800000000003</v>
          </cell>
        </row>
        <row r="264">
          <cell r="B264" t="str">
            <v>CAPITAL</v>
          </cell>
          <cell r="C264">
            <v>21363.5</v>
          </cell>
        </row>
        <row r="266">
          <cell r="B266" t="str">
            <v>Capital</v>
          </cell>
          <cell r="C266">
            <v>21656.1</v>
          </cell>
        </row>
        <row r="267">
          <cell r="B267" t="str">
            <v>V.P.P. ITM</v>
          </cell>
          <cell r="C267">
            <v>-292.60000000000002</v>
          </cell>
        </row>
        <row r="269">
          <cell r="B269" t="str">
            <v>Utilidad/Perdida Antes de Impuesto</v>
          </cell>
          <cell r="C269">
            <v>74.700000000000017</v>
          </cell>
        </row>
        <row r="270">
          <cell r="B270" t="str">
            <v>Provisión Impuesto a la Renta</v>
          </cell>
        </row>
        <row r="273">
          <cell r="B273" t="str">
            <v>TOTAL PASIVO</v>
          </cell>
          <cell r="C273">
            <v>50662</v>
          </cell>
        </row>
        <row r="274">
          <cell r="C274">
            <v>0</v>
          </cell>
        </row>
        <row r="275">
          <cell r="B275" t="str">
            <v xml:space="preserve">ESTADO DE RESULTADOS </v>
          </cell>
        </row>
        <row r="276">
          <cell r="B276" t="str">
            <v>31 DE MARZO DE 1999</v>
          </cell>
        </row>
        <row r="278">
          <cell r="B278" t="str">
            <v>VENTA</v>
          </cell>
          <cell r="C278">
            <v>5933.4000000000005</v>
          </cell>
        </row>
        <row r="279">
          <cell r="B279" t="str">
            <v>REINTEGRO</v>
          </cell>
          <cell r="C279">
            <v>133.9</v>
          </cell>
        </row>
        <row r="281">
          <cell r="B281" t="str">
            <v>FACTURACION</v>
          </cell>
          <cell r="C281">
            <v>6067.3</v>
          </cell>
        </row>
        <row r="283">
          <cell r="B283" t="str">
            <v>COSTO PRODUCTO</v>
          </cell>
          <cell r="C283">
            <v>-4780.5</v>
          </cell>
        </row>
        <row r="284">
          <cell r="B284" t="str">
            <v xml:space="preserve">FLETES </v>
          </cell>
          <cell r="C284">
            <v>-92.3</v>
          </cell>
        </row>
        <row r="285">
          <cell r="B285" t="str">
            <v>ARANCELES</v>
          </cell>
        </row>
        <row r="286">
          <cell r="B286" t="str">
            <v>DEMURRAGES</v>
          </cell>
        </row>
        <row r="288">
          <cell r="B288" t="str">
            <v>TOTAL COSTOS DIRECTOS</v>
          </cell>
          <cell r="C288">
            <v>-4872.8</v>
          </cell>
        </row>
        <row r="290">
          <cell r="B290" t="str">
            <v>MARGEN DISPONIBLE</v>
          </cell>
          <cell r="C290">
            <v>1194.5</v>
          </cell>
        </row>
        <row r="292">
          <cell r="B292" t="str">
            <v>PUBLICIDAD</v>
          </cell>
          <cell r="C292">
            <v>-19.100000000000009</v>
          </cell>
        </row>
        <row r="293">
          <cell r="B293" t="str">
            <v>APOYO DE VENTAS</v>
          </cell>
        </row>
        <row r="294">
          <cell r="B294" t="str">
            <v>COMISION DISTRIBUCION</v>
          </cell>
          <cell r="C294">
            <v>-7.4</v>
          </cell>
        </row>
        <row r="295">
          <cell r="B295" t="str">
            <v>COSTO VENTA</v>
          </cell>
          <cell r="C295">
            <v>-40.6</v>
          </cell>
        </row>
        <row r="296">
          <cell r="B296" t="str">
            <v>BODEGAJE Y REPARTO</v>
          </cell>
          <cell r="C296">
            <v>-1.4</v>
          </cell>
        </row>
        <row r="297">
          <cell r="B297" t="str">
            <v>INCOBRABLE</v>
          </cell>
          <cell r="C297">
            <v>0</v>
          </cell>
        </row>
        <row r="299">
          <cell r="B299" t="str">
            <v>TOTAL COSTO COMERCIALIZACION</v>
          </cell>
          <cell r="C299">
            <v>-68.500000000000014</v>
          </cell>
        </row>
        <row r="301">
          <cell r="B301" t="str">
            <v>MARGEN DE COMERCIALIZACION</v>
          </cell>
          <cell r="C301">
            <v>1126</v>
          </cell>
        </row>
        <row r="303">
          <cell r="B303" t="str">
            <v>GASTOS DIRECCION</v>
          </cell>
          <cell r="C303">
            <v>-3.7</v>
          </cell>
        </row>
        <row r="304">
          <cell r="B304" t="str">
            <v>GASTOS GCIA. GENERAL</v>
          </cell>
          <cell r="C304">
            <v>-40.4</v>
          </cell>
        </row>
        <row r="305">
          <cell r="B305" t="str">
            <v>GASTOS GCIA. DE ADM. Y FINANZAS</v>
          </cell>
          <cell r="C305">
            <v>-173.89999999999998</v>
          </cell>
        </row>
        <row r="306">
          <cell r="B306" t="str">
            <v>GASTOS GCIA.RELACIONES COMERCIALES</v>
          </cell>
          <cell r="C306">
            <v>-38.9</v>
          </cell>
        </row>
        <row r="307">
          <cell r="B307" t="str">
            <v>GASTOS GCIA.DE OPERACIONES</v>
          </cell>
          <cell r="C307">
            <v>-161.9</v>
          </cell>
        </row>
        <row r="308">
          <cell r="B308" t="str">
            <v>GASTOS CIS</v>
          </cell>
          <cell r="C308">
            <v>-44.1</v>
          </cell>
        </row>
        <row r="309">
          <cell r="B309" t="str">
            <v>GASTOS AMERICA</v>
          </cell>
          <cell r="C309">
            <v>-61.5</v>
          </cell>
        </row>
        <row r="310">
          <cell r="B310" t="str">
            <v>GASTOS ARGENTINA</v>
          </cell>
          <cell r="C310">
            <v>-25.7</v>
          </cell>
        </row>
        <row r="311">
          <cell r="B311" t="str">
            <v>GASTOS PERÚ</v>
          </cell>
          <cell r="C311">
            <v>-12.399999999999999</v>
          </cell>
        </row>
        <row r="312">
          <cell r="B312" t="str">
            <v>GASTOS COLOMBIA</v>
          </cell>
          <cell r="C312">
            <v>-25.1</v>
          </cell>
        </row>
        <row r="313">
          <cell r="B313" t="str">
            <v>GASTOS BRASIL</v>
          </cell>
          <cell r="C313">
            <v>-19</v>
          </cell>
        </row>
        <row r="314">
          <cell r="B314" t="str">
            <v>GASTOS TÉ</v>
          </cell>
          <cell r="C314">
            <v>-13.399999999999999</v>
          </cell>
        </row>
        <row r="316">
          <cell r="B316" t="str">
            <v>SUBTOTAL GASTOS DIRECTOS</v>
          </cell>
          <cell r="C316">
            <v>-620</v>
          </cell>
        </row>
        <row r="317">
          <cell r="B317" t="str">
            <v xml:space="preserve"> </v>
          </cell>
          <cell r="C317" t="str">
            <v xml:space="preserve"> </v>
          </cell>
        </row>
        <row r="319">
          <cell r="B319" t="str">
            <v>RESULTADO OPER. BRUTO</v>
          </cell>
          <cell r="C319">
            <v>506</v>
          </cell>
        </row>
        <row r="320">
          <cell r="B320" t="str">
            <v xml:space="preserve"> </v>
          </cell>
        </row>
        <row r="321">
          <cell r="B321" t="str">
            <v>INTERESES</v>
          </cell>
          <cell r="C321">
            <v>-199.30000000000004</v>
          </cell>
        </row>
        <row r="322">
          <cell r="B322" t="str">
            <v>CORRECCION MONETARIA</v>
          </cell>
          <cell r="C322">
            <v>47.300000000000011</v>
          </cell>
        </row>
        <row r="323">
          <cell r="B323" t="str">
            <v>OTROS INGRESOS/EGRESOS</v>
          </cell>
          <cell r="C323">
            <v>-33.299999999999976</v>
          </cell>
        </row>
        <row r="324">
          <cell r="B324" t="str">
            <v>GASTOS CHILE</v>
          </cell>
          <cell r="C324">
            <v>-18.100000000000001</v>
          </cell>
        </row>
        <row r="325">
          <cell r="B325" t="str">
            <v xml:space="preserve"> </v>
          </cell>
          <cell r="C325" t="str">
            <v xml:space="preserve"> </v>
          </cell>
        </row>
        <row r="326">
          <cell r="B326" t="str">
            <v>RESULTADO NO OPERACIONAL</v>
          </cell>
          <cell r="C326">
            <v>-203.4</v>
          </cell>
        </row>
        <row r="328">
          <cell r="B328" t="str">
            <v>R.A.D.L.</v>
          </cell>
          <cell r="C328">
            <v>302.60000000000002</v>
          </cell>
        </row>
        <row r="330">
          <cell r="B330" t="str">
            <v>FINIQUITOS</v>
          </cell>
          <cell r="C330">
            <v>-17.3</v>
          </cell>
        </row>
        <row r="331">
          <cell r="B331" t="str">
            <v>PUBLICIDAD ACTIVADA</v>
          </cell>
        </row>
        <row r="332">
          <cell r="B332" t="str">
            <v>AMORTIZACIONES</v>
          </cell>
          <cell r="C332">
            <v>0</v>
          </cell>
        </row>
      </sheetData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erminación del Límite"/>
      <sheetName val="Hoja de Datos"/>
      <sheetName val="Tabla del Límite"/>
      <sheetName val="Tickmarks"/>
      <sheetName val="Module1"/>
    </sheetNames>
    <sheetDataSet>
      <sheetData sheetId="0" refreshError="1"/>
      <sheetData sheetId="1" refreshError="1"/>
      <sheetData sheetId="2">
        <row r="6">
          <cell r="A6">
            <v>1</v>
          </cell>
          <cell r="B6">
            <v>0.9</v>
          </cell>
          <cell r="C6">
            <v>4.5</v>
          </cell>
          <cell r="D6">
            <v>1</v>
          </cell>
          <cell r="E6">
            <v>0.45</v>
          </cell>
          <cell r="F6">
            <v>3</v>
          </cell>
        </row>
        <row r="7">
          <cell r="A7">
            <v>2</v>
          </cell>
          <cell r="B7">
            <v>0.85</v>
          </cell>
          <cell r="C7">
            <v>4.25</v>
          </cell>
          <cell r="D7">
            <v>2</v>
          </cell>
          <cell r="E7">
            <v>0.4</v>
          </cell>
          <cell r="F7">
            <v>2.67</v>
          </cell>
        </row>
        <row r="8">
          <cell r="A8">
            <v>4</v>
          </cell>
          <cell r="B8">
            <v>0.75</v>
          </cell>
          <cell r="C8">
            <v>3.75</v>
          </cell>
          <cell r="D8">
            <v>4</v>
          </cell>
          <cell r="E8">
            <v>0.35</v>
          </cell>
          <cell r="F8">
            <v>2.33</v>
          </cell>
        </row>
        <row r="9">
          <cell r="A9">
            <v>6</v>
          </cell>
          <cell r="B9">
            <v>0.65</v>
          </cell>
          <cell r="C9">
            <v>3.25</v>
          </cell>
          <cell r="D9">
            <v>6</v>
          </cell>
          <cell r="E9">
            <v>0.3</v>
          </cell>
          <cell r="F9">
            <v>2</v>
          </cell>
        </row>
        <row r="10">
          <cell r="A10">
            <v>12</v>
          </cell>
          <cell r="B10">
            <v>0.5</v>
          </cell>
          <cell r="C10">
            <v>2.5</v>
          </cell>
          <cell r="D10">
            <v>12</v>
          </cell>
          <cell r="E10">
            <v>0.25</v>
          </cell>
          <cell r="F10">
            <v>1.67</v>
          </cell>
        </row>
        <row r="11">
          <cell r="A11">
            <v>13</v>
          </cell>
          <cell r="B11">
            <v>0.4</v>
          </cell>
          <cell r="C11">
            <v>2</v>
          </cell>
          <cell r="D11">
            <v>13</v>
          </cell>
          <cell r="E11">
            <v>0.2</v>
          </cell>
          <cell r="F11">
            <v>1.33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Base"/>
      <sheetName val="Acerno_Cache_XXXXX"/>
      <sheetName val="Tabla"/>
      <sheetName val="Matriz"/>
      <sheetName val="Cálculo % Matriz"/>
      <sheetName val="Cartera Dic-2019"/>
      <sheetName val="% Rangos de morosi"/>
    </sheetNames>
    <sheetDataSet>
      <sheetData sheetId="0">
        <row r="6">
          <cell r="C6">
            <v>-500</v>
          </cell>
          <cell r="D6">
            <v>-1</v>
          </cell>
          <cell r="E6" t="str">
            <v>0. POR VENCER</v>
          </cell>
        </row>
        <row r="7">
          <cell r="C7">
            <v>0</v>
          </cell>
          <cell r="D7">
            <v>30</v>
          </cell>
          <cell r="E7" t="str">
            <v>1. 0-30 DIAS</v>
          </cell>
        </row>
        <row r="8">
          <cell r="C8">
            <v>31</v>
          </cell>
          <cell r="D8">
            <v>60</v>
          </cell>
          <cell r="E8" t="str">
            <v>2. 31-60 DIAS</v>
          </cell>
        </row>
        <row r="9">
          <cell r="C9">
            <v>61</v>
          </cell>
          <cell r="D9">
            <v>90</v>
          </cell>
          <cell r="E9" t="str">
            <v>3. 61-90 DIAS</v>
          </cell>
        </row>
        <row r="10">
          <cell r="C10">
            <v>91</v>
          </cell>
          <cell r="D10">
            <v>120</v>
          </cell>
          <cell r="E10" t="str">
            <v>4. 91-120 DIAS</v>
          </cell>
        </row>
        <row r="11">
          <cell r="C11">
            <v>121</v>
          </cell>
          <cell r="D11">
            <v>180</v>
          </cell>
          <cell r="E11" t="str">
            <v>5. 121-180 DIAS</v>
          </cell>
        </row>
        <row r="12">
          <cell r="C12">
            <v>181</v>
          </cell>
          <cell r="D12">
            <v>210</v>
          </cell>
          <cell r="E12" t="str">
            <v>6. 181-210 DIAS</v>
          </cell>
        </row>
        <row r="13">
          <cell r="C13">
            <v>211</v>
          </cell>
          <cell r="D13">
            <v>240</v>
          </cell>
          <cell r="E13" t="str">
            <v>7. 211-240 DIAS</v>
          </cell>
        </row>
        <row r="14">
          <cell r="C14">
            <v>241</v>
          </cell>
          <cell r="D14">
            <v>270</v>
          </cell>
          <cell r="E14" t="str">
            <v>8. 241-270 DIAS</v>
          </cell>
        </row>
        <row r="15">
          <cell r="C15">
            <v>271</v>
          </cell>
          <cell r="D15">
            <v>300</v>
          </cell>
          <cell r="E15" t="str">
            <v>9. 271-300 DIAS</v>
          </cell>
        </row>
        <row r="16">
          <cell r="C16">
            <v>301</v>
          </cell>
          <cell r="D16">
            <v>330</v>
          </cell>
          <cell r="E16" t="str">
            <v>91. 301-330 DIAS</v>
          </cell>
        </row>
        <row r="17">
          <cell r="C17">
            <v>331</v>
          </cell>
          <cell r="D17">
            <v>360</v>
          </cell>
          <cell r="E17" t="str">
            <v>92. 331-360 DIAS</v>
          </cell>
        </row>
        <row r="18">
          <cell r="C18">
            <v>361</v>
          </cell>
          <cell r="D18">
            <v>0</v>
          </cell>
          <cell r="E18" t="str">
            <v>93. MAYOR A 360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ºINDICEº"/>
      <sheetName val="ºInformes Principalesº"/>
      <sheetName val="Edo. Resultado"/>
      <sheetName val="EERR USD"/>
      <sheetName val="EERR x Indices"/>
      <sheetName val="EERR Ppto vs Ope. Mes y Acum."/>
      <sheetName val="Edo. Situación"/>
      <sheetName val="Edo. Situación USD"/>
      <sheetName val="Edo. Balance"/>
      <sheetName val="Flujo de Fondos"/>
      <sheetName val="ºEdo.Resultado -Subinformesº"/>
      <sheetName val="VentFisic Mes"/>
      <sheetName val="VTA y REN"/>
      <sheetName val="110 a 130 - Análisis Ventas"/>
      <sheetName val="150 a 170 - Propaganda"/>
      <sheetName val="160 -Pto.Vta. (Reposición)"/>
      <sheetName val="180 - Comisión Distribuidor"/>
      <sheetName val="190 - Costo de Venta"/>
      <sheetName val="200 - Fuerza de Venta"/>
      <sheetName val="210 - Bodegaje y Reparto"/>
      <sheetName val="220 - Incobrable"/>
      <sheetName val="230 - Administración"/>
      <sheetName val="250 - Producción"/>
      <sheetName val="260 - Abastecimiento"/>
      <sheetName val="270 - Gerencia Argentina"/>
      <sheetName val="290 - Nuevos Negocios"/>
      <sheetName val="295 - Otros (Gs.Financieros)"/>
      <sheetName val="300 - Intereses"/>
      <sheetName val="310-320 - Corr.Mon. Dif.Cot."/>
      <sheetName val="325 - REI (Rdo. x Inflación)"/>
      <sheetName val="340 - Depreciaciones"/>
      <sheetName val="350 - Amortizaciones"/>
      <sheetName val="ºEdo.Situación -Subinformesº"/>
      <sheetName val="111 a 113 - Disponible"/>
      <sheetName val="117 - Ventas x Cobrar"/>
      <sheetName val="119-120 - Deudores Varios"/>
      <sheetName val="123 -124 - Prod.Terminado"/>
      <sheetName val="128 - Insumos"/>
      <sheetName val="128 - Insumos Detalle"/>
      <sheetName val="132a 139 -IMPUESTOS X RECUPERAR"/>
      <sheetName val="150 a 155 - Gastos Diferidos"/>
      <sheetName val="171 -Deudores Varios"/>
      <sheetName val="160 -166 -Activo Fijo Resumen"/>
      <sheetName val="160 -166 -Activo Fijo"/>
      <sheetName val="211 - CTM CL"/>
      <sheetName val="218 -Proveedores Resumen"/>
      <sheetName val="221 - Impuestos y Retencion"/>
      <sheetName val="250 -Otras Provisiones"/>
      <sheetName val="ºEdo.Resultado -Anexosº"/>
      <sheetName val="Resumen Negocio"/>
      <sheetName val="Resumen Centro Costo"/>
      <sheetName val="220 -Detalle Castigo Incob."/>
      <sheetName val="250 - Producción -CF y CV"/>
      <sheetName val="ºEdo.Situación -Anexosº"/>
      <sheetName val="117 -Evolución Ventas x Cobrar"/>
      <sheetName val="117 -Comparativo Vtas. x Cobrar"/>
      <sheetName val="132a 139 -Imp.x Rec.Resumen"/>
      <sheetName val="211 -CTM CL Comparativo"/>
      <sheetName val="218 -Proveedores"/>
      <sheetName val="218- Corandes Envases"/>
      <sheetName val="130 - Estandar"/>
      <sheetName val="ºInfo Adicionalº"/>
      <sheetName val="Dólar - IPC"/>
      <sheetName val="%%% Controles y Varios %%%"/>
      <sheetName val="Control CIF"/>
      <sheetName val="Bs. de Cambio -Evolución"/>
      <sheetName val="PT -Absorción CIF"/>
      <sheetName val="%%%Indices Ratios Cálculos %%%"/>
      <sheetName val="Indices y Ratios"/>
      <sheetName val="Días en Cuentas x Pagar"/>
      <sheetName val="Dias Prom.Cobranza y Pago"/>
      <sheetName val="Producción -Relaciones Gastos"/>
      <sheetName val="%%% Otros %%%"/>
      <sheetName val="EERR Marginal"/>
      <sheetName val="EERR Mg Ajuste Estandar MO"/>
      <sheetName val="Mg Disponible x Marca"/>
      <sheetName val="Vta x Canal -Relaciones y Ctrol"/>
      <sheetName val="venta x canal"/>
      <sheetName val="costo x canal"/>
      <sheetName val="%%% Pto. y Año Anterior %%%"/>
      <sheetName val="Edo.Rdo. Año Anterior"/>
      <sheetName val="PV 2002 -Año Anterior"/>
      <sheetName val="Reintegro Año Anterior"/>
      <sheetName val="Presupuesto EERR y E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ummary"/>
      <sheetName val="Balance Sheet"/>
      <sheetName val="Income Statement"/>
      <sheetName val="Ratios"/>
      <sheetName val="Graphs"/>
      <sheetName val="Graphs Data"/>
      <sheetName val="Other Analytical Procedures"/>
      <sheetName val="Tickmarks"/>
    </sheetNames>
    <sheetDataSet>
      <sheetData sheetId="0"/>
      <sheetData sheetId="1"/>
      <sheetData sheetId="2">
        <row r="8">
          <cell r="C8">
            <v>3</v>
          </cell>
          <cell r="D8">
            <v>6</v>
          </cell>
        </row>
        <row r="10">
          <cell r="D10">
            <v>3505</v>
          </cell>
        </row>
        <row r="12">
          <cell r="C12">
            <v>3</v>
          </cell>
          <cell r="D12">
            <v>3511</v>
          </cell>
        </row>
        <row r="18">
          <cell r="C18">
            <v>1262</v>
          </cell>
          <cell r="D18">
            <v>4764</v>
          </cell>
        </row>
        <row r="25">
          <cell r="C25">
            <v>2877</v>
          </cell>
          <cell r="D25">
            <v>6636</v>
          </cell>
          <cell r="J25">
            <v>0</v>
          </cell>
        </row>
        <row r="27">
          <cell r="C27">
            <v>-2675</v>
          </cell>
          <cell r="D27">
            <v>-4569</v>
          </cell>
        </row>
        <row r="28">
          <cell r="C28">
            <v>-22</v>
          </cell>
          <cell r="D28">
            <v>-111</v>
          </cell>
        </row>
        <row r="29">
          <cell r="D29">
            <v>-1378</v>
          </cell>
        </row>
        <row r="32">
          <cell r="C32">
            <v>-2697</v>
          </cell>
          <cell r="D32">
            <v>-6058</v>
          </cell>
        </row>
        <row r="35">
          <cell r="C35">
            <v>-278</v>
          </cell>
          <cell r="D35">
            <v>-278</v>
          </cell>
        </row>
        <row r="38">
          <cell r="C38">
            <v>-180</v>
          </cell>
          <cell r="D38">
            <v>-578</v>
          </cell>
          <cell r="J38">
            <v>0</v>
          </cell>
        </row>
      </sheetData>
      <sheetData sheetId="3">
        <row r="3">
          <cell r="C3">
            <v>40178</v>
          </cell>
          <cell r="E3">
            <v>40178</v>
          </cell>
          <cell r="L3" t="str">
            <v>1/1/20XX</v>
          </cell>
        </row>
        <row r="8">
          <cell r="C8">
            <v>-121</v>
          </cell>
          <cell r="E8">
            <v>-151</v>
          </cell>
        </row>
        <row r="11">
          <cell r="C11">
            <v>-121</v>
          </cell>
          <cell r="E11">
            <v>-151</v>
          </cell>
        </row>
        <row r="22">
          <cell r="C22">
            <v>398</v>
          </cell>
          <cell r="E22">
            <v>169</v>
          </cell>
        </row>
        <row r="24">
          <cell r="E24">
            <v>16</v>
          </cell>
        </row>
        <row r="26">
          <cell r="C26">
            <v>398</v>
          </cell>
          <cell r="E26">
            <v>185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MP"/>
      <sheetName val="PRODUCCION"/>
      <sheetName val="Hoja6"/>
      <sheetName val="detalle de otros"/>
    </sheetNames>
    <sheetDataSet>
      <sheetData sheetId="0" refreshError="1"/>
      <sheetData sheetId="1">
        <row r="41">
          <cell r="Q41">
            <v>7931</v>
          </cell>
        </row>
      </sheetData>
      <sheetData sheetId="2">
        <row r="41">
          <cell r="Q41">
            <v>160811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AS NEC"/>
      <sheetName val="PLANTAS FASB"/>
      <sheetName val="ING. VEG NEC"/>
      <sheetName val="VEG. $ NEC"/>
      <sheetName val="ING.VEG.FASB"/>
      <sheetName val="VEG $ FASB"/>
      <sheetName val="AMORT. A VEGET.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octubre"/>
      <sheetName val="NOVIEMBRE"/>
      <sheetName val="DICIEMBRE"/>
    </sheetNames>
    <sheetDataSet>
      <sheetData sheetId="0">
        <row r="1">
          <cell r="A1" t="str">
            <v>cod_cta</v>
          </cell>
        </row>
      </sheetData>
      <sheetData sheetId="1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padre</v>
          </cell>
          <cell r="E1" t="str">
            <v>compute_0009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 t="str">
            <v>101010000</v>
          </cell>
          <cell r="E2">
            <v>1280</v>
          </cell>
          <cell r="F2" t="str">
            <v>D</v>
          </cell>
          <cell r="G2">
            <v>1280</v>
          </cell>
          <cell r="H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 t="str">
            <v>101010000</v>
          </cell>
          <cell r="E3">
            <v>19734.52</v>
          </cell>
          <cell r="F3" t="str">
            <v>D</v>
          </cell>
          <cell r="G3">
            <v>19734.52</v>
          </cell>
          <cell r="H3">
            <v>19734.52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 t="str">
            <v>101020000</v>
          </cell>
          <cell r="E4">
            <v>5192.97</v>
          </cell>
          <cell r="F4" t="str">
            <v>D</v>
          </cell>
          <cell r="G4">
            <v>5192.97</v>
          </cell>
          <cell r="H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 t="str">
            <v>101010000</v>
          </cell>
          <cell r="E5">
            <v>2364</v>
          </cell>
          <cell r="F5" t="str">
            <v>D</v>
          </cell>
          <cell r="G5">
            <v>2364</v>
          </cell>
          <cell r="H5">
            <v>2364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 t="str">
            <v>101030000</v>
          </cell>
          <cell r="E6">
            <v>1989276.55</v>
          </cell>
          <cell r="F6" t="str">
            <v>D</v>
          </cell>
          <cell r="G6">
            <v>1989276.55</v>
          </cell>
          <cell r="H6">
            <v>1989276.55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 t="str">
            <v>101030000</v>
          </cell>
          <cell r="E7">
            <v>135241.04999999999</v>
          </cell>
          <cell r="F7" t="str">
            <v>D</v>
          </cell>
          <cell r="G7">
            <v>135241.04999999999</v>
          </cell>
          <cell r="H7">
            <v>135241.04999999999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 t="str">
            <v>101030000</v>
          </cell>
          <cell r="E8">
            <v>-4426.1099999999997</v>
          </cell>
          <cell r="F8" t="str">
            <v>D</v>
          </cell>
          <cell r="G8">
            <v>-4426.1099999999997</v>
          </cell>
          <cell r="H8">
            <v>-4426.1099999999997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 t="str">
            <v>101030000</v>
          </cell>
          <cell r="E9">
            <v>-17488.75</v>
          </cell>
          <cell r="F9" t="str">
            <v>D</v>
          </cell>
          <cell r="G9">
            <v>-17488.75</v>
          </cell>
          <cell r="H9">
            <v>-17488.75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 t="str">
            <v>101040000</v>
          </cell>
          <cell r="E10">
            <v>52594.52</v>
          </cell>
          <cell r="F10" t="str">
            <v>D</v>
          </cell>
          <cell r="G10">
            <v>52594.52</v>
          </cell>
          <cell r="H10">
            <v>52594.52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 t="str">
            <v>101050000</v>
          </cell>
          <cell r="E11">
            <v>59647.3</v>
          </cell>
          <cell r="F11" t="str">
            <v>D</v>
          </cell>
          <cell r="G11">
            <v>59647.3</v>
          </cell>
          <cell r="H11">
            <v>59647.3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 t="str">
            <v>101060000</v>
          </cell>
          <cell r="E12">
            <v>345727.64</v>
          </cell>
          <cell r="F12" t="str">
            <v>D</v>
          </cell>
          <cell r="G12">
            <v>345727.64</v>
          </cell>
          <cell r="H12">
            <v>345727.64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 t="str">
            <v>101060000</v>
          </cell>
          <cell r="E13">
            <v>202261.56</v>
          </cell>
          <cell r="F13" t="str">
            <v>D</v>
          </cell>
          <cell r="G13">
            <v>202261.56</v>
          </cell>
          <cell r="H13">
            <v>202261.56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 t="str">
            <v>101060000</v>
          </cell>
          <cell r="E14">
            <v>137499.74</v>
          </cell>
          <cell r="F14" t="str">
            <v>D</v>
          </cell>
          <cell r="G14">
            <v>137499.74</v>
          </cell>
          <cell r="H14">
            <v>137499.74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 t="str">
            <v>101060000</v>
          </cell>
          <cell r="E15">
            <v>93.62</v>
          </cell>
          <cell r="F15" t="str">
            <v>D</v>
          </cell>
          <cell r="G15">
            <v>93.62</v>
          </cell>
          <cell r="H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 t="str">
            <v>101060000</v>
          </cell>
          <cell r="E16">
            <v>-49679.5</v>
          </cell>
          <cell r="F16" t="str">
            <v>D</v>
          </cell>
          <cell r="G16">
            <v>-49679.5</v>
          </cell>
          <cell r="H16">
            <v>-49679.5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 t="str">
            <v>101070000</v>
          </cell>
          <cell r="E17">
            <v>194028.9388</v>
          </cell>
          <cell r="F17" t="str">
            <v>D</v>
          </cell>
          <cell r="G17">
            <v>194028.9388</v>
          </cell>
          <cell r="H17">
            <v>194028.9388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 t="str">
            <v>101070000</v>
          </cell>
          <cell r="E18">
            <v>89745.23</v>
          </cell>
          <cell r="F18" t="str">
            <v>D</v>
          </cell>
          <cell r="G18">
            <v>89745.23</v>
          </cell>
          <cell r="H18">
            <v>89745.23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 t="str">
            <v>102010000</v>
          </cell>
          <cell r="E19">
            <v>783927.26</v>
          </cell>
          <cell r="F19" t="str">
            <v>D</v>
          </cell>
          <cell r="G19">
            <v>783927.26</v>
          </cell>
          <cell r="H19">
            <v>783927.26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 t="str">
            <v>102010000</v>
          </cell>
          <cell r="E20">
            <v>111304.28</v>
          </cell>
          <cell r="F20" t="str">
            <v>D</v>
          </cell>
          <cell r="G20">
            <v>111304.28</v>
          </cell>
          <cell r="H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 t="str">
            <v>102010000</v>
          </cell>
          <cell r="E21">
            <v>-43814.43</v>
          </cell>
          <cell r="F21" t="str">
            <v>D</v>
          </cell>
          <cell r="G21">
            <v>-43814.43</v>
          </cell>
          <cell r="H21">
            <v>-43814.43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 t="str">
            <v>102010000</v>
          </cell>
          <cell r="E22">
            <v>-76463.58</v>
          </cell>
          <cell r="F22" t="str">
            <v>D</v>
          </cell>
          <cell r="G22">
            <v>-76463.58</v>
          </cell>
          <cell r="H22">
            <v>-76463.58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 t="str">
            <v>103010000</v>
          </cell>
          <cell r="E23">
            <v>13117.34</v>
          </cell>
          <cell r="F23" t="str">
            <v>D</v>
          </cell>
          <cell r="G23">
            <v>13117.34</v>
          </cell>
          <cell r="H23">
            <v>13117.34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 t="str">
            <v>103010000</v>
          </cell>
          <cell r="E24">
            <v>200.43</v>
          </cell>
          <cell r="F24" t="str">
            <v>D</v>
          </cell>
          <cell r="G24">
            <v>200.43</v>
          </cell>
          <cell r="H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 t="str">
            <v>103020000</v>
          </cell>
          <cell r="E25">
            <v>50192.42</v>
          </cell>
          <cell r="F25" t="str">
            <v>D</v>
          </cell>
          <cell r="G25">
            <v>50192.42</v>
          </cell>
          <cell r="H25">
            <v>50192.42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 t="str">
            <v>103020000</v>
          </cell>
          <cell r="E26">
            <v>22940.54</v>
          </cell>
          <cell r="F26" t="str">
            <v>D</v>
          </cell>
          <cell r="G26">
            <v>22940.54</v>
          </cell>
          <cell r="H26">
            <v>22940.54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 t="str">
            <v>201010000</v>
          </cell>
          <cell r="E27">
            <v>-0.28000000000000003</v>
          </cell>
          <cell r="F27" t="str">
            <v>C</v>
          </cell>
          <cell r="G27">
            <v>0.28000000000000003</v>
          </cell>
          <cell r="H27">
            <v>0.28000000000000003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 t="str">
            <v>201010000</v>
          </cell>
          <cell r="E28">
            <v>474131.24</v>
          </cell>
          <cell r="F28" t="str">
            <v>C</v>
          </cell>
          <cell r="G28">
            <v>-474131.24</v>
          </cell>
          <cell r="H28">
            <v>-474131.24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 t="str">
            <v>201010000</v>
          </cell>
          <cell r="E29">
            <v>882228.66</v>
          </cell>
          <cell r="F29" t="str">
            <v>C</v>
          </cell>
          <cell r="G29">
            <v>-882228.66</v>
          </cell>
          <cell r="H29">
            <v>-882228.66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 t="str">
            <v>201020000</v>
          </cell>
          <cell r="E30">
            <v>481935.81880000001</v>
          </cell>
          <cell r="F30" t="str">
            <v>C</v>
          </cell>
          <cell r="G30">
            <v>-481935.81880000001</v>
          </cell>
          <cell r="H30">
            <v>-481935.81880000001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 t="str">
            <v>201020000</v>
          </cell>
          <cell r="E31">
            <v>176225.84</v>
          </cell>
          <cell r="F31" t="str">
            <v>C</v>
          </cell>
          <cell r="G31">
            <v>-176225.84</v>
          </cell>
          <cell r="H31">
            <v>-176225.84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 t="str">
            <v>201020000</v>
          </cell>
          <cell r="E32">
            <v>53113.22</v>
          </cell>
          <cell r="F32" t="str">
            <v>C</v>
          </cell>
          <cell r="G32">
            <v>-53113.22</v>
          </cell>
          <cell r="H32">
            <v>-53113.22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 t="str">
            <v>201030000</v>
          </cell>
          <cell r="E33">
            <v>38595.11</v>
          </cell>
          <cell r="F33" t="str">
            <v>C</v>
          </cell>
          <cell r="G33">
            <v>-38595.11</v>
          </cell>
          <cell r="H33">
            <v>-38595.11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 t="str">
            <v>201030000</v>
          </cell>
          <cell r="E34">
            <v>23213.8</v>
          </cell>
          <cell r="F34" t="str">
            <v>C</v>
          </cell>
          <cell r="G34">
            <v>-23213.8</v>
          </cell>
          <cell r="H34">
            <v>-23213.8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 t="str">
            <v>201030000</v>
          </cell>
          <cell r="E35">
            <v>153.79</v>
          </cell>
          <cell r="F35" t="str">
            <v>C</v>
          </cell>
          <cell r="G35">
            <v>-153.79</v>
          </cell>
          <cell r="H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 t="str">
            <v>201040000</v>
          </cell>
          <cell r="E36">
            <v>827189</v>
          </cell>
          <cell r="F36" t="str">
            <v>C</v>
          </cell>
          <cell r="G36">
            <v>-827189</v>
          </cell>
          <cell r="H36">
            <v>-827189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 t="str">
            <v>201040000</v>
          </cell>
          <cell r="E37">
            <v>4600.3500000000004</v>
          </cell>
          <cell r="F37" t="str">
            <v>C</v>
          </cell>
          <cell r="G37">
            <v>-4600.3500000000004</v>
          </cell>
          <cell r="H37">
            <v>-4600.3500000000004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 t="str">
            <v>201040000</v>
          </cell>
          <cell r="E38">
            <v>3064.1</v>
          </cell>
          <cell r="F38" t="str">
            <v>C</v>
          </cell>
          <cell r="G38">
            <v>-3064.1</v>
          </cell>
          <cell r="H38">
            <v>-3064.1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 t="str">
            <v>201050000</v>
          </cell>
          <cell r="E39">
            <v>32186.41</v>
          </cell>
          <cell r="F39" t="str">
            <v>C</v>
          </cell>
          <cell r="G39">
            <v>-32186.41</v>
          </cell>
          <cell r="H39">
            <v>-32186.41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 t="str">
            <v>201050000</v>
          </cell>
          <cell r="E40">
            <v>6371.63</v>
          </cell>
          <cell r="F40" t="str">
            <v>C</v>
          </cell>
          <cell r="G40">
            <v>-6371.63</v>
          </cell>
          <cell r="H40">
            <v>-6371.63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 t="str">
            <v>201050000</v>
          </cell>
          <cell r="E41">
            <v>8629.9240000000009</v>
          </cell>
          <cell r="F41" t="str">
            <v>C</v>
          </cell>
          <cell r="G41">
            <v>-8629.9240000000009</v>
          </cell>
          <cell r="H41">
            <v>-8629.9240000000009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 t="str">
            <v>201060000</v>
          </cell>
          <cell r="E42">
            <v>578.07000000000005</v>
          </cell>
          <cell r="F42" t="str">
            <v>C</v>
          </cell>
          <cell r="G42">
            <v>-578.07000000000005</v>
          </cell>
          <cell r="H42">
            <v>-578.07000000000005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 t="str">
            <v>201060000</v>
          </cell>
          <cell r="E43">
            <v>79550.02</v>
          </cell>
          <cell r="F43" t="str">
            <v>C</v>
          </cell>
          <cell r="G43">
            <v>-79550.02</v>
          </cell>
          <cell r="H43">
            <v>-79550.02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 t="str">
            <v>201060000</v>
          </cell>
          <cell r="E44">
            <v>78534</v>
          </cell>
          <cell r="F44" t="str">
            <v>C</v>
          </cell>
          <cell r="G44">
            <v>-78534</v>
          </cell>
          <cell r="H44">
            <v>-78534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 t="str">
            <v>201060000</v>
          </cell>
          <cell r="E45">
            <v>12697.57</v>
          </cell>
          <cell r="F45" t="str">
            <v>C</v>
          </cell>
          <cell r="G45">
            <v>-12697.57</v>
          </cell>
          <cell r="H45">
            <v>-12697.57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 t="str">
            <v>301010000</v>
          </cell>
          <cell r="E46">
            <v>424640</v>
          </cell>
          <cell r="F46" t="str">
            <v>C</v>
          </cell>
          <cell r="G46">
            <v>-424640</v>
          </cell>
          <cell r="H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 t="str">
            <v>301010000</v>
          </cell>
          <cell r="E47">
            <v>342021.54</v>
          </cell>
          <cell r="F47" t="str">
            <v>C</v>
          </cell>
          <cell r="G47">
            <v>-342021.54</v>
          </cell>
          <cell r="H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 t="str">
            <v>301010000</v>
          </cell>
          <cell r="E48">
            <v>-175239.93</v>
          </cell>
          <cell r="F48" t="str">
            <v>C</v>
          </cell>
          <cell r="G48">
            <v>175239.93</v>
          </cell>
          <cell r="H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 t="str">
            <v>301010000</v>
          </cell>
          <cell r="E49">
            <v>41579</v>
          </cell>
          <cell r="F49" t="str">
            <v>C</v>
          </cell>
          <cell r="G49">
            <v>-41579</v>
          </cell>
          <cell r="H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 t="str">
            <v>301010000</v>
          </cell>
          <cell r="E50">
            <v>208498.65599999999</v>
          </cell>
          <cell r="F50" t="str">
            <v>C</v>
          </cell>
          <cell r="G50">
            <v>-208498.65599999999</v>
          </cell>
          <cell r="H50">
            <v>-208498.65599999999</v>
          </cell>
        </row>
      </sheetData>
      <sheetData sheetId="2">
        <row r="1">
          <cell r="A1" t="str">
            <v>cod_cta</v>
          </cell>
          <cell r="B1" t="str">
            <v>nom_cta</v>
          </cell>
          <cell r="C1" t="str">
            <v>nivel</v>
          </cell>
          <cell r="D1" t="str">
            <v>compute_0009</v>
          </cell>
          <cell r="E1" t="str">
            <v>compute_0014</v>
          </cell>
          <cell r="F1" t="str">
            <v>compute_0014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1280</v>
          </cell>
          <cell r="E2" t="str">
            <v>D</v>
          </cell>
          <cell r="F2">
            <v>1280</v>
          </cell>
          <cell r="G2">
            <v>1280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103713.8838</v>
          </cell>
          <cell r="E3" t="str">
            <v>D</v>
          </cell>
          <cell r="F3">
            <v>103713.8838</v>
          </cell>
          <cell r="G3">
            <v>103713.8838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3714</v>
          </cell>
          <cell r="E5" t="str">
            <v>D</v>
          </cell>
          <cell r="F5">
            <v>3714</v>
          </cell>
          <cell r="G5">
            <v>3714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2127488.64</v>
          </cell>
          <cell r="E6" t="str">
            <v>D</v>
          </cell>
          <cell r="F6">
            <v>2127488.64</v>
          </cell>
          <cell r="G6">
            <v>2127488.64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150881.01999999999</v>
          </cell>
          <cell r="E7" t="str">
            <v>D</v>
          </cell>
          <cell r="F7">
            <v>150881.01999999999</v>
          </cell>
          <cell r="G7">
            <v>150881.01999999999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11328.2</v>
          </cell>
          <cell r="E8" t="str">
            <v>D</v>
          </cell>
          <cell r="F8">
            <v>11328.2</v>
          </cell>
          <cell r="G8">
            <v>11328.2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-18420.97</v>
          </cell>
          <cell r="E9" t="str">
            <v>D</v>
          </cell>
          <cell r="F9">
            <v>-18420.97</v>
          </cell>
          <cell r="G9">
            <v>-18420.97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59460.46</v>
          </cell>
          <cell r="E10" t="str">
            <v>D</v>
          </cell>
          <cell r="F10">
            <v>59460.46</v>
          </cell>
          <cell r="G10">
            <v>59460.46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64925.89</v>
          </cell>
          <cell r="E11" t="str">
            <v>D</v>
          </cell>
          <cell r="F11">
            <v>64925.89</v>
          </cell>
          <cell r="G11">
            <v>64925.89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347244.2</v>
          </cell>
          <cell r="E12" t="str">
            <v>D</v>
          </cell>
          <cell r="F12">
            <v>347244.2</v>
          </cell>
          <cell r="G12">
            <v>347244.2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240784.46</v>
          </cell>
          <cell r="E13" t="str">
            <v>D</v>
          </cell>
          <cell r="F13">
            <v>240784.46</v>
          </cell>
          <cell r="G13">
            <v>240784.46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131299.81</v>
          </cell>
          <cell r="E14" t="str">
            <v>D</v>
          </cell>
          <cell r="F14">
            <v>131299.81</v>
          </cell>
          <cell r="G14">
            <v>131299.81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93.62</v>
          </cell>
          <cell r="E15" t="str">
            <v>D</v>
          </cell>
          <cell r="F15">
            <v>93.62</v>
          </cell>
          <cell r="G15">
            <v>93.62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-50977.89</v>
          </cell>
          <cell r="E16" t="str">
            <v>D</v>
          </cell>
          <cell r="F16">
            <v>-50977.89</v>
          </cell>
          <cell r="G16">
            <v>-50977.89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258285.9344</v>
          </cell>
          <cell r="E17" t="str">
            <v>D</v>
          </cell>
          <cell r="F17">
            <v>258285.9344</v>
          </cell>
          <cell r="G17">
            <v>258285.9344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114949.55</v>
          </cell>
          <cell r="E18" t="str">
            <v>D</v>
          </cell>
          <cell r="F18">
            <v>114949.55</v>
          </cell>
          <cell r="G18">
            <v>114949.55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809480.31</v>
          </cell>
          <cell r="E19" t="str">
            <v>D</v>
          </cell>
          <cell r="F19">
            <v>809480.31</v>
          </cell>
          <cell r="G19">
            <v>809480.31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-47579.27</v>
          </cell>
          <cell r="E21" t="str">
            <v>D</v>
          </cell>
          <cell r="F21">
            <v>-47579.27</v>
          </cell>
          <cell r="G21">
            <v>-47579.27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-79083.039999999994</v>
          </cell>
          <cell r="E22" t="str">
            <v>D</v>
          </cell>
          <cell r="F22">
            <v>-79083.039999999994</v>
          </cell>
          <cell r="G22">
            <v>-79083.039999999994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30361.31</v>
          </cell>
          <cell r="E25" t="str">
            <v>D</v>
          </cell>
          <cell r="F25">
            <v>30361.31</v>
          </cell>
          <cell r="G25">
            <v>30361.31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699516.74</v>
          </cell>
          <cell r="E28" t="str">
            <v>C</v>
          </cell>
          <cell r="F28">
            <v>-699516.74</v>
          </cell>
          <cell r="G28">
            <v>-699516.74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823895.33</v>
          </cell>
          <cell r="E29" t="str">
            <v>C</v>
          </cell>
          <cell r="F29">
            <v>-823895.33</v>
          </cell>
          <cell r="G29">
            <v>-823895.33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485912.02639999997</v>
          </cell>
          <cell r="E30" t="str">
            <v>C</v>
          </cell>
          <cell r="F30">
            <v>-485912.02639999997</v>
          </cell>
          <cell r="G30">
            <v>-485912.02639999997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39323.9</v>
          </cell>
          <cell r="E32" t="str">
            <v>C</v>
          </cell>
          <cell r="F32">
            <v>-39323.9</v>
          </cell>
          <cell r="G32">
            <v>-39323.9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842143.04</v>
          </cell>
          <cell r="E36" t="str">
            <v>C</v>
          </cell>
          <cell r="F36">
            <v>-842143.04</v>
          </cell>
          <cell r="G36">
            <v>-842143.04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3758.93</v>
          </cell>
          <cell r="E37" t="str">
            <v>C</v>
          </cell>
          <cell r="F37">
            <v>-3758.93</v>
          </cell>
          <cell r="G37">
            <v>-3758.93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2713.38</v>
          </cell>
          <cell r="E38" t="str">
            <v>C</v>
          </cell>
          <cell r="F38">
            <v>-2713.38</v>
          </cell>
          <cell r="G38">
            <v>-2713.38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11589.28</v>
          </cell>
          <cell r="E39" t="str">
            <v>C</v>
          </cell>
          <cell r="F39">
            <v>-11589.28</v>
          </cell>
          <cell r="G39">
            <v>-11589.28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2822.93</v>
          </cell>
          <cell r="E40" t="str">
            <v>C</v>
          </cell>
          <cell r="F40">
            <v>-2822.93</v>
          </cell>
          <cell r="G40">
            <v>-2822.93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10505.074000000001</v>
          </cell>
          <cell r="E41" t="str">
            <v>C</v>
          </cell>
          <cell r="F41">
            <v>-10505.074000000001</v>
          </cell>
          <cell r="G41">
            <v>-10505.074000000001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24732.43</v>
          </cell>
          <cell r="E42" t="str">
            <v>C</v>
          </cell>
          <cell r="F42">
            <v>-24732.43</v>
          </cell>
          <cell r="G42">
            <v>-24732.43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87690.15</v>
          </cell>
          <cell r="E43" t="str">
            <v>C</v>
          </cell>
          <cell r="F43">
            <v>-87690.15</v>
          </cell>
          <cell r="G43">
            <v>-87690.15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87548.67</v>
          </cell>
          <cell r="E44" t="str">
            <v>C</v>
          </cell>
          <cell r="F44">
            <v>-87548.67</v>
          </cell>
          <cell r="G44">
            <v>-87548.67</v>
          </cell>
        </row>
        <row r="45">
          <cell r="A45" t="str">
            <v>201060400</v>
          </cell>
          <cell r="B45" t="str">
            <v>REGALIAS POR PAGAR</v>
          </cell>
          <cell r="C45" t="str">
            <v>4</v>
          </cell>
          <cell r="D45">
            <v>23156.35</v>
          </cell>
          <cell r="E45" t="str">
            <v>C</v>
          </cell>
          <cell r="F45">
            <v>-23156.35</v>
          </cell>
          <cell r="G45">
            <v>-23156.35</v>
          </cell>
        </row>
        <row r="46">
          <cell r="A46" t="str">
            <v>301010100</v>
          </cell>
          <cell r="B46" t="str">
            <v>CAPITAL SOCIAL</v>
          </cell>
          <cell r="C46" t="str">
            <v>4</v>
          </cell>
          <cell r="D46">
            <v>424640</v>
          </cell>
          <cell r="E46" t="str">
            <v>C</v>
          </cell>
          <cell r="F46">
            <v>-424640</v>
          </cell>
          <cell r="G46">
            <v>-424640</v>
          </cell>
        </row>
        <row r="47">
          <cell r="A47" t="str">
            <v>301010200</v>
          </cell>
          <cell r="B47" t="str">
            <v>RESERVAS</v>
          </cell>
          <cell r="C47" t="str">
            <v>4</v>
          </cell>
          <cell r="D47">
            <v>342021.54</v>
          </cell>
          <cell r="E47" t="str">
            <v>C</v>
          </cell>
          <cell r="F47">
            <v>-342021.54</v>
          </cell>
          <cell r="G47">
            <v>-342021.54</v>
          </cell>
        </row>
        <row r="48">
          <cell r="A48" t="str">
            <v>301010300</v>
          </cell>
          <cell r="B48" t="str">
            <v>REEXPRESION MONETARIA</v>
          </cell>
          <cell r="C48" t="str">
            <v>4</v>
          </cell>
          <cell r="D48">
            <v>-175239.93</v>
          </cell>
          <cell r="E48" t="str">
            <v>C</v>
          </cell>
          <cell r="F48">
            <v>175239.93</v>
          </cell>
          <cell r="G48">
            <v>175239.93</v>
          </cell>
        </row>
        <row r="49">
          <cell r="A49" t="str">
            <v>301010400</v>
          </cell>
          <cell r="B49" t="str">
            <v>UTILIDADES RETENIDAS</v>
          </cell>
          <cell r="C49" t="str">
            <v>4</v>
          </cell>
          <cell r="D49">
            <v>41579</v>
          </cell>
          <cell r="E49" t="str">
            <v>C</v>
          </cell>
          <cell r="F49">
            <v>-41579</v>
          </cell>
          <cell r="G49">
            <v>-41579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</sheetData>
      <sheetData sheetId="3">
        <row r="1">
          <cell r="A1" t="str">
            <v>cod_cta</v>
          </cell>
        </row>
        <row r="2">
          <cell r="A2" t="str">
            <v>101010100</v>
          </cell>
          <cell r="B2" t="str">
            <v>CAJA</v>
          </cell>
          <cell r="C2" t="str">
            <v>4</v>
          </cell>
          <cell r="D2">
            <v>1680</v>
          </cell>
          <cell r="E2" t="str">
            <v>D</v>
          </cell>
          <cell r="F2">
            <v>1680</v>
          </cell>
          <cell r="G2">
            <v>1680</v>
          </cell>
        </row>
        <row r="3">
          <cell r="A3" t="str">
            <v>101010200</v>
          </cell>
          <cell r="B3" t="str">
            <v>BANCOS</v>
          </cell>
          <cell r="C3" t="str">
            <v>4</v>
          </cell>
          <cell r="D3">
            <v>111406.9538</v>
          </cell>
          <cell r="E3" t="str">
            <v>D</v>
          </cell>
          <cell r="F3">
            <v>111406.9538</v>
          </cell>
          <cell r="G3">
            <v>111406.9538</v>
          </cell>
        </row>
        <row r="4">
          <cell r="A4" t="str">
            <v>101020100</v>
          </cell>
          <cell r="B4" t="str">
            <v>INVERSIONES</v>
          </cell>
          <cell r="C4" t="str">
            <v>4</v>
          </cell>
          <cell r="D4">
            <v>5192.97</v>
          </cell>
          <cell r="E4" t="str">
            <v>D</v>
          </cell>
          <cell r="F4">
            <v>5192.97</v>
          </cell>
          <cell r="G4">
            <v>5192.97</v>
          </cell>
        </row>
        <row r="5">
          <cell r="A5" t="str">
            <v>101020200</v>
          </cell>
          <cell r="B5" t="str">
            <v>DEPOSITOS EN GARANTIA</v>
          </cell>
          <cell r="C5" t="str">
            <v>4</v>
          </cell>
          <cell r="D5">
            <v>2060</v>
          </cell>
          <cell r="E5" t="str">
            <v>D</v>
          </cell>
          <cell r="F5">
            <v>2060</v>
          </cell>
          <cell r="G5">
            <v>2060</v>
          </cell>
        </row>
        <row r="6">
          <cell r="A6" t="str">
            <v>101030100</v>
          </cell>
          <cell r="B6" t="str">
            <v>CLIENTES</v>
          </cell>
          <cell r="C6" t="str">
            <v>4</v>
          </cell>
          <cell r="D6">
            <v>2189856.36</v>
          </cell>
          <cell r="E6" t="str">
            <v>D</v>
          </cell>
          <cell r="F6">
            <v>2189856.36</v>
          </cell>
          <cell r="G6">
            <v>2189856.36</v>
          </cell>
        </row>
        <row r="7">
          <cell r="A7" t="str">
            <v>101030300</v>
          </cell>
          <cell r="B7" t="str">
            <v>CUENTAS POR COBRAR PERSONAL</v>
          </cell>
          <cell r="C7" t="str">
            <v>4</v>
          </cell>
          <cell r="D7">
            <v>146141.20000000001</v>
          </cell>
          <cell r="E7" t="str">
            <v>D</v>
          </cell>
          <cell r="F7">
            <v>146141.20000000001</v>
          </cell>
          <cell r="G7">
            <v>146141.20000000001</v>
          </cell>
        </row>
        <row r="8">
          <cell r="A8" t="str">
            <v>101030400</v>
          </cell>
          <cell r="B8" t="str">
            <v>OTRAS CUENTAS POR COBRAR</v>
          </cell>
          <cell r="C8" t="str">
            <v>4</v>
          </cell>
          <cell r="D8">
            <v>-51801.279999999999</v>
          </cell>
          <cell r="E8" t="str">
            <v>D</v>
          </cell>
          <cell r="F8">
            <v>-51801.279999999999</v>
          </cell>
          <cell r="G8">
            <v>-51801.279999999999</v>
          </cell>
        </row>
        <row r="9">
          <cell r="A9" t="str">
            <v>101030500</v>
          </cell>
          <cell r="B9" t="str">
            <v>PROVISION CLIENTES</v>
          </cell>
          <cell r="C9" t="str">
            <v>4</v>
          </cell>
          <cell r="D9">
            <v>-16531.39</v>
          </cell>
          <cell r="E9" t="str">
            <v>D</v>
          </cell>
          <cell r="F9">
            <v>-16531.39</v>
          </cell>
          <cell r="G9">
            <v>-16531.39</v>
          </cell>
        </row>
        <row r="10">
          <cell r="A10" t="str">
            <v>101040100</v>
          </cell>
          <cell r="B10" t="str">
            <v>ANTICIPO PROVEEDORES</v>
          </cell>
          <cell r="C10" t="str">
            <v>4</v>
          </cell>
          <cell r="D10">
            <v>47785.06</v>
          </cell>
          <cell r="E10" t="str">
            <v>D</v>
          </cell>
          <cell r="F10">
            <v>47785.06</v>
          </cell>
          <cell r="G10">
            <v>47785.06</v>
          </cell>
        </row>
        <row r="11">
          <cell r="A11" t="str">
            <v>101050100</v>
          </cell>
          <cell r="B11" t="str">
            <v>IMPUESTOS CREDITO TRIBUTARIO</v>
          </cell>
          <cell r="C11" t="str">
            <v>4</v>
          </cell>
          <cell r="D11">
            <v>69653.279999999999</v>
          </cell>
          <cell r="E11" t="str">
            <v>D</v>
          </cell>
          <cell r="F11">
            <v>69653.279999999999</v>
          </cell>
          <cell r="G11">
            <v>69653.279999999999</v>
          </cell>
        </row>
        <row r="12">
          <cell r="A12" t="str">
            <v>101060100</v>
          </cell>
          <cell r="B12" t="str">
            <v>INVENTARIOS COSMED</v>
          </cell>
          <cell r="C12" t="str">
            <v>4</v>
          </cell>
          <cell r="D12">
            <v>346043.02</v>
          </cell>
          <cell r="E12" t="str">
            <v>D</v>
          </cell>
          <cell r="F12">
            <v>346043.02</v>
          </cell>
          <cell r="G12">
            <v>346043.02</v>
          </cell>
        </row>
        <row r="13">
          <cell r="A13" t="str">
            <v>101060200</v>
          </cell>
          <cell r="B13" t="str">
            <v>INVENTARIOS MEDICAL</v>
          </cell>
          <cell r="C13" t="str">
            <v>4</v>
          </cell>
          <cell r="D13">
            <v>178240.98</v>
          </cell>
          <cell r="E13" t="str">
            <v>D</v>
          </cell>
          <cell r="F13">
            <v>178240.98</v>
          </cell>
          <cell r="G13">
            <v>178240.98</v>
          </cell>
        </row>
        <row r="14">
          <cell r="A14" t="str">
            <v>101060300</v>
          </cell>
          <cell r="B14" t="str">
            <v>INVENTARIOS TESA</v>
          </cell>
          <cell r="C14" t="str">
            <v>4</v>
          </cell>
          <cell r="D14">
            <v>114999.54</v>
          </cell>
          <cell r="E14" t="str">
            <v>D</v>
          </cell>
          <cell r="F14">
            <v>114999.54</v>
          </cell>
          <cell r="G14">
            <v>114999.54</v>
          </cell>
        </row>
        <row r="15">
          <cell r="A15" t="str">
            <v>101060400</v>
          </cell>
          <cell r="B15" t="str">
            <v>PRODUCTOS PARA PROMOCIONES</v>
          </cell>
          <cell r="C15" t="str">
            <v>4</v>
          </cell>
          <cell r="D15">
            <v>86.26</v>
          </cell>
          <cell r="E15" t="str">
            <v>D</v>
          </cell>
          <cell r="F15">
            <v>86.26</v>
          </cell>
          <cell r="G15">
            <v>86.26</v>
          </cell>
        </row>
        <row r="16">
          <cell r="A16" t="str">
            <v>101060500</v>
          </cell>
          <cell r="B16" t="str">
            <v>PROVISION INVENTARIOS</v>
          </cell>
          <cell r="C16" t="str">
            <v>4</v>
          </cell>
          <cell r="D16">
            <v>-35304.26</v>
          </cell>
          <cell r="E16" t="str">
            <v>D</v>
          </cell>
          <cell r="F16">
            <v>-35304.26</v>
          </cell>
          <cell r="G16">
            <v>-35304.26</v>
          </cell>
        </row>
        <row r="17">
          <cell r="A17" t="str">
            <v>101070100</v>
          </cell>
          <cell r="B17" t="str">
            <v>FACTURAS TRANSITO</v>
          </cell>
          <cell r="C17" t="str">
            <v>4</v>
          </cell>
          <cell r="D17">
            <v>267838.57059999998</v>
          </cell>
          <cell r="E17" t="str">
            <v>D</v>
          </cell>
          <cell r="F17">
            <v>267838.57059999998</v>
          </cell>
          <cell r="G17">
            <v>267838.57059999998</v>
          </cell>
        </row>
        <row r="18">
          <cell r="A18" t="str">
            <v>101070200</v>
          </cell>
          <cell r="B18" t="str">
            <v>GASTOS DE IMPORTACION</v>
          </cell>
          <cell r="C18" t="str">
            <v>4</v>
          </cell>
          <cell r="D18">
            <v>122766.6</v>
          </cell>
          <cell r="E18" t="str">
            <v>D</v>
          </cell>
          <cell r="F18">
            <v>122766.6</v>
          </cell>
          <cell r="G18">
            <v>122766.6</v>
          </cell>
        </row>
        <row r="19">
          <cell r="A19" t="str">
            <v>102010100</v>
          </cell>
          <cell r="B19" t="str">
            <v>PROPIEDAD PLANTA Y EQUIPO</v>
          </cell>
          <cell r="C19" t="str">
            <v>4</v>
          </cell>
          <cell r="D19">
            <v>811824.31</v>
          </cell>
          <cell r="E19" t="str">
            <v>D</v>
          </cell>
          <cell r="F19">
            <v>811824.31</v>
          </cell>
          <cell r="G19">
            <v>811824.31</v>
          </cell>
        </row>
        <row r="20">
          <cell r="A20" t="str">
            <v>102010200</v>
          </cell>
          <cell r="B20" t="str">
            <v>REVALORIZACION ACTIVOS FIJOS</v>
          </cell>
          <cell r="C20" t="str">
            <v>4</v>
          </cell>
          <cell r="D20">
            <v>111304.28</v>
          </cell>
          <cell r="E20" t="str">
            <v>D</v>
          </cell>
          <cell r="F20">
            <v>111304.28</v>
          </cell>
          <cell r="G20">
            <v>111304.28</v>
          </cell>
        </row>
        <row r="21">
          <cell r="A21" t="str">
            <v>102010300</v>
          </cell>
          <cell r="B21" t="str">
            <v>DEPRECIACION ACUMULADA ACTIVOS FIJOS</v>
          </cell>
          <cell r="C21" t="str">
            <v>4</v>
          </cell>
          <cell r="D21">
            <v>-49461.69</v>
          </cell>
          <cell r="E21" t="str">
            <v>D</v>
          </cell>
          <cell r="F21">
            <v>-49461.69</v>
          </cell>
          <cell r="G21">
            <v>-49461.69</v>
          </cell>
        </row>
        <row r="22">
          <cell r="A22" t="str">
            <v>102010400</v>
          </cell>
          <cell r="B22" t="str">
            <v>DEP. ACUM. POR REVALORIAZCION</v>
          </cell>
          <cell r="C22" t="str">
            <v>4</v>
          </cell>
          <cell r="D22">
            <v>-80392.77</v>
          </cell>
          <cell r="E22" t="str">
            <v>D</v>
          </cell>
          <cell r="F22">
            <v>-80392.77</v>
          </cell>
          <cell r="G22">
            <v>-80392.77</v>
          </cell>
        </row>
        <row r="23">
          <cell r="A23" t="str">
            <v>103010100</v>
          </cell>
          <cell r="B23" t="str">
            <v>GASTOS ANTICIPADOS</v>
          </cell>
          <cell r="C23" t="str">
            <v>4</v>
          </cell>
          <cell r="D23">
            <v>4347.37</v>
          </cell>
          <cell r="E23" t="str">
            <v>D</v>
          </cell>
          <cell r="F23">
            <v>4347.37</v>
          </cell>
          <cell r="G23">
            <v>4347.37</v>
          </cell>
        </row>
        <row r="24">
          <cell r="A24" t="str">
            <v>103010200</v>
          </cell>
          <cell r="B24" t="str">
            <v>SEGUROS PAGADOS POR ANTICIPADO</v>
          </cell>
          <cell r="C24" t="str">
            <v>4</v>
          </cell>
          <cell r="D24">
            <v>200.43</v>
          </cell>
          <cell r="E24" t="str">
            <v>D</v>
          </cell>
          <cell r="F24">
            <v>200.43</v>
          </cell>
          <cell r="G24">
            <v>200.43</v>
          </cell>
        </row>
        <row r="25">
          <cell r="A25" t="str">
            <v>103020100</v>
          </cell>
          <cell r="B25" t="str">
            <v>DIFERIDOS DE MARKETING</v>
          </cell>
          <cell r="C25" t="str">
            <v>4</v>
          </cell>
          <cell r="D25">
            <v>47248.27</v>
          </cell>
          <cell r="E25" t="str">
            <v>D</v>
          </cell>
          <cell r="F25">
            <v>47248.27</v>
          </cell>
          <cell r="G25">
            <v>47248.27</v>
          </cell>
        </row>
        <row r="26">
          <cell r="A26" t="str">
            <v>103020200</v>
          </cell>
          <cell r="B26" t="str">
            <v>ACTIVOS Y GASTOS DIFERIDOS</v>
          </cell>
          <cell r="C26" t="str">
            <v>4</v>
          </cell>
          <cell r="D26">
            <v>-0.01</v>
          </cell>
          <cell r="E26" t="str">
            <v>D</v>
          </cell>
          <cell r="F26">
            <v>-0.01</v>
          </cell>
          <cell r="G26">
            <v>-0.01</v>
          </cell>
        </row>
        <row r="27">
          <cell r="A27" t="str">
            <v>201010100</v>
          </cell>
          <cell r="B27" t="str">
            <v>SOBREGIROS OCASIONALES</v>
          </cell>
          <cell r="C27" t="str">
            <v>4</v>
          </cell>
          <cell r="D27">
            <v>122842.6</v>
          </cell>
          <cell r="E27" t="str">
            <v>C</v>
          </cell>
          <cell r="F27">
            <v>-122842.6</v>
          </cell>
          <cell r="G27">
            <v>-122842.6</v>
          </cell>
        </row>
        <row r="28">
          <cell r="A28" t="str">
            <v>201010200</v>
          </cell>
          <cell r="B28" t="str">
            <v>PRESTAMOS BANCARIOS</v>
          </cell>
          <cell r="C28" t="str">
            <v>4</v>
          </cell>
          <cell r="D28">
            <v>599614.92000000004</v>
          </cell>
          <cell r="E28" t="str">
            <v>C</v>
          </cell>
          <cell r="F28">
            <v>-599614.92000000004</v>
          </cell>
          <cell r="G28">
            <v>-599614.92000000004</v>
          </cell>
        </row>
        <row r="29">
          <cell r="A29" t="str">
            <v>201010300</v>
          </cell>
          <cell r="B29" t="str">
            <v>PRESTAMOS CIAS RELACIONADAS</v>
          </cell>
          <cell r="C29" t="str">
            <v>4</v>
          </cell>
          <cell r="D29">
            <v>810822.7</v>
          </cell>
          <cell r="E29" t="str">
            <v>C</v>
          </cell>
          <cell r="F29">
            <v>-810822.7</v>
          </cell>
          <cell r="G29">
            <v>-810822.7</v>
          </cell>
        </row>
        <row r="30">
          <cell r="A30" t="str">
            <v>201020100</v>
          </cell>
          <cell r="B30" t="str">
            <v>PROVEEDORES CIAS. RELACIONADAS COSMED</v>
          </cell>
          <cell r="C30" t="str">
            <v>4</v>
          </cell>
          <cell r="D30">
            <v>628745.34259999997</v>
          </cell>
          <cell r="E30" t="str">
            <v>C</v>
          </cell>
          <cell r="F30">
            <v>-628745.34259999997</v>
          </cell>
          <cell r="G30">
            <v>-628745.34259999997</v>
          </cell>
        </row>
        <row r="31">
          <cell r="A31" t="str">
            <v>201020200</v>
          </cell>
          <cell r="B31" t="str">
            <v>PROVEEDORES CIAS. RELACIONADAS MEDICAL</v>
          </cell>
          <cell r="C31" t="str">
            <v>4</v>
          </cell>
          <cell r="D31">
            <v>158846.71</v>
          </cell>
          <cell r="E31" t="str">
            <v>C</v>
          </cell>
          <cell r="F31">
            <v>-158846.71</v>
          </cell>
          <cell r="G31">
            <v>-158846.71</v>
          </cell>
        </row>
        <row r="32">
          <cell r="A32" t="str">
            <v>201020300</v>
          </cell>
          <cell r="B32" t="str">
            <v>PROVEEDORES CIAS. RELACIONADAS TESA</v>
          </cell>
          <cell r="C32" t="str">
            <v>4</v>
          </cell>
          <cell r="D32">
            <v>37816.33</v>
          </cell>
          <cell r="E32" t="str">
            <v>C</v>
          </cell>
          <cell r="F32">
            <v>-37816.33</v>
          </cell>
          <cell r="G32">
            <v>-37816.33</v>
          </cell>
        </row>
        <row r="33">
          <cell r="A33" t="str">
            <v>201030100</v>
          </cell>
          <cell r="B33" t="str">
            <v>PROVEEDORES TERCEROS COSMED</v>
          </cell>
          <cell r="C33" t="str">
            <v>4</v>
          </cell>
          <cell r="D33">
            <v>47074.438000000002</v>
          </cell>
          <cell r="E33" t="str">
            <v>C</v>
          </cell>
          <cell r="F33">
            <v>-47074.438000000002</v>
          </cell>
          <cell r="G33">
            <v>-47074.438000000002</v>
          </cell>
        </row>
        <row r="34">
          <cell r="A34" t="str">
            <v>201030200</v>
          </cell>
          <cell r="B34" t="str">
            <v>PROVEEDORES TERCEROS MEDICAL</v>
          </cell>
          <cell r="C34" t="str">
            <v>4</v>
          </cell>
          <cell r="D34">
            <v>34074.959999999999</v>
          </cell>
          <cell r="E34" t="str">
            <v>C</v>
          </cell>
          <cell r="F34">
            <v>-34074.959999999999</v>
          </cell>
          <cell r="G34">
            <v>-34074.959999999999</v>
          </cell>
        </row>
        <row r="35">
          <cell r="A35" t="str">
            <v>201030300</v>
          </cell>
          <cell r="B35" t="str">
            <v>PROVEEDORES TERCEROS TESA</v>
          </cell>
          <cell r="C35" t="str">
            <v>4</v>
          </cell>
          <cell r="D35">
            <v>153.79</v>
          </cell>
          <cell r="E35" t="str">
            <v>C</v>
          </cell>
          <cell r="F35">
            <v>-153.79</v>
          </cell>
          <cell r="G35">
            <v>-153.79</v>
          </cell>
        </row>
        <row r="36">
          <cell r="A36" t="str">
            <v>201040100</v>
          </cell>
          <cell r="B36" t="str">
            <v>PROVEEDORES LOCALES</v>
          </cell>
          <cell r="C36" t="str">
            <v>4</v>
          </cell>
          <cell r="D36">
            <v>808337.53</v>
          </cell>
          <cell r="E36" t="str">
            <v>C</v>
          </cell>
          <cell r="F36">
            <v>-808337.53</v>
          </cell>
          <cell r="G36">
            <v>-808337.53</v>
          </cell>
        </row>
        <row r="37">
          <cell r="A37" t="str">
            <v>201040200</v>
          </cell>
          <cell r="B37" t="str">
            <v>CUENTAS POR PAGAR NOMINA</v>
          </cell>
          <cell r="C37" t="str">
            <v>4</v>
          </cell>
          <cell r="D37">
            <v>3947.54</v>
          </cell>
          <cell r="E37" t="str">
            <v>C</v>
          </cell>
          <cell r="F37">
            <v>-3947.54</v>
          </cell>
          <cell r="G37">
            <v>-3947.54</v>
          </cell>
        </row>
        <row r="38">
          <cell r="A38" t="str">
            <v>201040300</v>
          </cell>
          <cell r="B38" t="str">
            <v>OTRAS CUENTAS POR PAGAR</v>
          </cell>
          <cell r="C38" t="str">
            <v>4</v>
          </cell>
          <cell r="D38">
            <v>2695.14</v>
          </cell>
          <cell r="E38" t="str">
            <v>C</v>
          </cell>
          <cell r="F38">
            <v>-2695.14</v>
          </cell>
          <cell r="G38">
            <v>-2695.14</v>
          </cell>
        </row>
        <row r="39">
          <cell r="A39" t="str">
            <v>201050100</v>
          </cell>
          <cell r="B39" t="str">
            <v>IMPUESTO GENERADO</v>
          </cell>
          <cell r="C39" t="str">
            <v>4</v>
          </cell>
          <cell r="D39">
            <v>24266.43</v>
          </cell>
          <cell r="E39" t="str">
            <v>C</v>
          </cell>
          <cell r="F39">
            <v>-24266.43</v>
          </cell>
          <cell r="G39">
            <v>-24266.43</v>
          </cell>
        </row>
        <row r="40">
          <cell r="A40" t="str">
            <v>201050200</v>
          </cell>
          <cell r="B40" t="str">
            <v>RETENCIONES EN LA FUENTE</v>
          </cell>
          <cell r="C40" t="str">
            <v>4</v>
          </cell>
          <cell r="D40">
            <v>7141.72</v>
          </cell>
          <cell r="E40" t="str">
            <v>C</v>
          </cell>
          <cell r="F40">
            <v>-7141.72</v>
          </cell>
          <cell r="G40">
            <v>-7141.72</v>
          </cell>
        </row>
        <row r="41">
          <cell r="A41" t="str">
            <v>201050300</v>
          </cell>
          <cell r="B41" t="str">
            <v>RETENCIONES IVA</v>
          </cell>
          <cell r="C41" t="str">
            <v>4</v>
          </cell>
          <cell r="D41">
            <v>9889.4740000000002</v>
          </cell>
          <cell r="E41" t="str">
            <v>C</v>
          </cell>
          <cell r="F41">
            <v>-9889.4740000000002</v>
          </cell>
          <cell r="G41">
            <v>-9889.4740000000002</v>
          </cell>
        </row>
        <row r="42">
          <cell r="A42" t="str">
            <v>201060100</v>
          </cell>
          <cell r="B42" t="str">
            <v>PROVISIONES MARKETING</v>
          </cell>
          <cell r="C42" t="str">
            <v>4</v>
          </cell>
          <cell r="D42">
            <v>568.65</v>
          </cell>
          <cell r="E42" t="str">
            <v>C</v>
          </cell>
          <cell r="F42">
            <v>-568.65</v>
          </cell>
          <cell r="G42">
            <v>-568.65</v>
          </cell>
        </row>
        <row r="43">
          <cell r="A43" t="str">
            <v>201060200</v>
          </cell>
          <cell r="B43" t="str">
            <v>PROVISIONES PARA PAGOS LABORALES</v>
          </cell>
          <cell r="C43" t="str">
            <v>4</v>
          </cell>
          <cell r="D43">
            <v>68680.45</v>
          </cell>
          <cell r="E43" t="str">
            <v>C</v>
          </cell>
          <cell r="F43">
            <v>-68680.45</v>
          </cell>
          <cell r="G43">
            <v>-68680.45</v>
          </cell>
        </row>
        <row r="44">
          <cell r="A44" t="str">
            <v>201060300</v>
          </cell>
          <cell r="B44" t="str">
            <v>PROVISIONES PARA OBLIGACIONES FISCALES</v>
          </cell>
          <cell r="C44" t="str">
            <v>4</v>
          </cell>
          <cell r="D44">
            <v>91082.74</v>
          </cell>
          <cell r="E44" t="str">
            <v>C</v>
          </cell>
          <cell r="F44">
            <v>-91082.74</v>
          </cell>
          <cell r="G44">
            <v>-91082.74</v>
          </cell>
        </row>
        <row r="45">
          <cell r="A45" t="str">
            <v>301010100</v>
          </cell>
          <cell r="B45" t="str">
            <v>CAPITAL SOCIAL</v>
          </cell>
          <cell r="C45" t="str">
            <v>4</v>
          </cell>
          <cell r="D45">
            <v>31424</v>
          </cell>
          <cell r="E45" t="str">
            <v>C</v>
          </cell>
          <cell r="F45">
            <v>-424640</v>
          </cell>
          <cell r="G45">
            <v>-424640</v>
          </cell>
        </row>
        <row r="46">
          <cell r="A46" t="str">
            <v>301010200</v>
          </cell>
          <cell r="B46" t="str">
            <v>RESERVAS</v>
          </cell>
          <cell r="C46" t="str">
            <v>4</v>
          </cell>
          <cell r="D46">
            <v>342021.54</v>
          </cell>
          <cell r="E46" t="str">
            <v>C</v>
          </cell>
          <cell r="F46">
            <v>-342021.54</v>
          </cell>
          <cell r="G46">
            <v>-342021.54</v>
          </cell>
        </row>
        <row r="47">
          <cell r="A47" t="str">
            <v>301010300</v>
          </cell>
          <cell r="B47" t="str">
            <v>REEXPRESION MONETARIA</v>
          </cell>
          <cell r="C47" t="str">
            <v>4</v>
          </cell>
          <cell r="D47">
            <v>-175239.93</v>
          </cell>
          <cell r="E47" t="str">
            <v>C</v>
          </cell>
          <cell r="F47">
            <v>175239.93</v>
          </cell>
          <cell r="G47">
            <v>175239.93</v>
          </cell>
        </row>
        <row r="48">
          <cell r="A48" t="str">
            <v>301010400</v>
          </cell>
          <cell r="B48" t="str">
            <v>UTILIDADES RETENIDAS</v>
          </cell>
          <cell r="C48" t="str">
            <v>4</v>
          </cell>
          <cell r="D48">
            <v>41579</v>
          </cell>
          <cell r="E48" t="str">
            <v>C</v>
          </cell>
          <cell r="F48">
            <v>-41579</v>
          </cell>
          <cell r="G48">
            <v>-41579</v>
          </cell>
        </row>
        <row r="49">
          <cell r="A49" t="str">
            <v>301010500</v>
          </cell>
          <cell r="B49" t="str">
            <v>UTILIDADES DEL EJERCICIO</v>
          </cell>
          <cell r="C49" t="str">
            <v>4</v>
          </cell>
          <cell r="D49">
            <v>255581.9798</v>
          </cell>
          <cell r="E49" t="str">
            <v>C</v>
          </cell>
          <cell r="F49">
            <v>-255581.9798</v>
          </cell>
          <cell r="G49">
            <v>-255581.9798</v>
          </cell>
        </row>
        <row r="50">
          <cell r="A50" t="str">
            <v>301010500</v>
          </cell>
          <cell r="B50" t="str">
            <v>UTILIDADES DEL EJERCICIO</v>
          </cell>
          <cell r="C50" t="str">
            <v>4</v>
          </cell>
          <cell r="D50">
            <v>238973.8198</v>
          </cell>
          <cell r="E50" t="str">
            <v>C</v>
          </cell>
          <cell r="F50">
            <v>-238973.8198</v>
          </cell>
          <cell r="G50">
            <v>-238973.8198</v>
          </cell>
        </row>
        <row r="51">
          <cell r="F51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>
        <row r="2">
          <cell r="F2" t="str">
            <v>Preliminar</v>
          </cell>
          <cell r="I2" t="str">
            <v>Saldos Ajustados</v>
          </cell>
        </row>
        <row r="4">
          <cell r="I4">
            <v>0</v>
          </cell>
        </row>
        <row r="6">
          <cell r="I6">
            <v>0</v>
          </cell>
        </row>
        <row r="8">
          <cell r="I8">
            <v>0</v>
          </cell>
        </row>
        <row r="10">
          <cell r="I10">
            <v>0</v>
          </cell>
        </row>
        <row r="12">
          <cell r="I12">
            <v>0</v>
          </cell>
        </row>
        <row r="14">
          <cell r="I14">
            <v>467</v>
          </cell>
        </row>
        <row r="15">
          <cell r="I15">
            <v>119540</v>
          </cell>
        </row>
        <row r="16">
          <cell r="I16">
            <v>172</v>
          </cell>
        </row>
        <row r="17">
          <cell r="I17">
            <v>462</v>
          </cell>
        </row>
        <row r="18">
          <cell r="I18">
            <v>120641</v>
          </cell>
        </row>
        <row r="20">
          <cell r="I20">
            <v>5000</v>
          </cell>
        </row>
        <row r="21">
          <cell r="I21">
            <v>45000</v>
          </cell>
        </row>
        <row r="22">
          <cell r="I22">
            <v>50000</v>
          </cell>
        </row>
        <row r="24">
          <cell r="I24">
            <v>369</v>
          </cell>
        </row>
        <row r="25">
          <cell r="I25">
            <v>369</v>
          </cell>
        </row>
        <row r="27">
          <cell r="I27">
            <v>0</v>
          </cell>
        </row>
        <row r="29">
          <cell r="I29">
            <v>0</v>
          </cell>
        </row>
        <row r="31">
          <cell r="I31">
            <v>1466</v>
          </cell>
        </row>
        <row r="32">
          <cell r="I32">
            <v>1466</v>
          </cell>
        </row>
        <row r="34">
          <cell r="I34">
            <v>0</v>
          </cell>
        </row>
        <row r="36">
          <cell r="I36">
            <v>87</v>
          </cell>
        </row>
        <row r="37">
          <cell r="I37">
            <v>1083</v>
          </cell>
        </row>
        <row r="38">
          <cell r="I38">
            <v>1320</v>
          </cell>
        </row>
        <row r="39">
          <cell r="I39">
            <v>2867</v>
          </cell>
        </row>
        <row r="40">
          <cell r="I40">
            <v>5357</v>
          </cell>
        </row>
        <row r="42">
          <cell r="I42">
            <v>2948</v>
          </cell>
        </row>
        <row r="43">
          <cell r="I43">
            <v>2948</v>
          </cell>
        </row>
      </sheetData>
      <sheetData sheetId="1">
        <row r="1">
          <cell r="F1" t="str">
            <v>Preliminar</v>
          </cell>
          <cell r="G1" t="str">
            <v>AJE</v>
          </cell>
          <cell r="I1" t="str">
            <v>RJE</v>
          </cell>
          <cell r="J1" t="str">
            <v>31-Dic-03</v>
          </cell>
          <cell r="K1" t="str">
            <v>31-dic-02</v>
          </cell>
        </row>
        <row r="3">
          <cell r="F3">
            <v>0</v>
          </cell>
          <cell r="G3">
            <v>0</v>
          </cell>
          <cell r="I3">
            <v>0</v>
          </cell>
          <cell r="J3">
            <v>0</v>
          </cell>
          <cell r="K3">
            <v>0</v>
          </cell>
        </row>
        <row r="5">
          <cell r="F5">
            <v>0</v>
          </cell>
          <cell r="G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0</v>
          </cell>
          <cell r="G7">
            <v>0</v>
          </cell>
          <cell r="I7">
            <v>0</v>
          </cell>
          <cell r="J7">
            <v>0</v>
          </cell>
          <cell r="K7">
            <v>0</v>
          </cell>
        </row>
        <row r="9">
          <cell r="F9">
            <v>0</v>
          </cell>
          <cell r="G9">
            <v>0</v>
          </cell>
          <cell r="I9">
            <v>0</v>
          </cell>
          <cell r="J9">
            <v>0</v>
          </cell>
          <cell r="K9">
            <v>0</v>
          </cell>
        </row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K11">
            <v>0</v>
          </cell>
        </row>
        <row r="13">
          <cell r="F13">
            <v>467</v>
          </cell>
          <cell r="G13">
            <v>0</v>
          </cell>
          <cell r="I13">
            <v>0</v>
          </cell>
          <cell r="J13">
            <v>467</v>
          </cell>
          <cell r="K13">
            <v>0</v>
          </cell>
        </row>
        <row r="14">
          <cell r="F14">
            <v>119540</v>
          </cell>
          <cell r="G14">
            <v>0</v>
          </cell>
          <cell r="I14">
            <v>0</v>
          </cell>
          <cell r="J14">
            <v>119540</v>
          </cell>
          <cell r="K14">
            <v>0</v>
          </cell>
        </row>
        <row r="15">
          <cell r="F15">
            <v>172</v>
          </cell>
          <cell r="G15">
            <v>0</v>
          </cell>
          <cell r="I15">
            <v>0</v>
          </cell>
          <cell r="J15">
            <v>172</v>
          </cell>
          <cell r="K15">
            <v>0</v>
          </cell>
        </row>
        <row r="16">
          <cell r="F16">
            <v>462</v>
          </cell>
          <cell r="G16">
            <v>0</v>
          </cell>
          <cell r="I16">
            <v>0</v>
          </cell>
          <cell r="J16">
            <v>462</v>
          </cell>
          <cell r="K16">
            <v>0</v>
          </cell>
        </row>
        <row r="17">
          <cell r="F17">
            <v>120641</v>
          </cell>
          <cell r="G17">
            <v>0</v>
          </cell>
          <cell r="I17">
            <v>0</v>
          </cell>
          <cell r="J17">
            <v>120641</v>
          </cell>
          <cell r="K17">
            <v>0</v>
          </cell>
        </row>
        <row r="19">
          <cell r="F19">
            <v>5000</v>
          </cell>
          <cell r="G19">
            <v>0</v>
          </cell>
          <cell r="I19">
            <v>0</v>
          </cell>
          <cell r="J19">
            <v>5000</v>
          </cell>
          <cell r="K19">
            <v>0</v>
          </cell>
        </row>
        <row r="20">
          <cell r="F20">
            <v>45000</v>
          </cell>
          <cell r="G20">
            <v>0</v>
          </cell>
          <cell r="I20">
            <v>0</v>
          </cell>
          <cell r="J20">
            <v>45000</v>
          </cell>
          <cell r="K20">
            <v>0</v>
          </cell>
        </row>
        <row r="21">
          <cell r="F21">
            <v>50000</v>
          </cell>
          <cell r="G21">
            <v>0</v>
          </cell>
          <cell r="I21">
            <v>0</v>
          </cell>
          <cell r="J21">
            <v>50000</v>
          </cell>
          <cell r="K21">
            <v>0</v>
          </cell>
        </row>
        <row r="23">
          <cell r="F23">
            <v>369</v>
          </cell>
          <cell r="G23">
            <v>0</v>
          </cell>
          <cell r="I23">
            <v>0</v>
          </cell>
          <cell r="J23">
            <v>369</v>
          </cell>
          <cell r="K23">
            <v>0</v>
          </cell>
        </row>
        <row r="24">
          <cell r="F24">
            <v>369</v>
          </cell>
          <cell r="G24">
            <v>0</v>
          </cell>
          <cell r="I24">
            <v>0</v>
          </cell>
          <cell r="J24">
            <v>369</v>
          </cell>
          <cell r="K24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K26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K28">
            <v>0</v>
          </cell>
        </row>
        <row r="30">
          <cell r="F30">
            <v>1466</v>
          </cell>
          <cell r="G30">
            <v>0</v>
          </cell>
          <cell r="I30">
            <v>0</v>
          </cell>
          <cell r="J30">
            <v>1466</v>
          </cell>
          <cell r="K30">
            <v>0</v>
          </cell>
        </row>
        <row r="31">
          <cell r="F31">
            <v>1466</v>
          </cell>
          <cell r="G31">
            <v>0</v>
          </cell>
          <cell r="I31">
            <v>0</v>
          </cell>
          <cell r="J31">
            <v>1466</v>
          </cell>
          <cell r="K31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  <row r="35">
          <cell r="F35">
            <v>87</v>
          </cell>
          <cell r="G35">
            <v>0</v>
          </cell>
          <cell r="I35">
            <v>0</v>
          </cell>
          <cell r="J35">
            <v>87</v>
          </cell>
          <cell r="K35">
            <v>0</v>
          </cell>
        </row>
        <row r="36">
          <cell r="F36">
            <v>1083</v>
          </cell>
          <cell r="G36">
            <v>0</v>
          </cell>
          <cell r="I36">
            <v>0</v>
          </cell>
          <cell r="J36">
            <v>1083</v>
          </cell>
          <cell r="K36">
            <v>0</v>
          </cell>
        </row>
        <row r="37">
          <cell r="F37">
            <v>1320</v>
          </cell>
          <cell r="G37">
            <v>0</v>
          </cell>
          <cell r="I37">
            <v>0</v>
          </cell>
          <cell r="J37">
            <v>1320</v>
          </cell>
          <cell r="K37">
            <v>0</v>
          </cell>
        </row>
        <row r="38">
          <cell r="F38">
            <v>2867</v>
          </cell>
          <cell r="G38">
            <v>0</v>
          </cell>
          <cell r="I38">
            <v>0</v>
          </cell>
          <cell r="J38">
            <v>2867</v>
          </cell>
          <cell r="K38">
            <v>0</v>
          </cell>
        </row>
        <row r="39">
          <cell r="F39">
            <v>5357</v>
          </cell>
          <cell r="G39">
            <v>0</v>
          </cell>
          <cell r="I39">
            <v>0</v>
          </cell>
          <cell r="J39">
            <v>5357</v>
          </cell>
          <cell r="K39">
            <v>0</v>
          </cell>
        </row>
        <row r="41">
          <cell r="F41">
            <v>2948</v>
          </cell>
          <cell r="G41">
            <v>0</v>
          </cell>
          <cell r="I41">
            <v>0</v>
          </cell>
          <cell r="J41">
            <v>2948</v>
          </cell>
          <cell r="K41">
            <v>0</v>
          </cell>
        </row>
        <row r="42">
          <cell r="F42">
            <v>2948</v>
          </cell>
          <cell r="G42">
            <v>0</v>
          </cell>
          <cell r="I42">
            <v>0</v>
          </cell>
          <cell r="J42">
            <v>2948</v>
          </cell>
          <cell r="K42">
            <v>0</v>
          </cell>
        </row>
        <row r="43">
          <cell r="F43">
            <v>180781</v>
          </cell>
          <cell r="G43">
            <v>0</v>
          </cell>
          <cell r="I43">
            <v>0</v>
          </cell>
          <cell r="J43">
            <v>180781</v>
          </cell>
          <cell r="K43">
            <v>0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</v>
          </cell>
        </row>
        <row r="4">
          <cell r="F4">
            <v>2382614</v>
          </cell>
        </row>
        <row r="5">
          <cell r="F5">
            <v>0</v>
          </cell>
        </row>
        <row r="6">
          <cell r="F6">
            <v>35854</v>
          </cell>
        </row>
        <row r="7">
          <cell r="F7">
            <v>3081</v>
          </cell>
        </row>
        <row r="8">
          <cell r="F8">
            <v>98604</v>
          </cell>
        </row>
        <row r="9">
          <cell r="F9">
            <v>165590</v>
          </cell>
        </row>
        <row r="10">
          <cell r="F10">
            <v>42948</v>
          </cell>
        </row>
        <row r="11">
          <cell r="F11">
            <v>107253</v>
          </cell>
        </row>
        <row r="12">
          <cell r="F12">
            <v>583840</v>
          </cell>
        </row>
        <row r="13">
          <cell r="F13">
            <v>377755</v>
          </cell>
        </row>
        <row r="14">
          <cell r="F14">
            <v>261123</v>
          </cell>
        </row>
        <row r="15">
          <cell r="F15">
            <v>87438</v>
          </cell>
        </row>
        <row r="16">
          <cell r="F16">
            <v>200177</v>
          </cell>
        </row>
        <row r="17">
          <cell r="F17">
            <v>158529</v>
          </cell>
        </row>
        <row r="18">
          <cell r="F18">
            <v>1200</v>
          </cell>
        </row>
        <row r="19">
          <cell r="F19">
            <v>32</v>
          </cell>
        </row>
        <row r="20">
          <cell r="F20">
            <v>169226</v>
          </cell>
        </row>
        <row r="21">
          <cell r="F21">
            <v>178</v>
          </cell>
        </row>
        <row r="22">
          <cell r="F22">
            <v>375</v>
          </cell>
        </row>
        <row r="23">
          <cell r="F23">
            <v>26</v>
          </cell>
        </row>
        <row r="24">
          <cell r="F24">
            <v>229</v>
          </cell>
        </row>
        <row r="25">
          <cell r="F25">
            <v>55</v>
          </cell>
        </row>
        <row r="26">
          <cell r="F26">
            <v>22325</v>
          </cell>
        </row>
        <row r="27">
          <cell r="F27">
            <v>105319</v>
          </cell>
        </row>
        <row r="28">
          <cell r="F28">
            <v>0</v>
          </cell>
        </row>
        <row r="29">
          <cell r="F29">
            <v>14886</v>
          </cell>
        </row>
        <row r="30">
          <cell r="F30">
            <v>36856</v>
          </cell>
        </row>
        <row r="31">
          <cell r="F31">
            <v>540</v>
          </cell>
        </row>
        <row r="32">
          <cell r="F32">
            <v>109072</v>
          </cell>
        </row>
        <row r="33">
          <cell r="F33">
            <v>15784</v>
          </cell>
        </row>
        <row r="34">
          <cell r="F34">
            <v>4381</v>
          </cell>
        </row>
        <row r="35">
          <cell r="F35">
            <v>4985290</v>
          </cell>
        </row>
        <row r="37">
          <cell r="F37">
            <v>23550</v>
          </cell>
        </row>
        <row r="38">
          <cell r="F38">
            <v>3408</v>
          </cell>
        </row>
        <row r="39">
          <cell r="F39">
            <v>6813</v>
          </cell>
        </row>
        <row r="40">
          <cell r="F40">
            <v>10326</v>
          </cell>
        </row>
        <row r="41">
          <cell r="F41">
            <v>977</v>
          </cell>
        </row>
        <row r="42">
          <cell r="F42">
            <v>34309</v>
          </cell>
        </row>
        <row r="43">
          <cell r="F43">
            <v>279359</v>
          </cell>
        </row>
        <row r="44">
          <cell r="F44">
            <v>58635</v>
          </cell>
        </row>
        <row r="45">
          <cell r="F45">
            <v>3406</v>
          </cell>
        </row>
        <row r="46">
          <cell r="F46">
            <v>758412</v>
          </cell>
        </row>
        <row r="47">
          <cell r="F47">
            <v>1179195</v>
          </cell>
        </row>
        <row r="49">
          <cell r="F49">
            <v>0</v>
          </cell>
        </row>
        <row r="51">
          <cell r="F51">
            <v>0</v>
          </cell>
        </row>
        <row r="53">
          <cell r="F53">
            <v>32223</v>
          </cell>
        </row>
        <row r="54">
          <cell r="F54">
            <v>170509</v>
          </cell>
        </row>
        <row r="55">
          <cell r="F55">
            <v>15386</v>
          </cell>
        </row>
        <row r="56">
          <cell r="F56">
            <v>67211</v>
          </cell>
        </row>
        <row r="57">
          <cell r="F57">
            <v>9809</v>
          </cell>
        </row>
        <row r="58">
          <cell r="F58">
            <v>44468</v>
          </cell>
        </row>
        <row r="59">
          <cell r="F59">
            <v>68638</v>
          </cell>
        </row>
        <row r="60">
          <cell r="F60">
            <v>2654</v>
          </cell>
        </row>
        <row r="61">
          <cell r="F61">
            <v>952</v>
          </cell>
        </row>
        <row r="62">
          <cell r="F62">
            <v>75171</v>
          </cell>
        </row>
        <row r="63">
          <cell r="F63">
            <v>3441</v>
          </cell>
        </row>
        <row r="64">
          <cell r="F64">
            <v>6725</v>
          </cell>
        </row>
        <row r="65">
          <cell r="F65">
            <v>2387</v>
          </cell>
        </row>
        <row r="66">
          <cell r="F66">
            <v>59987</v>
          </cell>
        </row>
        <row r="67">
          <cell r="F67">
            <v>33090</v>
          </cell>
        </row>
        <row r="68">
          <cell r="F68">
            <v>20400</v>
          </cell>
        </row>
        <row r="69">
          <cell r="F69">
            <v>53204</v>
          </cell>
        </row>
        <row r="70">
          <cell r="F70">
            <v>9404</v>
          </cell>
        </row>
        <row r="71">
          <cell r="F71">
            <v>50443</v>
          </cell>
        </row>
        <row r="72">
          <cell r="F72">
            <v>37509</v>
          </cell>
        </row>
        <row r="73">
          <cell r="F73">
            <v>17747</v>
          </cell>
        </row>
        <row r="74">
          <cell r="F74">
            <v>18009</v>
          </cell>
        </row>
        <row r="75">
          <cell r="F75">
            <v>15433</v>
          </cell>
        </row>
        <row r="76">
          <cell r="F76">
            <v>23306</v>
          </cell>
        </row>
        <row r="77">
          <cell r="F77">
            <v>3063861</v>
          </cell>
        </row>
        <row r="78">
          <cell r="F78">
            <v>129426</v>
          </cell>
        </row>
        <row r="79">
          <cell r="F79">
            <v>8923</v>
          </cell>
        </row>
        <row r="80">
          <cell r="F80">
            <v>10128</v>
          </cell>
        </row>
        <row r="81">
          <cell r="F81">
            <v>1190</v>
          </cell>
        </row>
        <row r="82">
          <cell r="F82">
            <v>38147</v>
          </cell>
        </row>
        <row r="83">
          <cell r="F83">
            <v>39364</v>
          </cell>
        </row>
        <row r="84">
          <cell r="F84">
            <v>21867</v>
          </cell>
        </row>
        <row r="85">
          <cell r="F85">
            <v>60891</v>
          </cell>
        </row>
        <row r="86">
          <cell r="F86">
            <v>8907</v>
          </cell>
        </row>
        <row r="87">
          <cell r="F87">
            <v>706</v>
          </cell>
        </row>
        <row r="88">
          <cell r="F88">
            <v>119890</v>
          </cell>
        </row>
        <row r="89">
          <cell r="F89">
            <v>61792</v>
          </cell>
        </row>
        <row r="90">
          <cell r="F90">
            <v>9618</v>
          </cell>
        </row>
        <row r="91">
          <cell r="F91">
            <v>1561</v>
          </cell>
        </row>
        <row r="92">
          <cell r="F92">
            <v>32268</v>
          </cell>
        </row>
        <row r="93">
          <cell r="F93">
            <v>3618</v>
          </cell>
        </row>
        <row r="94">
          <cell r="F94">
            <v>736926</v>
          </cell>
        </row>
        <row r="95">
          <cell r="F95">
            <v>67715</v>
          </cell>
        </row>
        <row r="96">
          <cell r="F96">
            <v>6777</v>
          </cell>
        </row>
        <row r="97">
          <cell r="F97">
            <v>5509</v>
          </cell>
        </row>
        <row r="98">
          <cell r="F98">
            <v>16656</v>
          </cell>
        </row>
        <row r="99">
          <cell r="F99">
            <v>65260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2143</v>
          </cell>
        </row>
        <row r="103">
          <cell r="F103">
            <v>3782</v>
          </cell>
        </row>
        <row r="104">
          <cell r="F104">
            <v>3600</v>
          </cell>
        </row>
        <row r="105">
          <cell r="F105">
            <v>32198</v>
          </cell>
        </row>
        <row r="106">
          <cell r="F106">
            <v>5390829</v>
          </cell>
        </row>
        <row r="108">
          <cell r="F108">
            <v>6751</v>
          </cell>
        </row>
        <row r="109">
          <cell r="F109">
            <v>54599</v>
          </cell>
        </row>
        <row r="110">
          <cell r="F110">
            <v>951</v>
          </cell>
        </row>
        <row r="111">
          <cell r="F111">
            <v>10031</v>
          </cell>
        </row>
        <row r="112">
          <cell r="F112">
            <v>3540</v>
          </cell>
        </row>
        <row r="113">
          <cell r="F113">
            <v>572</v>
          </cell>
        </row>
        <row r="114">
          <cell r="F114">
            <v>7775</v>
          </cell>
        </row>
        <row r="115">
          <cell r="F115">
            <v>0</v>
          </cell>
        </row>
        <row r="116">
          <cell r="F116">
            <v>33351</v>
          </cell>
        </row>
        <row r="117">
          <cell r="F117">
            <v>5291</v>
          </cell>
        </row>
        <row r="118">
          <cell r="F118">
            <v>-200000</v>
          </cell>
        </row>
        <row r="119">
          <cell r="F119">
            <v>224730</v>
          </cell>
        </row>
        <row r="120">
          <cell r="F120">
            <v>302</v>
          </cell>
        </row>
        <row r="121">
          <cell r="F121">
            <v>217644</v>
          </cell>
        </row>
        <row r="122">
          <cell r="F122">
            <v>308397</v>
          </cell>
        </row>
        <row r="123">
          <cell r="F123">
            <v>0</v>
          </cell>
        </row>
        <row r="124">
          <cell r="F124">
            <v>673934</v>
          </cell>
        </row>
        <row r="126">
          <cell r="F126">
            <v>222258</v>
          </cell>
        </row>
        <row r="127">
          <cell r="F127">
            <v>24979</v>
          </cell>
        </row>
        <row r="128">
          <cell r="F128">
            <v>203091</v>
          </cell>
        </row>
        <row r="129">
          <cell r="F129">
            <v>144344</v>
          </cell>
        </row>
        <row r="130">
          <cell r="F130">
            <v>70559</v>
          </cell>
        </row>
        <row r="131">
          <cell r="F131">
            <v>75946</v>
          </cell>
        </row>
        <row r="132">
          <cell r="F132">
            <v>16790</v>
          </cell>
        </row>
        <row r="133">
          <cell r="F133">
            <v>6104</v>
          </cell>
        </row>
        <row r="134">
          <cell r="F134">
            <v>19002</v>
          </cell>
        </row>
        <row r="135">
          <cell r="F135">
            <v>70</v>
          </cell>
        </row>
        <row r="136">
          <cell r="F136">
            <v>0</v>
          </cell>
        </row>
        <row r="137">
          <cell r="F137">
            <v>121</v>
          </cell>
        </row>
        <row r="138">
          <cell r="F138">
            <v>120926</v>
          </cell>
        </row>
        <row r="139">
          <cell r="F139">
            <v>14327</v>
          </cell>
        </row>
        <row r="140">
          <cell r="F140">
            <v>369481</v>
          </cell>
        </row>
        <row r="141">
          <cell r="F141">
            <v>24140</v>
          </cell>
        </row>
        <row r="142">
          <cell r="F142">
            <v>64949</v>
          </cell>
        </row>
        <row r="143">
          <cell r="F143">
            <v>62943</v>
          </cell>
        </row>
        <row r="144">
          <cell r="F144">
            <v>121960</v>
          </cell>
        </row>
        <row r="145">
          <cell r="F145">
            <v>69450</v>
          </cell>
        </row>
        <row r="146">
          <cell r="F146">
            <v>1100</v>
          </cell>
        </row>
        <row r="147">
          <cell r="F147">
            <v>23740</v>
          </cell>
        </row>
        <row r="148">
          <cell r="F148">
            <v>164946</v>
          </cell>
        </row>
        <row r="149">
          <cell r="F149">
            <v>12821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114885</v>
          </cell>
        </row>
        <row r="153">
          <cell r="F153">
            <v>12013</v>
          </cell>
        </row>
        <row r="154">
          <cell r="F154">
            <v>125620</v>
          </cell>
        </row>
        <row r="155">
          <cell r="F155">
            <v>885</v>
          </cell>
        </row>
        <row r="156">
          <cell r="F156">
            <v>2695</v>
          </cell>
        </row>
        <row r="157">
          <cell r="F157">
            <v>6584</v>
          </cell>
        </row>
        <row r="158">
          <cell r="F158">
            <v>5285</v>
          </cell>
        </row>
        <row r="159">
          <cell r="F159">
            <v>25833</v>
          </cell>
        </row>
        <row r="160">
          <cell r="F160">
            <v>3066</v>
          </cell>
        </row>
        <row r="161">
          <cell r="F161">
            <v>1088</v>
          </cell>
        </row>
        <row r="162">
          <cell r="F162">
            <v>900</v>
          </cell>
        </row>
        <row r="163">
          <cell r="F163">
            <v>78298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17145</v>
          </cell>
        </row>
        <row r="167">
          <cell r="F167">
            <v>108309</v>
          </cell>
        </row>
        <row r="168">
          <cell r="F168">
            <v>36056</v>
          </cell>
        </row>
        <row r="169">
          <cell r="F169">
            <v>5370</v>
          </cell>
        </row>
        <row r="170">
          <cell r="F170">
            <v>7263</v>
          </cell>
        </row>
        <row r="171">
          <cell r="F171">
            <v>12688</v>
          </cell>
        </row>
        <row r="172">
          <cell r="F172">
            <v>1651</v>
          </cell>
        </row>
        <row r="173">
          <cell r="F173">
            <v>129787</v>
          </cell>
        </row>
        <row r="174">
          <cell r="F174">
            <v>183</v>
          </cell>
        </row>
        <row r="175">
          <cell r="F175">
            <v>50105</v>
          </cell>
        </row>
        <row r="176">
          <cell r="F176">
            <v>68962</v>
          </cell>
        </row>
        <row r="177">
          <cell r="F177">
            <v>193651</v>
          </cell>
        </row>
        <row r="178">
          <cell r="F178">
            <v>6011</v>
          </cell>
        </row>
        <row r="179">
          <cell r="F179">
            <v>78412</v>
          </cell>
        </row>
        <row r="180">
          <cell r="F180">
            <v>2972</v>
          </cell>
        </row>
        <row r="181">
          <cell r="F181">
            <v>12610</v>
          </cell>
        </row>
        <row r="182">
          <cell r="F182">
            <v>42176</v>
          </cell>
        </row>
        <row r="183">
          <cell r="F183">
            <v>7428</v>
          </cell>
        </row>
        <row r="184">
          <cell r="F184">
            <v>50313</v>
          </cell>
        </row>
        <row r="185">
          <cell r="F185">
            <v>67036</v>
          </cell>
        </row>
        <row r="186">
          <cell r="F186">
            <v>59248</v>
          </cell>
        </row>
        <row r="187">
          <cell r="F187">
            <v>14448</v>
          </cell>
        </row>
        <row r="188">
          <cell r="F188">
            <v>22846</v>
          </cell>
        </row>
        <row r="189">
          <cell r="F189">
            <v>7744</v>
          </cell>
        </row>
        <row r="190">
          <cell r="F190">
            <v>43653</v>
          </cell>
        </row>
        <row r="191">
          <cell r="F191">
            <v>22940</v>
          </cell>
        </row>
        <row r="192">
          <cell r="F192">
            <v>217664</v>
          </cell>
        </row>
        <row r="193">
          <cell r="F193">
            <v>83705</v>
          </cell>
        </row>
        <row r="194">
          <cell r="F194">
            <v>9613</v>
          </cell>
        </row>
        <row r="195">
          <cell r="F195">
            <v>0</v>
          </cell>
        </row>
        <row r="196">
          <cell r="F196">
            <v>85605</v>
          </cell>
        </row>
        <row r="197">
          <cell r="F197">
            <v>0</v>
          </cell>
        </row>
        <row r="198">
          <cell r="F198">
            <v>940</v>
          </cell>
        </row>
        <row r="199">
          <cell r="F199">
            <v>0</v>
          </cell>
        </row>
        <row r="200">
          <cell r="F200">
            <v>38390</v>
          </cell>
        </row>
        <row r="201">
          <cell r="F201">
            <v>12645</v>
          </cell>
        </row>
        <row r="202">
          <cell r="F202">
            <v>466</v>
          </cell>
        </row>
        <row r="203">
          <cell r="F203">
            <v>656</v>
          </cell>
        </row>
        <row r="204">
          <cell r="F204">
            <v>976</v>
          </cell>
        </row>
        <row r="205">
          <cell r="F205">
            <v>6430</v>
          </cell>
        </row>
        <row r="206">
          <cell r="F206">
            <v>14914</v>
          </cell>
        </row>
        <row r="207">
          <cell r="F207">
            <v>3022</v>
          </cell>
        </row>
        <row r="208">
          <cell r="F208">
            <v>1769</v>
          </cell>
        </row>
        <row r="209">
          <cell r="F209">
            <v>5114</v>
          </cell>
        </row>
        <row r="210">
          <cell r="F210">
            <v>519</v>
          </cell>
        </row>
        <row r="211">
          <cell r="F211">
            <v>1620</v>
          </cell>
        </row>
        <row r="212">
          <cell r="F212">
            <v>7137</v>
          </cell>
        </row>
        <row r="213">
          <cell r="F213">
            <v>334</v>
          </cell>
        </row>
        <row r="214">
          <cell r="F214">
            <v>418</v>
          </cell>
        </row>
        <row r="215">
          <cell r="F215">
            <v>2041</v>
          </cell>
        </row>
        <row r="216">
          <cell r="F216">
            <v>3774184</v>
          </cell>
        </row>
        <row r="217">
          <cell r="F217">
            <v>16003432</v>
          </cell>
        </row>
      </sheetData>
      <sheetData sheetId="1">
        <row r="1">
          <cell r="F1" t="str">
            <v>Preliminar</v>
          </cell>
        </row>
        <row r="3">
          <cell r="F3">
            <v>2382614</v>
          </cell>
        </row>
        <row r="4">
          <cell r="F4">
            <v>0</v>
          </cell>
        </row>
        <row r="5">
          <cell r="F5">
            <v>35854</v>
          </cell>
        </row>
        <row r="6">
          <cell r="F6">
            <v>3081</v>
          </cell>
        </row>
        <row r="7">
          <cell r="F7">
            <v>98604</v>
          </cell>
        </row>
        <row r="8">
          <cell r="F8">
            <v>165590</v>
          </cell>
        </row>
        <row r="9">
          <cell r="F9">
            <v>42948</v>
          </cell>
        </row>
        <row r="10">
          <cell r="F10">
            <v>107253</v>
          </cell>
        </row>
        <row r="11">
          <cell r="F11">
            <v>583840</v>
          </cell>
        </row>
        <row r="12">
          <cell r="F12">
            <v>377755</v>
          </cell>
        </row>
        <row r="13">
          <cell r="F13">
            <v>261123</v>
          </cell>
        </row>
        <row r="14">
          <cell r="F14">
            <v>87438</v>
          </cell>
        </row>
        <row r="15">
          <cell r="F15">
            <v>200177</v>
          </cell>
        </row>
        <row r="16">
          <cell r="F16">
            <v>158529</v>
          </cell>
        </row>
        <row r="17">
          <cell r="F17">
            <v>1200</v>
          </cell>
        </row>
        <row r="18">
          <cell r="F18">
            <v>32</v>
          </cell>
        </row>
        <row r="19">
          <cell r="F19">
            <v>169226</v>
          </cell>
        </row>
        <row r="20">
          <cell r="F20">
            <v>178</v>
          </cell>
        </row>
        <row r="21">
          <cell r="F21">
            <v>375</v>
          </cell>
        </row>
        <row r="22">
          <cell r="F22">
            <v>26</v>
          </cell>
        </row>
        <row r="23">
          <cell r="F23">
            <v>229</v>
          </cell>
        </row>
        <row r="24">
          <cell r="F24">
            <v>55</v>
          </cell>
        </row>
        <row r="25">
          <cell r="F25">
            <v>22325</v>
          </cell>
        </row>
        <row r="26">
          <cell r="F26">
            <v>105319</v>
          </cell>
        </row>
        <row r="27">
          <cell r="F27">
            <v>0</v>
          </cell>
        </row>
        <row r="28">
          <cell r="F28">
            <v>14886</v>
          </cell>
        </row>
        <row r="29">
          <cell r="F29">
            <v>36856</v>
          </cell>
        </row>
        <row r="30">
          <cell r="F30">
            <v>540</v>
          </cell>
        </row>
        <row r="31">
          <cell r="F31">
            <v>109072</v>
          </cell>
        </row>
        <row r="32">
          <cell r="F32">
            <v>15784</v>
          </cell>
        </row>
        <row r="33">
          <cell r="F33">
            <v>4381</v>
          </cell>
        </row>
        <row r="34">
          <cell r="F34">
            <v>4985290</v>
          </cell>
        </row>
        <row r="36">
          <cell r="F36">
            <v>23550</v>
          </cell>
        </row>
        <row r="37">
          <cell r="F37">
            <v>3408</v>
          </cell>
        </row>
        <row r="38">
          <cell r="F38">
            <v>6813</v>
          </cell>
        </row>
        <row r="39">
          <cell r="F39">
            <v>10326</v>
          </cell>
        </row>
        <row r="40">
          <cell r="F40">
            <v>977</v>
          </cell>
        </row>
        <row r="41">
          <cell r="F41">
            <v>34309</v>
          </cell>
        </row>
        <row r="42">
          <cell r="F42">
            <v>279359</v>
          </cell>
        </row>
        <row r="43">
          <cell r="F43">
            <v>58635</v>
          </cell>
        </row>
        <row r="44">
          <cell r="F44">
            <v>3406</v>
          </cell>
        </row>
        <row r="45">
          <cell r="F45">
            <v>758412</v>
          </cell>
        </row>
        <row r="46">
          <cell r="F46">
            <v>1179195</v>
          </cell>
        </row>
        <row r="48">
          <cell r="F48">
            <v>0</v>
          </cell>
        </row>
        <row r="50">
          <cell r="F50">
            <v>0</v>
          </cell>
        </row>
        <row r="52">
          <cell r="F52">
            <v>32223</v>
          </cell>
        </row>
        <row r="53">
          <cell r="F53">
            <v>170509</v>
          </cell>
        </row>
        <row r="54">
          <cell r="F54">
            <v>15386</v>
          </cell>
        </row>
        <row r="55">
          <cell r="F55">
            <v>67211</v>
          </cell>
        </row>
        <row r="56">
          <cell r="F56">
            <v>9809</v>
          </cell>
        </row>
        <row r="57">
          <cell r="F57">
            <v>44468</v>
          </cell>
        </row>
        <row r="58">
          <cell r="F58">
            <v>68638</v>
          </cell>
        </row>
        <row r="59">
          <cell r="F59">
            <v>2654</v>
          </cell>
        </row>
        <row r="60">
          <cell r="F60">
            <v>952</v>
          </cell>
        </row>
        <row r="61">
          <cell r="F61">
            <v>75171</v>
          </cell>
        </row>
        <row r="62">
          <cell r="F62">
            <v>3441</v>
          </cell>
        </row>
        <row r="63">
          <cell r="F63">
            <v>6725</v>
          </cell>
        </row>
        <row r="64">
          <cell r="F64">
            <v>2387</v>
          </cell>
        </row>
        <row r="65">
          <cell r="F65">
            <v>59987</v>
          </cell>
        </row>
        <row r="66">
          <cell r="F66">
            <v>33090</v>
          </cell>
        </row>
        <row r="67">
          <cell r="F67">
            <v>20400</v>
          </cell>
        </row>
        <row r="68">
          <cell r="F68">
            <v>53204</v>
          </cell>
        </row>
        <row r="69">
          <cell r="F69">
            <v>9404</v>
          </cell>
        </row>
        <row r="70">
          <cell r="F70">
            <v>50443</v>
          </cell>
        </row>
        <row r="71">
          <cell r="F71">
            <v>37509</v>
          </cell>
        </row>
        <row r="72">
          <cell r="F72">
            <v>17747</v>
          </cell>
        </row>
        <row r="73">
          <cell r="F73">
            <v>18009</v>
          </cell>
        </row>
        <row r="74">
          <cell r="F74">
            <v>15433</v>
          </cell>
        </row>
        <row r="75">
          <cell r="F75">
            <v>23306</v>
          </cell>
        </row>
        <row r="76">
          <cell r="F76">
            <v>3063861</v>
          </cell>
        </row>
        <row r="77">
          <cell r="F77">
            <v>129426</v>
          </cell>
        </row>
        <row r="78">
          <cell r="F78">
            <v>8923</v>
          </cell>
        </row>
        <row r="79">
          <cell r="F79">
            <v>10128</v>
          </cell>
        </row>
        <row r="80">
          <cell r="F80">
            <v>1190</v>
          </cell>
        </row>
        <row r="81">
          <cell r="F81">
            <v>38147</v>
          </cell>
        </row>
        <row r="82">
          <cell r="F82">
            <v>39364</v>
          </cell>
        </row>
        <row r="83">
          <cell r="F83">
            <v>21867</v>
          </cell>
        </row>
        <row r="84">
          <cell r="F84">
            <v>60891</v>
          </cell>
        </row>
        <row r="85">
          <cell r="F85">
            <v>8907</v>
          </cell>
        </row>
        <row r="86">
          <cell r="F86">
            <v>706</v>
          </cell>
        </row>
        <row r="87">
          <cell r="F87">
            <v>119890</v>
          </cell>
        </row>
        <row r="88">
          <cell r="F88">
            <v>61792</v>
          </cell>
        </row>
        <row r="89">
          <cell r="F89">
            <v>9618</v>
          </cell>
        </row>
        <row r="90">
          <cell r="F90">
            <v>1561</v>
          </cell>
        </row>
        <row r="91">
          <cell r="F91">
            <v>32268</v>
          </cell>
        </row>
        <row r="92">
          <cell r="F92">
            <v>3618</v>
          </cell>
        </row>
        <row r="93">
          <cell r="F93">
            <v>736926</v>
          </cell>
        </row>
        <row r="94">
          <cell r="F94">
            <v>67715</v>
          </cell>
        </row>
        <row r="95">
          <cell r="F95">
            <v>6777</v>
          </cell>
        </row>
        <row r="96">
          <cell r="F96">
            <v>5509</v>
          </cell>
        </row>
        <row r="97">
          <cell r="F97">
            <v>16656</v>
          </cell>
        </row>
        <row r="98">
          <cell r="F98">
            <v>65260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2143</v>
          </cell>
        </row>
        <row r="102">
          <cell r="F102">
            <v>3782</v>
          </cell>
        </row>
        <row r="103">
          <cell r="F103">
            <v>3600</v>
          </cell>
        </row>
        <row r="104">
          <cell r="F104">
            <v>32198</v>
          </cell>
        </row>
        <row r="105">
          <cell r="F105">
            <v>5390829</v>
          </cell>
        </row>
        <row r="107">
          <cell r="F107">
            <v>6751</v>
          </cell>
        </row>
        <row r="108">
          <cell r="F108">
            <v>54599</v>
          </cell>
        </row>
        <row r="109">
          <cell r="F109">
            <v>951</v>
          </cell>
        </row>
        <row r="110">
          <cell r="F110">
            <v>10031</v>
          </cell>
        </row>
        <row r="111">
          <cell r="F111">
            <v>3540</v>
          </cell>
        </row>
        <row r="112">
          <cell r="F112">
            <v>572</v>
          </cell>
        </row>
        <row r="113">
          <cell r="F113">
            <v>7775</v>
          </cell>
        </row>
        <row r="114">
          <cell r="F114">
            <v>0</v>
          </cell>
        </row>
        <row r="115">
          <cell r="F115">
            <v>33351</v>
          </cell>
        </row>
        <row r="116">
          <cell r="F116">
            <v>5291</v>
          </cell>
        </row>
        <row r="117">
          <cell r="F117">
            <v>-200000</v>
          </cell>
        </row>
        <row r="118">
          <cell r="F118">
            <v>224730</v>
          </cell>
        </row>
        <row r="119">
          <cell r="F119">
            <v>302</v>
          </cell>
        </row>
        <row r="120">
          <cell r="F120">
            <v>217644</v>
          </cell>
        </row>
        <row r="121">
          <cell r="F121">
            <v>308397</v>
          </cell>
        </row>
        <row r="122">
          <cell r="F122">
            <v>0</v>
          </cell>
        </row>
        <row r="123">
          <cell r="F123">
            <v>673934</v>
          </cell>
        </row>
        <row r="125">
          <cell r="F125">
            <v>222258</v>
          </cell>
        </row>
        <row r="126">
          <cell r="F126">
            <v>24979</v>
          </cell>
        </row>
        <row r="127">
          <cell r="F127">
            <v>203091</v>
          </cell>
        </row>
        <row r="128">
          <cell r="F128">
            <v>144344</v>
          </cell>
        </row>
        <row r="129">
          <cell r="F129">
            <v>70559</v>
          </cell>
        </row>
        <row r="130">
          <cell r="F130">
            <v>75946</v>
          </cell>
        </row>
        <row r="131">
          <cell r="F131">
            <v>16790</v>
          </cell>
        </row>
        <row r="132">
          <cell r="F132">
            <v>6104</v>
          </cell>
        </row>
        <row r="133">
          <cell r="F133">
            <v>19002</v>
          </cell>
        </row>
        <row r="134">
          <cell r="F134">
            <v>70</v>
          </cell>
        </row>
        <row r="135">
          <cell r="F135">
            <v>0</v>
          </cell>
        </row>
        <row r="136">
          <cell r="F136">
            <v>121</v>
          </cell>
        </row>
        <row r="137">
          <cell r="F137">
            <v>120926</v>
          </cell>
        </row>
        <row r="138">
          <cell r="F138">
            <v>14327</v>
          </cell>
        </row>
        <row r="139">
          <cell r="F139">
            <v>369481</v>
          </cell>
        </row>
        <row r="140">
          <cell r="F140">
            <v>24140</v>
          </cell>
        </row>
        <row r="141">
          <cell r="F141">
            <v>64949</v>
          </cell>
        </row>
        <row r="142">
          <cell r="F142">
            <v>62943</v>
          </cell>
        </row>
        <row r="143">
          <cell r="F143">
            <v>121960</v>
          </cell>
        </row>
        <row r="144">
          <cell r="F144">
            <v>69450</v>
          </cell>
        </row>
        <row r="145">
          <cell r="F145">
            <v>1100</v>
          </cell>
        </row>
        <row r="146">
          <cell r="F146">
            <v>23740</v>
          </cell>
        </row>
        <row r="147">
          <cell r="F147">
            <v>164946</v>
          </cell>
        </row>
        <row r="148">
          <cell r="F148">
            <v>12821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114885</v>
          </cell>
        </row>
        <row r="152">
          <cell r="F152">
            <v>12013</v>
          </cell>
        </row>
        <row r="153">
          <cell r="F153">
            <v>125620</v>
          </cell>
        </row>
        <row r="154">
          <cell r="F154">
            <v>885</v>
          </cell>
        </row>
        <row r="155">
          <cell r="F155">
            <v>2695</v>
          </cell>
        </row>
        <row r="156">
          <cell r="F156">
            <v>6584</v>
          </cell>
        </row>
        <row r="157">
          <cell r="F157">
            <v>5285</v>
          </cell>
        </row>
        <row r="158">
          <cell r="F158">
            <v>25833</v>
          </cell>
        </row>
        <row r="159">
          <cell r="F159">
            <v>3066</v>
          </cell>
        </row>
        <row r="160">
          <cell r="F160">
            <v>1088</v>
          </cell>
        </row>
        <row r="161">
          <cell r="F161">
            <v>900</v>
          </cell>
        </row>
        <row r="162">
          <cell r="F162">
            <v>78298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17145</v>
          </cell>
        </row>
        <row r="166">
          <cell r="F166">
            <v>108309</v>
          </cell>
        </row>
        <row r="167">
          <cell r="F167">
            <v>36056</v>
          </cell>
        </row>
        <row r="168">
          <cell r="F168">
            <v>5370</v>
          </cell>
        </row>
        <row r="169">
          <cell r="F169">
            <v>7263</v>
          </cell>
        </row>
        <row r="170">
          <cell r="F170">
            <v>12688</v>
          </cell>
        </row>
        <row r="171">
          <cell r="F171">
            <v>1651</v>
          </cell>
        </row>
        <row r="172">
          <cell r="F172">
            <v>129787</v>
          </cell>
        </row>
        <row r="173">
          <cell r="F173">
            <v>183</v>
          </cell>
        </row>
        <row r="174">
          <cell r="F174">
            <v>50105</v>
          </cell>
        </row>
        <row r="175">
          <cell r="F175">
            <v>68962</v>
          </cell>
        </row>
        <row r="176">
          <cell r="F176">
            <v>193651</v>
          </cell>
        </row>
        <row r="177">
          <cell r="F177">
            <v>6011</v>
          </cell>
        </row>
        <row r="178">
          <cell r="F178">
            <v>78412</v>
          </cell>
        </row>
        <row r="179">
          <cell r="F179">
            <v>2972</v>
          </cell>
        </row>
        <row r="180">
          <cell r="F180">
            <v>12610</v>
          </cell>
        </row>
        <row r="181">
          <cell r="F181">
            <v>42176</v>
          </cell>
        </row>
        <row r="182">
          <cell r="F182">
            <v>7428</v>
          </cell>
        </row>
        <row r="183">
          <cell r="F183">
            <v>50313</v>
          </cell>
        </row>
        <row r="184">
          <cell r="F184">
            <v>67036</v>
          </cell>
        </row>
        <row r="185">
          <cell r="F185">
            <v>59248</v>
          </cell>
        </row>
        <row r="186">
          <cell r="F186">
            <v>14448</v>
          </cell>
        </row>
        <row r="187">
          <cell r="F187">
            <v>22846</v>
          </cell>
        </row>
        <row r="188">
          <cell r="F188">
            <v>7744</v>
          </cell>
        </row>
        <row r="189">
          <cell r="F189">
            <v>43653</v>
          </cell>
        </row>
        <row r="190">
          <cell r="F190">
            <v>22940</v>
          </cell>
        </row>
        <row r="191">
          <cell r="F191">
            <v>217664</v>
          </cell>
        </row>
        <row r="192">
          <cell r="F192">
            <v>83705</v>
          </cell>
        </row>
        <row r="193">
          <cell r="F193">
            <v>9613</v>
          </cell>
        </row>
        <row r="194">
          <cell r="F194">
            <v>0</v>
          </cell>
        </row>
        <row r="195">
          <cell r="F195">
            <v>85605</v>
          </cell>
        </row>
        <row r="196">
          <cell r="F196">
            <v>0</v>
          </cell>
        </row>
        <row r="197">
          <cell r="F197">
            <v>940</v>
          </cell>
        </row>
        <row r="198">
          <cell r="F198">
            <v>0</v>
          </cell>
        </row>
        <row r="199">
          <cell r="F199">
            <v>38390</v>
          </cell>
        </row>
        <row r="200">
          <cell r="F200">
            <v>12645</v>
          </cell>
        </row>
        <row r="201">
          <cell r="F201">
            <v>466</v>
          </cell>
        </row>
        <row r="202">
          <cell r="F202">
            <v>656</v>
          </cell>
        </row>
        <row r="203">
          <cell r="F203">
            <v>976</v>
          </cell>
        </row>
        <row r="204">
          <cell r="F204">
            <v>6430</v>
          </cell>
        </row>
        <row r="205">
          <cell r="F205">
            <v>14914</v>
          </cell>
        </row>
        <row r="206">
          <cell r="F206">
            <v>3022</v>
          </cell>
        </row>
        <row r="207">
          <cell r="F207">
            <v>1769</v>
          </cell>
        </row>
        <row r="208">
          <cell r="F208">
            <v>5114</v>
          </cell>
        </row>
        <row r="209">
          <cell r="F209">
            <v>519</v>
          </cell>
        </row>
        <row r="210">
          <cell r="F210">
            <v>1620</v>
          </cell>
        </row>
        <row r="211">
          <cell r="F211">
            <v>7137</v>
          </cell>
        </row>
        <row r="212">
          <cell r="F212">
            <v>334</v>
          </cell>
        </row>
        <row r="213">
          <cell r="F213">
            <v>418</v>
          </cell>
        </row>
        <row r="214">
          <cell r="F214">
            <v>2041</v>
          </cell>
        </row>
        <row r="215">
          <cell r="F215">
            <v>3774184</v>
          </cell>
        </row>
        <row r="216">
          <cell r="F216">
            <v>16003432</v>
          </cell>
        </row>
      </sheetData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. Varias."/>
      <sheetName val="Det.Rec"/>
      <sheetName val="Det. Rec. Prov. Locales {PPC}"/>
      <sheetName val="Det. Rec. Prov. Exterior {PPC}"/>
      <sheetName val="Det.Ant."/>
      <sheetName val="Det. 18-10"/>
      <sheetName val="Det. seguros"/>
      <sheetName val="Seguros Año Ant."/>
      <sheetName val="Calc. Seguros"/>
      <sheetName val="Límites"/>
      <sheetName val="Tickmarks"/>
      <sheetName val="XREF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 "/>
      <sheetName val="New Audit Methodology Guidance"/>
      <sheetName val="Cuentas a Probar"/>
      <sheetName val="Base"/>
      <sheetName val="Sample Size &amp; Threshold Calc"/>
      <sheetName val="Sample Data"/>
      <sheetName val="Calc"/>
      <sheetName val="CMA Calculations"/>
      <sheetName val="Revisión"/>
      <sheetName val="CMA Selections"/>
      <sheetName val="XREF"/>
      <sheetName val="CMA_SampleDesign"/>
      <sheetName val="DialogInse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42">
          <cell r="J1642">
            <v>14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.01"/>
      <sheetName val="A.02"/>
      <sheetName val="A_01"/>
    </sheetNames>
    <sheetDataSet>
      <sheetData sheetId="0">
        <row r="50">
          <cell r="K50" t="str">
            <v>Carta a la Gerencia</v>
          </cell>
        </row>
        <row r="51">
          <cell r="K51" t="str">
            <v>Opinión de Auditoría</v>
          </cell>
        </row>
        <row r="52">
          <cell r="K52" t="str">
            <v>Carta a la Gerencia y Opinión de Auditoría</v>
          </cell>
        </row>
        <row r="53">
          <cell r="K53" t="str">
            <v>No Aplica</v>
          </cell>
        </row>
      </sheetData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Overview"/>
      <sheetName val="SA Procedures"/>
      <sheetName val="Expectation"/>
      <sheetName val="Explanation"/>
      <sheetName val="Threshold Table"/>
      <sheetName val="Tickmarks"/>
      <sheetName val="Guía"/>
      <sheetName val="Provisiones"/>
      <sheetName val="Expectation Provisiones"/>
      <sheetName val="Beneficios Sociales"/>
      <sheetName val="Expectation Beneficios Sociales"/>
      <sheetName val="Sueldos"/>
      <sheetName val="Arriendo"/>
      <sheetName val="Expectation arriendo"/>
      <sheetName val="Expectation Sueldos"/>
      <sheetName val="XREF"/>
      <sheetName val="Explanation Sueldos"/>
      <sheetName val="Explanation Beeficios Sociales"/>
      <sheetName val="Prv. Beneficios Sociales"/>
      <sheetName val="Expectation Prov. Beneficios so"/>
      <sheetName val="Explanation Prov"/>
      <sheetName val="Cómputo"/>
      <sheetName val="#REF"/>
      <sheetName val="SA Procedures (2)"/>
      <sheetName val="Det. Rec. Prov. Locales {PPC}"/>
      <sheetName val="Guidance Perform SA Procedures"/>
      <sheetName val="Examples Develop An Expectation"/>
      <sheetName val="MetaData"/>
      <sheetName val="SA_Procedures"/>
      <sheetName val="Threshold_Table1"/>
      <sheetName val="Threshold_Table"/>
      <sheetName val="Hoja1"/>
      <sheetName val="Prb"/>
    </sheetNames>
    <sheetDataSet>
      <sheetData sheetId="0" refreshError="1"/>
      <sheetData sheetId="1" refreshError="1"/>
      <sheetData sheetId="2"/>
      <sheetData sheetId="3">
        <row r="2">
          <cell r="A2">
            <v>0.7</v>
          </cell>
        </row>
      </sheetData>
      <sheetData sheetId="4" refreshError="1"/>
      <sheetData sheetId="5" refreshError="1">
        <row r="2">
          <cell r="A2">
            <v>0.7</v>
          </cell>
        </row>
        <row r="3">
          <cell r="A3">
            <v>1.7</v>
          </cell>
        </row>
        <row r="4">
          <cell r="A4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>
            <v>0.7</v>
          </cell>
        </row>
      </sheetData>
      <sheetData sheetId="31"/>
      <sheetData sheetId="32">
        <row r="3">
          <cell r="A3" t="str">
            <v>Contratos de inversión</v>
          </cell>
        </row>
      </sheetData>
      <sheetData sheetId="3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MA"/>
      <sheetName val="seleccionados"/>
      <sheetName val="Cálculo Depreciación"/>
      <sheetName val="Movimiento Activo"/>
      <sheetName val="Tickmarks"/>
      <sheetName val="Movimiento costo"/>
      <sheetName val="Nota a los Estados Financieros"/>
      <sheetName val="Movimiento dep-costo"/>
      <sheetName val="Selección"/>
      <sheetName val="Adiciones"/>
      <sheetName val="Retiros"/>
      <sheetName val="XREF"/>
      <sheetName val="Nota"/>
      <sheetName val="Costo"/>
      <sheetName val="ECU12 (2)"/>
      <sheetName val="Dep."/>
      <sheetName val="Cálc. Global. Dep."/>
      <sheetName val="Cálculo Reexp. Costo"/>
      <sheetName val="Cálculo Reexp. Dep."/>
      <sheetName val="Reex."/>
      <sheetName val="Reex. Dep."/>
      <sheetName val="Mov. Activo Fijo"/>
      <sheetName val="Movimiento depreciación"/>
      <sheetName val="C Glob. Deprec. "/>
      <sheetName val="Límite"/>
      <sheetName val="T. Límite"/>
      <sheetName val="Selección Adiciones"/>
      <sheetName val="Selecciion Ajustes"/>
      <sheetName val="Ajustes"/>
      <sheetName val="Listado AF"/>
      <sheetName val="Nota AF FINAL"/>
      <sheetName val="Conciliación"/>
      <sheetName val="Costo Reexp."/>
      <sheetName val="Dep.Costo."/>
      <sheetName val="Dep.Costo. Rex"/>
      <sheetName val="Calc.Gasto Costo"/>
      <sheetName val="Calc.Gasto Costo Reexp."/>
      <sheetName val="Calc.Reexp. Costo"/>
      <sheetName val="Calc Reexp.Dep."/>
      <sheetName val="APT"/>
      <sheetName val="Bajas"/>
      <sheetName val="Listado PPC"/>
      <sheetName val="Corrección Monetaria"/>
      <sheetName val="Nota "/>
      <sheetName val="Af costo "/>
      <sheetName val="Af Deprec"/>
      <sheetName val="Cálculo Deprec"/>
      <sheetName val="Análisis adic."/>
      <sheetName val="Bajas AF "/>
      <sheetName val="Det. Cons. Curso"/>
      <sheetName val="Selecc const. curso"/>
      <sheetName val="Análisis CC"/>
      <sheetName val="Selección toma física"/>
      <sheetName val="Reexp. Costo"/>
      <sheetName val="Depreciación"/>
      <sheetName val="#REF"/>
      <sheetName val="Deprec."/>
      <sheetName val="Calc. glob. dep."/>
      <sheetName val="An.Adiciones"/>
      <sheetName val="An.Bajas"/>
      <sheetName val="Sheet3"/>
      <sheetName val="mov. def."/>
      <sheetName val="cal. global dep."/>
      <sheetName val="Hoja 1"/>
      <sheetName val="Sheet2"/>
      <sheetName val="Marcas Estándar"/>
      <sheetName val="Análisis de adiciones"/>
      <sheetName val="mov."/>
      <sheetName val="Mov. final"/>
      <sheetName val="Mov. depreciación"/>
      <sheetName val="Mov. preliminar"/>
      <sheetName val="Detalle bajas"/>
      <sheetName val="base act. fijos"/>
      <sheetName val="Mov. Costo {ppc}"/>
      <sheetName val="Mov. Dep. {ppc}"/>
      <sheetName val="Prueba S.I."/>
      <sheetName val="Cálculo global deprec."/>
      <sheetName val="Análisis Adiciones"/>
      <sheetName val="Ventas {ppc}"/>
      <sheetName val="AF Inmateriales"/>
      <sheetName val="A.F.Costo"/>
      <sheetName val="A.F.Deprec."/>
      <sheetName val="Recálculo Dep."/>
      <sheetName val="Ventas AF 9"/>
      <sheetName val="Análisis"/>
      <sheetName val="Dep.Acum."/>
      <sheetName val="C. Global Deprec."/>
      <sheetName val="Adiciones1"/>
      <sheetName val="Ventas y Retiros"/>
      <sheetName val="Listado (PPC)"/>
      <sheetName val="Totalmente Deprec."/>
      <sheetName val="Analisis Adiciones"/>
      <sheetName val="AF en Internacion temporal  PPC"/>
      <sheetName val="Nota E.F"/>
      <sheetName val="Mov.Costo"/>
      <sheetName val="Mov. Depreciacion"/>
      <sheetName val="Cálculo Global Dep."/>
      <sheetName val="An. Bajas"/>
      <sheetName val="Tíckmarks"/>
      <sheetName val="Nota EEFF"/>
      <sheetName val="Mov.Dep.Costo"/>
      <sheetName val="Calc.Gto.Dep."/>
      <sheetName val="Mov.Act.Fijo PPC"/>
      <sheetName val="Mov.Costo Reexp."/>
      <sheetName val="Mov.Dep.Costo."/>
      <sheetName val="Mov.Dep. Reex."/>
      <sheetName val="Calc.Gasto Dep "/>
      <sheetName val="Calc Reexp Costo"/>
      <sheetName val="Calc.Reexp. Dep"/>
      <sheetName val="Detalle de Adiciones"/>
      <sheetName val="Selección de adiciones"/>
      <sheetName val="Análisis de Bajas"/>
      <sheetName val="Selección de bajas"/>
      <sheetName val="AnálisisBajas"/>
      <sheetName val="Muebles"/>
      <sheetName val="Computadoras"/>
      <sheetName val="Vehículos"/>
      <sheetName val="Selec. Adic"/>
      <sheetName val="Anal. Adqu."/>
      <sheetName val="C.Glob.Deprec.Costo"/>
      <sheetName val="RM depreciación"/>
      <sheetName val="RM G. costo"/>
      <sheetName val="Cálculo Dep."/>
      <sheetName val="Detalle activos fijos"/>
      <sheetName val="Cal.Deprec."/>
      <sheetName val="Ventas"/>
      <sheetName val="Cal.Deprec. (Prel.)"/>
      <sheetName val="APT Adiciones"/>
      <sheetName val="Mov. Costo"/>
      <sheetName val="Mov. Deprec."/>
      <sheetName val="Calc.Global Deprec."/>
      <sheetName val="Calc Límite"/>
      <sheetName val="MMA S.I"/>
      <sheetName val="Adiciones (SI)"/>
      <sheetName val="Selecc. Sal"/>
      <sheetName val="Movi. Act."/>
      <sheetName val="MMA Adici."/>
      <sheetName val="Anál. Adiciones"/>
      <sheetName val="Listado A.F."/>
      <sheetName val="Movimi. Deprec."/>
      <sheetName val="Movim. Depre."/>
      <sheetName val="Calc. Glob. Depr."/>
      <sheetName val="Cálculo Global"/>
      <sheetName val="Listado"/>
      <sheetName val="Cálc. Global"/>
      <sheetName val="Conciliación "/>
      <sheetName val="NotaEF"/>
      <sheetName val="Dep.Costo"/>
      <sheetName val="Calc.global deprec"/>
      <sheetName val="Limite"/>
      <sheetName val="MMA Adiciones"/>
      <sheetName val="Tildes"/>
      <sheetName val="Notas"/>
      <sheetName val="Mov. Deprec"/>
      <sheetName val="Listado vs. libros"/>
      <sheetName val="Cálculo Dep Final"/>
      <sheetName val="Venta A.F."/>
      <sheetName val="Adiciiones"/>
      <sheetName val="Cálculo Dep preliminar"/>
      <sheetName val="Importaciones en Trans."/>
      <sheetName val="Adic. Prel"/>
      <sheetName val="Cálculo Dep "/>
      <sheetName val="Cálculo Dep (F)"/>
      <sheetName val="MMA  (F)"/>
      <sheetName val="Adic. (F)"/>
      <sheetName val="Cál. Dep."/>
      <sheetName val="MMA "/>
      <sheetName val="Toma física Quito"/>
      <sheetName val="List 31-Dic-06"/>
      <sheetName val="Adiciones Activo Fijo"/>
      <sheetName val="Calc.Depr"/>
      <sheetName val="Ventas-Bajas"/>
      <sheetName val="MMA Adics."/>
      <sheetName val="MMAToma Física"/>
      <sheetName val="Cálculo del límite"/>
      <sheetName val="Límites"/>
      <sheetName val="Calc.Depr (fin)"/>
      <sheetName val="Detalle Eq. En tráns"/>
      <sheetName val="Detalle Eq. En tránsito"/>
      <sheetName val="Mayor"/>
      <sheetName val="Calc.Depr."/>
      <sheetName val="Selecc Adic Prelim"/>
      <sheetName val="Toma física"/>
      <sheetName val="MMA Toma Física"/>
      <sheetName val="Mov.Dep."/>
      <sheetName val="C.G.Dep.Final"/>
      <sheetName val="Lím."/>
      <sheetName val="Cal.Lim."/>
      <sheetName val="MMA Ad.Prel."/>
      <sheetName val="Adic.Prel."/>
      <sheetName val="Sel.Sal."/>
      <sheetName val="MMA Adic.Final"/>
      <sheetName val="Adic.Final"/>
      <sheetName val="Nota a EEFF"/>
      <sheetName val="Depreciacion"/>
      <sheetName val="CGlobal Dep."/>
      <sheetName val="Bajas-ventas"/>
      <sheetName val=" Detalle Imp Tráns "/>
      <sheetName val="Selecc Adic "/>
      <sheetName val="MMA Adic final"/>
      <sheetName val="Detalle vtas. bajas"/>
      <sheetName val="Cálculo Global Final"/>
      <sheetName val="C. Global Deprec. PreL."/>
      <sheetName val="Detalle Eq. tránsito"/>
      <sheetName val="Listado Final (PPC)"/>
      <sheetName val="Listado Prel. (PPC)"/>
      <sheetName val="Totalmente deprec. final"/>
      <sheetName val="Ventas &amp; Bajas Final"/>
      <sheetName val="Movim. final"/>
      <sheetName val="Movim. pre"/>
      <sheetName val="Calc.Deprec.Act.Fijo"/>
      <sheetName val="Cálculo Amortiz."/>
      <sheetName val="Cálculo límites"/>
      <sheetName val="Parámetros"/>
      <sheetName val="Base Datos final"/>
      <sheetName val="Base de datos pre"/>
      <sheetName val="Adiciones Prel."/>
      <sheetName val="Depreciados (PPC)"/>
      <sheetName val="Costo PPC"/>
      <sheetName val="Depreciación PPC"/>
      <sheetName val="Resumen"/>
      <sheetName val="Gasto Final"/>
      <sheetName val="Retiros Final (PPC)"/>
      <sheetName val="Gasto Prel."/>
      <sheetName val="Retiros Prel. (PPC)"/>
      <sheetName val="Saldos iniciales"/>
      <sheetName val="Calc. Glo. Depre"/>
      <sheetName val="Cal. Glob. Depre"/>
      <sheetName val="Listados"/>
      <sheetName val="Nota AF"/>
      <sheetName val="Revisión Analítica"/>
      <sheetName val="Análisis Ad. Prelim."/>
      <sheetName val="VTA AF"/>
      <sheetName val="Listado A. Fijos"/>
      <sheetName val="Bajas AF"/>
      <sheetName val="LISTADO ACTIVOS"/>
      <sheetName val="DEPRECIADOS TOTALMENTE"/>
      <sheetName val="TRANSF. (-)"/>
      <sheetName val="TRANSF.(+)"/>
      <sheetName val="Totalmente deprec. FINAL 2002"/>
      <sheetName val="Listado FINAL (2002)"/>
      <sheetName val="Dep.Acum.Fin"/>
      <sheetName val="C. Global Deprec. Fin"/>
      <sheetName val="Conciliación-Fin"/>
      <sheetName val="Equipos en Tránsito"/>
      <sheetName val="MMA Eq.Trán"/>
      <sheetName val="Análisis Eq.Trán"/>
      <sheetName val="MMA adiciones Prel"/>
      <sheetName val="MMA adiciones Fin"/>
      <sheetName val="LISTADO ACTIVOS-Fin"/>
      <sheetName val="DEPRECIADOS TOTALMENTE-Fin"/>
      <sheetName val="TRANSF(+)"/>
      <sheetName val="Conciliación-Prel"/>
      <sheetName val="LISTADO ACTIVOS-Prel"/>
      <sheetName val="DEPRECIADOS TOTALMENTE-Prel"/>
      <sheetName val="TRANSF.(+)Pre"/>
      <sheetName val="Movimiento Deprec."/>
      <sheetName val="Recálc. Dep."/>
      <sheetName val="Cálc.Global Deprec."/>
      <sheetName val="Cálculo Global Dpreciación"/>
      <sheetName val="Adicio."/>
      <sheetName val="Lis."/>
      <sheetName val="Mov. Dep."/>
      <sheetName val="Adic."/>
      <sheetName val="List."/>
      <sheetName val="Mov. A.Fijo"/>
      <sheetName val="Mov. Dep.A.Fijp"/>
      <sheetName val="Detalle ventas-baja"/>
      <sheetName val="Análisis Vtas-Bajas"/>
      <sheetName val="Recálculo Depreciación"/>
      <sheetName val="Bajas Ventas"/>
      <sheetName val="Conciliación Prel."/>
      <sheetName val="C.G.Preliminar"/>
      <sheetName val="Bajas "/>
      <sheetName val="T. Depreciados"/>
      <sheetName val="Conciliación Final"/>
      <sheetName val="C. Global Deprec.Final"/>
      <sheetName val="Ventas (PPC)"/>
      <sheetName val="Depreciados (PPC)final"/>
      <sheetName val="Listado (PPC) Final"/>
      <sheetName val="Activos nuevos final"/>
      <sheetName val="AF Costo"/>
      <sheetName val="Bajas y Ventas AF"/>
      <sheetName val="Cálc.Global (Prel)"/>
      <sheetName val="Cruce Listados-Libros"/>
      <sheetName val="Detalle"/>
      <sheetName val="Mov. AF. (P)"/>
      <sheetName val="Mov. Cons. en Curso. (P)"/>
      <sheetName val="Mov. Deprec. (P)"/>
      <sheetName val="Cálc.Global Dep. (P)"/>
      <sheetName val="Bajas y Vtas. AF (P)"/>
      <sheetName val="Depreciaciones"/>
      <sheetName val="Costo AF"/>
      <sheetName val="Depreciación AF"/>
      <sheetName val="Cálculo Gasto Depreciación"/>
      <sheetName val="MMA Final"/>
      <sheetName val="Ventas y Bajas"/>
      <sheetName val="Listado AF final"/>
      <sheetName val="Listado AF Preliminar"/>
      <sheetName val="Calc.global deprec Final"/>
      <sheetName val="MMA Adiciones Final"/>
      <sheetName val="Compras Locales"/>
      <sheetName val="Importaciones"/>
      <sheetName val="Ventas Prel."/>
      <sheetName val="Calc.Global Gs. Dep."/>
      <sheetName val="Analisis C. Locales"/>
      <sheetName val="Nota EE.FF"/>
      <sheetName val="Cálculo depr."/>
      <sheetName val="Cálculo.global"/>
      <sheetName val="Terreno"/>
      <sheetName val="MyE"/>
      <sheetName val="Edificios-instal"/>
      <sheetName val="Maq"/>
      <sheetName val="Eqind"/>
      <sheetName val="Veh"/>
      <sheetName val="Eqoficina"/>
      <sheetName val="Calc.Dep"/>
      <sheetName val="Calc.Dep final"/>
      <sheetName val="Ventas Activo Fijo"/>
      <sheetName val="Movimiento"/>
      <sheetName val="Cálculo Global Depc."/>
      <sheetName val="AnalisisCosto AF"/>
      <sheetName val="Cálculo Deprec (F)"/>
      <sheetName val="Adiciones (F)"/>
      <sheetName val="Adiciones Prel"/>
      <sheetName val="Ventas (F)"/>
      <sheetName val="Depreciaión"/>
      <sheetName val="CMA_Adiciones"/>
      <sheetName val="CMA_Selections "/>
      <sheetName val="Análisis de Adiciones "/>
      <sheetName val="SA Procedures"/>
      <sheetName val="Expectation"/>
      <sheetName val="Explanation"/>
      <sheetName val="Mov. Depr"/>
      <sheetName val="Cal. Global Final"/>
      <sheetName val="Det. Bajas"/>
      <sheetName val="D. Importaciones"/>
      <sheetName val="Análisi de Adiciones "/>
      <sheetName val="Importaciones en tránsito "/>
      <sheetName val="Cál. Global"/>
      <sheetName val="Costo "/>
      <sheetName val="Cal.Global Dep."/>
      <sheetName val="APT Adiciones Final"/>
      <sheetName val="Bajas - Ventas (2)"/>
      <sheetName val="Compras AF.Nov05"/>
      <sheetName val="Activos en tránsito"/>
      <sheetName val="MMA Compras"/>
      <sheetName val="Análisis de Adic."/>
      <sheetName val="Bajas - Ventas"/>
      <sheetName val="Calc. Global Deprec."/>
      <sheetName val="Otros"/>
      <sheetName val="Cálculo de Exceso"/>
      <sheetName val="Análisis de compras"/>
      <sheetName val="Detalle de compras y bajas"/>
      <sheetName val="Mov. AF."/>
      <sheetName val="Cálc. Dep."/>
      <sheetName val="Bajas y Vtas. AF "/>
      <sheetName val="Movimiento Depreciacion"/>
      <sheetName val="Cálculo del umbral"/>
      <sheetName val="PPC-Listado AF"/>
      <sheetName val="Cálculo Global Depreciación"/>
      <sheetName val="Constr y mejoras"/>
      <sheetName val="MMA SI"/>
      <sheetName val="Análisis SI"/>
      <sheetName val="MMA Observ físico"/>
      <sheetName val="C. Depreciación"/>
      <sheetName val="C. Depreciación final"/>
      <sheetName val="C. Depreciación final - LOCAL"/>
      <sheetName val="D. Clientes"/>
      <sheetName val="AdicionesA.F."/>
      <sheetName val="Valoracion AF Bodegas"/>
      <sheetName val="RetirosAF(PPC)"/>
      <sheetName val="BASE CLIENTES OBSOLETOS"/>
      <sheetName val="Tabla del Limite"/>
      <sheetName val="Vtas-Bajas"/>
      <sheetName val="Clientes"/>
      <sheetName val="Adiciones AF- imp"/>
      <sheetName val="C.G. Depreciación"/>
      <sheetName val="Clientes Mar"/>
      <sheetName val="Clientes Jun"/>
      <sheetName val="Telepuerto Jun"/>
      <sheetName val="Clientes Sep"/>
      <sheetName val="Telep Sep"/>
      <sheetName val="Análisis exterior"/>
      <sheetName val="Calc.glob.dep."/>
      <sheetName val="Ventas AF"/>
      <sheetName val="Movimiento de Activos Fijos"/>
      <sheetName val="Movimiento Depreciac.Acumul."/>
      <sheetName val="Cálculo Global dep"/>
      <sheetName val="Anexo retiros"/>
      <sheetName val="MMA saldo inical"/>
      <sheetName val="Constatación Fisica"/>
      <sheetName val="Detalle de bajas y ventas"/>
      <sheetName val="MMA saldo"/>
      <sheetName val="Detalle Activos Fijos2000"/>
      <sheetName val="Adicion herramientas"/>
      <sheetName val="Calculo global deprec,"/>
      <sheetName val="Analisis Saldos iniciales"/>
      <sheetName val="INFORME"/>
      <sheetName val="Mal soportado"/>
      <sheetName val="Sin soporte"/>
      <sheetName val="Nota EF´s"/>
      <sheetName val="Listado 2005"/>
      <sheetName val="CG Dep. Prel."/>
      <sheetName val="CG Dep. Final"/>
      <sheetName val="MMA Prel."/>
      <sheetName val="Límite Prel."/>
      <sheetName val="Límite Final"/>
      <sheetName val="CG Depreciación"/>
      <sheetName val="Listado - PPC"/>
      <sheetName val="Cálc.Global"/>
      <sheetName val="Cálculo global depr."/>
      <sheetName val="Análisis Bajas"/>
      <sheetName val="Detalle adiciones"/>
      <sheetName val="Listado Oct"/>
      <sheetName val="Listado Dic"/>
      <sheetName val="Movim. Costo"/>
      <sheetName val="Movim. Deprecia."/>
      <sheetName val="Calculo Gasto Depre"/>
      <sheetName val="Anál Adiciones AF"/>
      <sheetName val="Listado de A.F.(ppc)"/>
      <sheetName val="Adquisiciones y Bajas (ppc)"/>
      <sheetName val="Nota Final"/>
      <sheetName val="Nota Prel."/>
      <sheetName val="Cal. Global Depreciación"/>
      <sheetName val="Listado a Oct-03 (PPC)"/>
      <sheetName val="A.F depreciados"/>
      <sheetName val="Calc.Amort.Plantaciones"/>
      <sheetName val="Base de datos"/>
      <sheetName val="C Glob. Deprec."/>
      <sheetName val="MMA Compras Inventarios"/>
      <sheetName val="Bajas y Vtas"/>
      <sheetName val="AnálisisAdic"/>
      <sheetName val="Mov"/>
      <sheetName val="C.Global"/>
      <sheetName val="Det.Lim"/>
      <sheetName val="Vtas. y Bajas"/>
      <sheetName val="MMA adiciones activos"/>
      <sheetName val="Nota 02"/>
      <sheetName val="Mov.Depr."/>
      <sheetName val="Calc.Depr. (PPC)"/>
      <sheetName val="Calc.CM. (PPC)"/>
      <sheetName val="Recálculo"/>
      <sheetName val="Selec. y Anál. Adic."/>
      <sheetName val="Mov. Activo Costo"/>
      <sheetName val="cal.glob.dep.fin"/>
      <sheetName val="Adciones"/>
      <sheetName val="Detalle de Ajustes"/>
      <sheetName val="Mov. Costo(p)"/>
      <sheetName val="Mov. Depreciacion (p)"/>
      <sheetName val="Listado AF(ppc)"/>
      <sheetName val="Listado A.F. 2005(ppc)"/>
      <sheetName val="MMA S. I."/>
      <sheetName val="Calculo Global Depreciación"/>
      <sheetName val="Análisis de Ventas y bajas"/>
      <sheetName val="Análisis de adic"/>
      <sheetName val="Calculo Global Dep final"/>
      <sheetName val="Detalle de ventas y bajas"/>
      <sheetName val="Calc Glob Dep."/>
      <sheetName val="Toma Física AF"/>
      <sheetName val="Anexo de A.F. Compañía"/>
      <sheetName val="Listado de AF PPC"/>
      <sheetName val="MMA-preliminar"/>
      <sheetName val="Análisis adiciones importa"/>
      <sheetName val="Dep.Costo. "/>
      <sheetName val="Cálculo Glob Dep."/>
      <sheetName val="Calc. Límites"/>
      <sheetName val="MMA Adic. Final"/>
      <sheetName val="Análisis Adic.Imp."/>
      <sheetName val="MMAAdiciones Prelim."/>
      <sheetName val="Venta Activos"/>
      <sheetName val="Análisis Compras"/>
      <sheetName val="Listado AF 31-ago-08"/>
      <sheetName val="Dep.Mejoras"/>
      <sheetName val="Listado de A.F"/>
      <sheetName val="Bajas Activos fijos"/>
      <sheetName val="Listados Vs. Registros "/>
      <sheetName val="Capitalizaciones"/>
      <sheetName val="Listado Act. Fijo Dic"/>
      <sheetName val="Listados Vs. Registros Dic"/>
      <sheetName val="MMA Dic"/>
      <sheetName val="Listados Vs. Registros"/>
      <sheetName val="Listado de Activos fijos"/>
      <sheetName val="Límite (2)"/>
      <sheetName val="MMA-Sep"/>
      <sheetName val="P&amp;A"/>
      <sheetName val="Cálculo Global Nov"/>
      <sheetName val="Cálculo Global Ago"/>
      <sheetName val="Listado de Activos"/>
      <sheetName val="Listado Diciembre"/>
      <sheetName val="Proyecto (Gasto)"/>
      <sheetName val="Análisis de Gastos"/>
      <sheetName val="Límite Nov"/>
      <sheetName val="Límite Preliminar"/>
      <sheetName val="DEP. AREA 61"/>
      <sheetName val="DEP. AREA 11"/>
      <sheetName val="Temp"/>
      <sheetName val="Dep. Costo"/>
      <sheetName val="MMA. Adici.Final"/>
      <sheetName val="MMA. Adici.Prel"/>
      <sheetName val="MMA Saldos Prel."/>
      <sheetName val="Conciliación Prel-PPC"/>
      <sheetName val="Listado AF Local GM Prel"/>
      <sheetName val="Listado AF Reexp GM Prel"/>
      <sheetName val="MMA Adic Dic-03 "/>
      <sheetName val="Análisis Adiciones Dic-03"/>
      <sheetName val="Análisis de Bajas y Ventas"/>
      <sheetName val="MMA Adic Ago-03"/>
      <sheetName val="Análisis Adiciones Ago-03"/>
      <sheetName val="Listado AF Local-Ago-03"/>
      <sheetName val="Listado AF Reexp-Sep"/>
      <sheetName val="Calc. Gasto Dep"/>
      <sheetName val="Listado AF(Nov)"/>
      <sheetName val="Compras"/>
      <sheetName val="Gastos (Activos en Proceso)"/>
      <sheetName val="Determinación del Límite"/>
      <sheetName val="Mov. Costo Otros"/>
      <sheetName val="MMA Prel"/>
      <sheetName val="Análisis Adic. Sep."/>
      <sheetName val="Análisis Adic. Dic."/>
      <sheetName val="Toma Fisica"/>
      <sheetName val="Dep acum"/>
      <sheetName val="Venta Act.Fijos"/>
      <sheetName val="C.G Depr"/>
      <sheetName val="C. Clobal"/>
      <sheetName val="Análisis Saldos In."/>
      <sheetName val="Mov. Costo "/>
      <sheetName val="Mov. Dep. "/>
      <sheetName val="Calc. Dep Oct-03"/>
      <sheetName val="Anal.Adic."/>
      <sheetName val="Límite-Sep"/>
      <sheetName val="Cálculo global Dic"/>
      <sheetName val="Análisis AdicionesDic"/>
      <sheetName val="Bajas Dic"/>
      <sheetName val="Excess Calc Dic"/>
      <sheetName val="Cálculo global prem"/>
      <sheetName val="Listados Vs. Registros prem"/>
      <sheetName val="Listado de Activos prem"/>
      <sheetName val="MMA prem"/>
      <sheetName val="Capitalizaciones prem"/>
      <sheetName val="Bajas prem"/>
      <sheetName val="Límite-Sep prem"/>
      <sheetName val="Movimiento Costos"/>
      <sheetName val="Movimiento Dep."/>
      <sheetName val="Análisis Vtas."/>
      <sheetName val="Listado A.F. Dic"/>
      <sheetName val="Cálculo global "/>
      <sheetName val="Calc.Glob.Dep. Prel"/>
      <sheetName val="Adición Fijos"/>
      <sheetName val="Nota 1"/>
      <sheetName val="MMA-adiciones"/>
      <sheetName val="C. locales"/>
      <sheetName val="Construc. en curso"/>
      <sheetName val="MMA const. en curso"/>
      <sheetName val="Anál Construc. en curso"/>
      <sheetName val="Desglose CC"/>
      <sheetName val="Construcciones en curso"/>
      <sheetName val="MMA-adiciones preliminar"/>
      <sheetName val="MMA construcciones en curso"/>
      <sheetName val="Cálculo Glob Dep.Prelim"/>
      <sheetName val="Análisis Ad"/>
      <sheetName val="Detalle Rep. #21"/>
      <sheetName val="Detalle Rep # 38"/>
      <sheetName val="Detalle Rep # 47"/>
      <sheetName val="Tabla Límites"/>
      <sheetName val="MMAAdiciones Final"/>
      <sheetName val="Cálculo Glob Dep.Final"/>
      <sheetName val="Análisis Adic. Final"/>
      <sheetName val="MMAAdiciones"/>
      <sheetName val="MMAAdiciones (2)"/>
      <sheetName val="VentaActivos"/>
      <sheetName val="Análisis Ad. Final"/>
      <sheetName val="Dep.Costo. Prelimi."/>
      <sheetName val="Cálculo Glob Dep. Final"/>
      <sheetName val="MMA Preliminar"/>
      <sheetName val="Dep. Acumulada"/>
      <sheetName val="Proyectos"/>
      <sheetName val="MMA S. Iniciales"/>
      <sheetName val="Mov Depreciación (USGAAP)"/>
      <sheetName val="Mov Depreciación (LOCAL)"/>
      <sheetName val="Determinación del Límite (2)"/>
      <sheetName val="Bajas de Activos"/>
      <sheetName val="Calc. Global Amort."/>
      <sheetName val="Mov Deprec (Spanis)"/>
      <sheetName val="Análisis de Vtas y bajas"/>
      <sheetName val="Costo (ppc)"/>
      <sheetName val="Depreciacion (ppc)"/>
      <sheetName val="C.G. Depreciacion"/>
      <sheetName val="Bajas y Ventas"/>
      <sheetName val="Análisis adic"/>
      <sheetName val="Bajas de AF"/>
      <sheetName val="Selección SI"/>
      <sheetName val="Detalle Vtas y Bajas"/>
      <sheetName val="Análisis Vtas. y Bajas"/>
      <sheetName val="Listado de AF"/>
      <sheetName val="Listado de AF prelim"/>
      <sheetName val="Vtas y Bajas"/>
      <sheetName val="Nota EEF"/>
      <sheetName val="Mov Costo"/>
      <sheetName val="Venta"/>
      <sheetName val="MMA adciones prel"/>
      <sheetName val="Adiciones "/>
      <sheetName val="Resumen de Saldos Iniciales"/>
      <sheetName val="MMA saldos iniciales "/>
      <sheetName val="Prueba de Bajas"/>
      <sheetName val="Adiciones Importac"/>
      <sheetName val="Análisis de Ventas"/>
      <sheetName val="Nota EF"/>
      <sheetName val="Detalle de Vtas y bajas"/>
      <sheetName val="MMA Ad. Final"/>
      <sheetName val="MMA Ad. Pre."/>
      <sheetName val="Cál. global dep."/>
      <sheetName val="Detalle de compras"/>
      <sheetName val="Nota E.F."/>
      <sheetName val="Mvto. Costo"/>
      <sheetName val="Mvto. Depreciación"/>
      <sheetName val="Gasto"/>
      <sheetName val="Detalle de Ventas"/>
      <sheetName val="MMA Prelim. Vts."/>
      <sheetName val="Análisis Vts."/>
      <sheetName val="MMA Prelim. Ad."/>
      <sheetName val="Análisis Ad."/>
      <sheetName val="IMP. TRAN"/>
      <sheetName val="MMA Preli"/>
      <sheetName val="APT Imp.Tran."/>
      <sheetName val="MMA Prelim. Import."/>
      <sheetName val="Mvto. Costo semov."/>
      <sheetName val="Mvto. Dep. semov."/>
      <sheetName val="C.Global Dep."/>
      <sheetName val="Detalle Bajas y ventas"/>
      <sheetName val="Detalle dep."/>
      <sheetName val="Detalle de Bajas"/>
      <sheetName val=" Deprec"/>
      <sheetName val="Cons. vs.Repor "/>
      <sheetName val="Cálculo Global Dep. Final"/>
      <sheetName val="Cálculo Global Dep.Prelim"/>
      <sheetName val="Selección Adiciones AF"/>
      <sheetName val="Mov. Const.Curso"/>
      <sheetName val="Selección Adiciones CC"/>
      <sheetName val="Análisis Ad. CC"/>
      <sheetName val="Ajuste Instal"/>
      <sheetName val="constuccion curso"/>
      <sheetName val="Mov. Act. Fijo"/>
      <sheetName val="Cál.Dep. Final"/>
      <sheetName val="Retiros Final"/>
      <sheetName val="Cál.Dep. Preliminar"/>
      <sheetName val="análisis del avalúo (2)"/>
      <sheetName val="análisis del avalúo"/>
      <sheetName val="RetirosAF PPC"/>
      <sheetName val="BIENES RAICES SG (PPC)"/>
      <sheetName val=" BIENESRAICES SV(PPC)"/>
      <sheetName val="Tabla del Límite"/>
      <sheetName val="Cál.Dep."/>
      <sheetName val="Ventas Bajas"/>
      <sheetName val="MMA Adic. Act. Fij Ago 07"/>
      <sheetName val="APT Adición Act. Fijos"/>
      <sheetName val="Detalle Const. Proceso"/>
      <sheetName val="Listado Act. Fijos 31-Ago-07"/>
      <sheetName val="MMA Adiciones Prel."/>
      <sheetName val="APT Ventas y Bajas"/>
      <sheetName val="Const. en Proceso"/>
      <sheetName val="Listado Prel."/>
      <sheetName val="Ventas y bajas Dic"/>
      <sheetName val="Anexo 11"/>
      <sheetName val="Det. Bajas Dep"/>
      <sheetName val="Mov Deprec"/>
      <sheetName val="Cálculo Global Deprec"/>
      <sheetName val="Listado_Jul-09"/>
      <sheetName val="MovC"/>
      <sheetName val="Mov.Depr"/>
      <sheetName val="Análisis de Vtas.-Bajas"/>
      <sheetName val="ListadoAF"/>
      <sheetName val="Costos"/>
      <sheetName val="Deprec.Acum."/>
      <sheetName val="APTadiciones"/>
      <sheetName val="Dep. Acum."/>
      <sheetName val="Cal.Dep.Act.Fijo"/>
      <sheetName val="Venta AF"/>
      <sheetName val="Bajas Junio"/>
      <sheetName val="Cálc Global"/>
      <sheetName val="Cálcl Global"/>
      <sheetName val="Mov Dep"/>
      <sheetName val="Anal Adic"/>
      <sheetName val="Detalle de Bajas "/>
      <sheetName val="Cálculo Global Dep. "/>
      <sheetName val="Análisis Adiciones "/>
      <sheetName val="Detalle Imp. Tránsito"/>
      <sheetName val="MMA Importaciones"/>
      <sheetName val="Análisis Imp. Tránsito"/>
      <sheetName val="Cálculo Dep. (Dic)"/>
      <sheetName val="MMA Adiciones (Dic)"/>
      <sheetName val="Avalúo"/>
      <sheetName val="Depre"/>
      <sheetName val="Cal Depre"/>
      <sheetName val="Cálc. Global Deprec."/>
      <sheetName val="Listado Act. Fijo"/>
      <sheetName val="Cal.Glob.Deprec."/>
      <sheetName val="List.Act.Fijo"/>
      <sheetName val="Depreciac"/>
      <sheetName val="Cálculo x listado"/>
      <sheetName val="Cálc.Global Final"/>
      <sheetName val="MMA (adiciones)"/>
      <sheetName val="Mov.Cost Hist."/>
      <sheetName val="Mov.Deprec."/>
      <sheetName val="Calculo Global Pre"/>
      <sheetName val="Calculo Global Fin"/>
      <sheetName val="List. Act. Fijo"/>
      <sheetName val="List. AF Final"/>
      <sheetName val="Anal. Adic"/>
      <sheetName val="Anál. Bajas"/>
      <sheetName val="APT Adic"/>
      <sheetName val="S Iniciales"/>
      <sheetName val="MMA SInic"/>
      <sheetName val="Gasto deprec."/>
      <sheetName val="Hoja de Datos"/>
      <sheetName val="Adiciones PPC"/>
      <sheetName val="Ventas A. Fijo PPC"/>
      <sheetName val="Cons Curso final"/>
      <sheetName val="Cons. Curso"/>
      <sheetName val="Act. Fijo Tránsito"/>
      <sheetName val="MMA act. f. trans"/>
      <sheetName val="Análisis de Act. Fijo Tráns."/>
      <sheetName val="Análisis Imp. CBH"/>
      <sheetName val="Detalle Vtas-Bajs"/>
      <sheetName val="Conc. Listado AF FINAL"/>
      <sheetName val="Conciliación Listado"/>
      <sheetName val="Cálc.Global (P)"/>
      <sheetName val="MMA Saldos Iniciales"/>
      <sheetName val="Análisis Saldos Iniciales"/>
      <sheetName val="Venta y Bajas"/>
      <sheetName val="Constatación"/>
      <sheetName val="Mov Costo Final"/>
      <sheetName val="MMA Adquisiciones Proyectos"/>
      <sheetName val="MMA Adquisiciones "/>
      <sheetName val="APT Obras en proceso"/>
      <sheetName val="Listado de act fijos"/>
      <sheetName val="Obras en construcción"/>
      <sheetName val="Movimiento AF y Depreciación"/>
      <sheetName val="Detalle anticipos"/>
      <sheetName val="MMA Anticipos Prelim"/>
      <sheetName val="MMA Anticipos Final"/>
      <sheetName val="Análisis de Anticipos"/>
      <sheetName val="Detalle Const Curso"/>
      <sheetName val="Detalle No Activados"/>
      <sheetName val="MMA Const Curso Prel"/>
      <sheetName val="MMA Const Curso Final"/>
      <sheetName val="Análisis Const Curso"/>
      <sheetName val="Cobertura de Seguros"/>
      <sheetName val="Notas EEFF"/>
      <sheetName val="Pruebas Sustantivas"/>
      <sheetName val="Movimiento del costo"/>
      <sheetName val="Movimiento de Depreciación"/>
      <sheetName val="Listado fin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 refreshError="1"/>
      <sheetData sheetId="159"/>
      <sheetData sheetId="160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/>
      <sheetData sheetId="304" refreshError="1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 refreshError="1"/>
      <sheetData sheetId="525"/>
      <sheetData sheetId="526"/>
      <sheetData sheetId="527" refreshError="1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/>
      <sheetData sheetId="683" refreshError="1"/>
      <sheetData sheetId="684" refreshError="1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te."/>
      <sheetName val="Nota EF"/>
      <sheetName val="Sucres"/>
      <sheetName val="Dólares"/>
      <sheetName val="Selecc. Bancos"/>
      <sheetName val="Selec. Cheques"/>
      <sheetName val="Banco Central"/>
      <sheetName val="Depósitos Tránsito"/>
      <sheetName val="Notas débito"/>
      <sheetName val="Encaje (23 al 29)"/>
      <sheetName val="Encaje (30 al 5)"/>
      <sheetName val="1104"/>
      <sheetName val="XREF"/>
      <sheetName val="Tickmarks"/>
      <sheetName val="VV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cimo Sexto"/>
      <sheetName val="Hoja1"/>
      <sheetName val="Tildes"/>
      <sheetName val="Sheet1 (2)"/>
      <sheetName val="Sheet1"/>
      <sheetName val="#REF"/>
      <sheetName val="Análisis de Notas Crédito"/>
      <sheetName val="Análisis de Facturas"/>
      <sheetName val="Tickmarks"/>
      <sheetName val="Pasivos No Registrados"/>
      <sheetName val="Prueba de Corte"/>
      <sheetName val="Ticmarks"/>
      <sheetName val="Nota1"/>
      <sheetName val="CostoConso"/>
      <sheetName val="Dep.Consol"/>
      <sheetName val="Calc.Gasto Costo"/>
      <sheetName val="Costo Reexp."/>
      <sheetName val="Dep.Costo. Rex"/>
      <sheetName val="Calc.Gasto Costo Reexp."/>
      <sheetName val="Calc Reexp Costo"/>
      <sheetName val="Calc.Reexp. Dep"/>
      <sheetName val="Detalle GO Jun-02"/>
      <sheetName val="Detalle GO Oct-02"/>
      <sheetName val="Detalle GO Dic-02"/>
      <sheetName val="Tildes 8230"/>
      <sheetName val="MMA"/>
      <sheetName val="Selec. Adiciones"/>
      <sheetName val="Anális. siniest. seguros"/>
      <sheetName val="Tildes (2)"/>
      <sheetName val="Límite"/>
      <sheetName val="Tabla del Limite"/>
      <sheetName val="Proyeccion Costos"/>
      <sheetName val="Proyec.Vtas."/>
      <sheetName val="Detalle Sueldos"/>
      <sheetName val="Sueldos Personal"/>
      <sheetName val="Final"/>
      <sheetName val="Preliminar"/>
      <sheetName val="Análisis"/>
      <sheetName val="PIVOT"/>
      <sheetName val="3670020"/>
      <sheetName val="367020EN"/>
      <sheetName val="Dep_Consol"/>
      <sheetName val="GG-5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>
        <row r="1">
          <cell r="A1" t="str">
            <v>MOVIMIENTO ACTIVOS FIJOS DEPRECIACION COSTO</v>
          </cell>
        </row>
        <row r="27">
          <cell r="R27">
            <v>0</v>
          </cell>
        </row>
      </sheetData>
      <sheetData sheetId="15" refreshError="1"/>
      <sheetData sheetId="16" refreshError="1"/>
      <sheetData sheetId="17" refreshError="1">
        <row r="1">
          <cell r="A1" t="str">
            <v>MOVIMIENTO ACTIVOS FIJOS DEPRECIACION COSTO</v>
          </cell>
        </row>
        <row r="27">
          <cell r="O27">
            <v>0</v>
          </cell>
        </row>
        <row r="63">
          <cell r="O63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Mov.Costo"/>
      <sheetName val="Mov.Dep."/>
      <sheetName val="Cal.Deprec."/>
      <sheetName val="Selección"/>
      <sheetName val="AnálisisAdic"/>
      <sheetName val="XREF"/>
      <sheetName val="Tickmarks"/>
      <sheetName val="NotaEF"/>
      <sheetName val="Detalle"/>
      <sheetName val="Costo"/>
      <sheetName val="Reex."/>
      <sheetName val="Dep.Costo."/>
      <sheetName val="Dep.Costo. Rex"/>
      <sheetName val="Adiciones"/>
      <sheetName val="Relac DEP-COSTO"/>
      <sheetName val="MMA"/>
      <sheetName val="C. Clobal"/>
      <sheetName val="Eq. Comp."/>
      <sheetName val="Edificios"/>
      <sheetName val="Ed.Seg.Cliente"/>
      <sheetName val="Cálc. Global. Dep."/>
      <sheetName val="Cal.Deprec final"/>
      <sheetName val="Cal.Deprec.prele"/>
      <sheetName val="Bajas"/>
      <sheetName val="Mov. Costo"/>
      <sheetName val="Depreciación"/>
      <sheetName val="Cálculo global"/>
      <sheetName val="Listado de Activos Fijos"/>
      <sheetName val="Notas EEFF"/>
      <sheetName val="Analisis Adiciones"/>
      <sheetName val="Bajas de Activos Fijos"/>
      <sheetName val="Movimiento Costo"/>
      <sheetName val="Cálculo Global Depr."/>
      <sheetName val="Movimiento Depreciación"/>
      <sheetName val="Limite"/>
      <sheetName val="Adiciones AF"/>
      <sheetName val="Toma Fisica"/>
      <sheetName val="Listado AF"/>
      <sheetName val="Mov. Depre."/>
      <sheetName val="Toma Física de AF"/>
      <sheetName val="Listado Bajas"/>
      <sheetName val="Prueba de Adiciones"/>
      <sheetName val="Mov. Costo AF"/>
      <sheetName val="Mov. Depr. AF"/>
      <sheetName val="Sheet1"/>
      <sheetName val="Límites"/>
      <sheetName val="#REF"/>
      <sheetName val="Mov. Depreciación"/>
      <sheetName val="Terreno o costos de Locales"/>
      <sheetName val="Movimiento"/>
      <sheetName val="Resumen de Conciliaciones"/>
      <sheetName val="Dólares"/>
      <sheetName val="Mov.Depreciación"/>
      <sheetName val="Cálculo Dep."/>
      <sheetName val="Cálculo Dep.Final"/>
      <sheetName val="APT Adiciones"/>
      <sheetName val="Toma física"/>
      <sheetName val="Activación"/>
      <sheetName val="Limites"/>
      <sheetName val="Analisis de Adiciones de AF"/>
      <sheetName val="Mov Costo"/>
      <sheetName val="Mov Dep"/>
      <sheetName val="Mov.Costo Reexp."/>
      <sheetName val="Mov.Dep.Costo."/>
      <sheetName val="Mov.Dep.Costo. Reex"/>
      <sheetName val="Calc.Global Deprec."/>
      <sheetName val="Nota EEFF"/>
      <sheetName val="Links"/>
      <sheetName val="Detalle Activos Fijos"/>
      <sheetName val="A"/>
    </sheetNames>
    <sheetDataSet>
      <sheetData sheetId="0" refreshError="1"/>
      <sheetData sheetId="1">
        <row r="15">
          <cell r="H15">
            <v>4449506</v>
          </cell>
        </row>
      </sheetData>
      <sheetData sheetId="2">
        <row r="15">
          <cell r="H15">
            <v>4449506</v>
          </cell>
        </row>
      </sheetData>
      <sheetData sheetId="3">
        <row r="15">
          <cell r="H15">
            <v>4449506</v>
          </cell>
        </row>
      </sheetData>
      <sheetData sheetId="4">
        <row r="15">
          <cell r="H15">
            <v>4449506</v>
          </cell>
        </row>
      </sheetData>
      <sheetData sheetId="5">
        <row r="15">
          <cell r="H15">
            <v>4449506</v>
          </cell>
        </row>
      </sheetData>
      <sheetData sheetId="6"/>
      <sheetData sheetId="7" refreshError="1"/>
      <sheetData sheetId="8">
        <row r="15">
          <cell r="H15">
            <v>4449506</v>
          </cell>
        </row>
      </sheetData>
      <sheetData sheetId="9">
        <row r="15">
          <cell r="H15">
            <v>4449506</v>
          </cell>
        </row>
        <row r="17">
          <cell r="H17">
            <v>189778</v>
          </cell>
        </row>
      </sheetData>
      <sheetData sheetId="10"/>
      <sheetData sheetId="11"/>
      <sheetData sheetId="12"/>
      <sheetData sheetId="13"/>
      <sheetData sheetId="14"/>
      <sheetData sheetId="15" refreshError="1"/>
      <sheetData sheetId="16">
        <row r="15">
          <cell r="H15">
            <v>4449506</v>
          </cell>
        </row>
      </sheetData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5">
          <cell r="H15">
            <v>4449506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5">
          <cell r="H15">
            <v>20</v>
          </cell>
        </row>
      </sheetData>
      <sheetData sheetId="7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Estados Financieros"/>
      <sheetName val="Detalle 31-12-97"/>
      <sheetName val="Detalle 9-30-98"/>
      <sheetName val="Concilación"/>
      <sheetName val="Costo"/>
      <sheetName val="Costo Reexp."/>
      <sheetName val="Dep.Costo."/>
      <sheetName val="Dep.Costo. Rex"/>
      <sheetName val="Calc.Gasto Costo"/>
      <sheetName val="Calc.Gasto Costo Reexp. Marzo"/>
      <sheetName val="Selección Adiciones"/>
      <sheetName val="Subselección Adiciones"/>
      <sheetName val="Retiros de Activos Fijos"/>
      <sheetName val="Bajas"/>
      <sheetName val="Calc Reexp Costo"/>
      <sheetName val="Calc.Reexp. Dep"/>
      <sheetName val="Tickmarks"/>
      <sheetName val="MMA"/>
      <sheetName val="Detalle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L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V"/>
      <sheetName val="SCHEDULE  VA"/>
      <sheetName val="SCHEDULE VI"/>
      <sheetName val="O.CURSO"/>
    </sheetNames>
    <sheetDataSet>
      <sheetData sheetId="0"/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Adición Act. Fijo"/>
      <sheetName val="Selección Adiciones"/>
      <sheetName val="APT de Adiciones Act. Fijo"/>
      <sheetName val="Detalle Ventas Activos"/>
      <sheetName val="Selección Ventas"/>
      <sheetName val="Análisis Ventas"/>
      <sheetName val="Saldos Iniciales"/>
      <sheetName val="XREF"/>
      <sheetName val="Tickmar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>
        <row r="3">
          <cell r="A3" t="str">
            <v>{a}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"/>
      <sheetName val="Detalle"/>
      <sheetName val="Mov. Costo"/>
      <sheetName val="Mov. Depreciación"/>
      <sheetName val="Cálculo Global"/>
      <sheetName val="Límite"/>
      <sheetName val="Listado Preliminar"/>
      <sheetName val="MMA Adiciones"/>
      <sheetName val="análisis de adiciones"/>
      <sheetName val="MMA Ventas"/>
      <sheetName val="Análisis Ventas"/>
      <sheetName val="XREF"/>
      <sheetName val="Tickmarks"/>
    </sheetNames>
    <sheetDataSet>
      <sheetData sheetId="0"/>
      <sheetData sheetId="1"/>
      <sheetData sheetId="2">
        <row r="69">
          <cell r="I6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A7" t="str">
            <v>{c}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ample Data"/>
      <sheetName val="CMA_Calculations"/>
      <sheetName val="CMA_Selections"/>
      <sheetName val="XREF"/>
      <sheetName val="Tickmarks"/>
      <sheetName val="CMA_SampleDesign"/>
      <sheetName val="DialogInsert"/>
      <sheetName val="Sample_Data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Detalle Cuentas por Cobrar"/>
      <sheetName val="Sheet1"/>
      <sheetName val="ROLCOBOS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Asignaciones"/>
      <sheetName val="APT Gastos"/>
      <sheetName val="Sueldos"/>
      <sheetName val="Honorarios"/>
      <sheetName val="Marcas Estándar"/>
      <sheetName val="XREF"/>
      <sheetName val="#REF"/>
      <sheetName val="Gtos. Admin. y Vtas."/>
      <sheetName val="MMA APT"/>
      <sheetName val="Análisis APT"/>
      <sheetName val="Tickmarks"/>
      <sheetName val="Detalle APT"/>
      <sheetName val="Selección APT"/>
      <sheetName val="Detalle Cuentas Public."/>
      <sheetName val="Sheet13"/>
      <sheetName val="Sheet12"/>
      <sheetName val="Detalle Prove Public."/>
      <sheetName val="Análisis Selec."/>
      <sheetName val="Det. Gto.Ben.Soc"/>
      <sheetName val="Det.Gst.Fij"/>
      <sheetName val="Det.GstoInterc"/>
      <sheetName val="Gsto.Interc."/>
      <sheetName val="Det.Pub."/>
      <sheetName val="MMA"/>
      <sheetName val="Anál. APT"/>
      <sheetName val="Análisis Remun."/>
      <sheetName val="GASTOS"/>
      <sheetName val="Sheet1"/>
      <sheetName val="Roles sep-00"/>
      <sheetName val="Benefic. sep.00"/>
      <sheetName val=" Sue. y prov.-final"/>
      <sheetName val="CalcuGlobalSueldo"/>
      <sheetName val=" MMA"/>
      <sheetName val="Análisis"/>
      <sheetName val="Mayores MMA (PPC)"/>
      <sheetName val="Hoja1"/>
      <sheetName val="Cálculo Sueldos"/>
      <sheetName val="Detalle abierto"/>
      <sheetName val="APT"/>
      <sheetName val="Detalle (1)"/>
      <sheetName val="Tildes"/>
      <sheetName val="Detalle -Apt"/>
      <sheetName val="CG - sueldos"/>
      <sheetName val="CG - Arriendos"/>
      <sheetName val="Comisiones pagadas"/>
      <sheetName val="Selección"/>
      <sheetName val="Siniestros pagados"/>
      <sheetName val="MMA Siniestros"/>
      <sheetName val="Siniestros pagados final"/>
      <sheetName val="MMA Anulaciones"/>
      <sheetName val="Análisis Anulaciones"/>
      <sheetName val="Sheet1 (2)"/>
      <sheetName val="Detalle  (2)"/>
      <sheetName val="CALCULO GLOBAL SUELDOS"/>
      <sheetName val="An. remuner."/>
      <sheetName val="R. Analítica"/>
      <sheetName val="Cálculo del límite"/>
      <sheetName val="Tabla del Limite"/>
      <sheetName val="Cálc. Global Sueldos (2)"/>
      <sheetName val="Detalle de Gastos"/>
      <sheetName val="Cálc. Global Sueldos"/>
      <sheetName val="Selección de Gtos."/>
      <sheetName val="Analisis de gastos"/>
      <sheetName val="Det Gtos Oper"/>
      <sheetName val="Análisis Gastos Oper"/>
      <sheetName val="Análisis de Anul y Canc"/>
      <sheetName val="MMA final"/>
      <sheetName val="Anal Sin pagados"/>
      <sheetName val="det. brokers"/>
      <sheetName val="MMA BROKERS"/>
      <sheetName val="CMA_Calculations"/>
      <sheetName val="CMA_Selections"/>
      <sheetName val="Arriendos"/>
      <sheetName val="Nómina"/>
      <sheetName val="Beneficios Sociales"/>
      <sheetName val="C.G. Comisiones"/>
      <sheetName val="Indemnizaciones"/>
      <sheetName val="C.G.Vehículos F.Vtas."/>
      <sheetName val="C.G. Arriendos"/>
      <sheetName val="C.G Honorarios"/>
      <sheetName val="C.G. Bonificaciones"/>
      <sheetName val="Límite"/>
      <sheetName val="Tabla"/>
      <sheetName val="Detalle Gastos"/>
      <sheetName val="Otros Gastos"/>
      <sheetName val="Resumen Comisiones"/>
      <sheetName val="C. Tarjetas"/>
      <sheetName val="Technical SAG."/>
      <sheetName val="Mant. redes"/>
      <sheetName val="Comisiones-bonos-residuales"/>
      <sheetName val="roles de pago"/>
      <sheetName val="Sueldo final"/>
      <sheetName val="Sueldo prel"/>
      <sheetName val="Alimentación"/>
      <sheetName val="Liq. empleados"/>
      <sheetName val="1000 "/>
      <sheetName val="2000"/>
      <sheetName val="3000"/>
      <sheetName val="4000"/>
      <sheetName val="5000"/>
      <sheetName val="6000"/>
      <sheetName val="70081"/>
      <sheetName val="70082"/>
      <sheetName val="70083"/>
      <sheetName val="70084"/>
      <sheetName val="8000"/>
      <sheetName val="Análisis Gtos.Oper."/>
      <sheetName val="Resumen"/>
      <sheetName val="Selección "/>
      <sheetName val="Cál.Glob.Arrend."/>
      <sheetName val="Sueldos Final"/>
      <sheetName val="APT Gastos (Final)"/>
      <sheetName val="Honorarios profesionales"/>
      <sheetName val="Det. dep.prov.amort."/>
      <sheetName val="Gasto Arriendo"/>
      <sheetName val="Pivot"/>
      <sheetName val="Subdetalle Final"/>
      <sheetName val="Subdetalle Prel."/>
      <sheetName val="Planillas"/>
      <sheetName val="Hoja 1"/>
      <sheetName val="Cal. Glob. Sueldos"/>
      <sheetName val="Cálculo Varios"/>
      <sheetName val="Cálc.Serv.Distr."/>
      <sheetName val="Detalle Regalías"/>
      <sheetName val="Regalías"/>
      <sheetName val="Detalle Arriendos"/>
      <sheetName val="Patentes"/>
      <sheetName val="Publicidad"/>
      <sheetName val="APT Gtos."/>
      <sheetName val="Pivot "/>
      <sheetName val="APT MMA"/>
      <sheetName val="Determinación del Límite"/>
      <sheetName val="Tabla del Límite"/>
      <sheetName val="Join V."/>
      <sheetName val="EDS"/>
      <sheetName val="Guarantee"/>
      <sheetName val="Seguros"/>
      <sheetName val="MMA "/>
      <sheetName val="APT Dic"/>
      <sheetName val="Calc. Límites Dic-04"/>
      <sheetName val=" Límite"/>
      <sheetName val="Detalle G. Op."/>
      <sheetName val="Leasing"/>
      <sheetName val="E. Electrica"/>
      <sheetName val="Consumo E. Electrica"/>
      <sheetName val="Det  Benef.Soc."/>
      <sheetName val="Gasto Sueldos"/>
      <sheetName val="Cálculo Global Sueldos"/>
      <sheetName val="Revisión analítica gastos"/>
      <sheetName val="Gráfico"/>
      <sheetName val="MMA (2)"/>
      <sheetName val="Detalle de Gastos "/>
      <sheetName val="Detalle gastos administ"/>
      <sheetName val="Detalle gastos ventas"/>
      <sheetName val="Planillas IESS"/>
      <sheetName val="Cál.Glob. Sueldos"/>
      <sheetName val="Rol"/>
      <sheetName val="Análisis Honorarios"/>
      <sheetName val="Marcas"/>
      <sheetName val="MMA Gastos"/>
      <sheetName val="Detalle de Sueldos y Salarios"/>
      <sheetName val="Trabajo Prestado"/>
      <sheetName val="Calc. Límites"/>
      <sheetName val="Persoserv"/>
      <sheetName val="Guarantee (Sep)"/>
      <sheetName val="Arriendo"/>
      <sheetName val="Remuneraciones"/>
      <sheetName val="Resumen Planillas"/>
      <sheetName val="Cuadro Comparativo"/>
      <sheetName val="Asist. Técnica"/>
      <sheetName val="Comisiones del Ext."/>
      <sheetName val="Gtos. Ventas y Administración"/>
      <sheetName val="Cálculo del umbral"/>
      <sheetName val="C. Globla Primas 2003"/>
      <sheetName val="Cálculos Globales"/>
      <sheetName val="Calc. Límites "/>
      <sheetName val="Fact.Que No Cumplen Reg. Fact."/>
      <sheetName val="C. Global Mov. y B. Resp."/>
      <sheetName val="Marca"/>
      <sheetName val="Detalle servicios especial"/>
      <sheetName val="Aportes a la AGD"/>
      <sheetName val="Aporte SIB"/>
      <sheetName val="Servipagos"/>
      <sheetName val="Tevcol"/>
      <sheetName val="Detalle 2004"/>
      <sheetName val="Variaciones Jul-Sept04"/>
      <sheetName val="MMA Sept04"/>
      <sheetName val="APT Sept04"/>
      <sheetName val="Sueldos y benef Adm"/>
      <sheetName val="Suel y Benf Estac"/>
      <sheetName val="Alquiler"/>
      <sheetName val="Depreciación FASB52"/>
      <sheetName val="MMA (var)"/>
      <sheetName val="Base"/>
      <sheetName val="MMAAPT"/>
      <sheetName val="Gtos."/>
      <sheetName val="Seleccionados"/>
      <sheetName val="Rol ejecut."/>
      <sheetName val="Indemnización"/>
      <sheetName val="Otros Serv."/>
      <sheetName val="Pivot (dic)"/>
      <sheetName val="Pivot (sept)"/>
      <sheetName val="Revisión analítica"/>
      <sheetName val="Seguro Médico"/>
      <sheetName val="Sueldos Corp."/>
      <sheetName val="MMA Prelim"/>
      <sheetName val="Interhealth"/>
      <sheetName val="Brokers"/>
      <sheetName val="Detalle Gastos APT"/>
      <sheetName val="Detalle Gastos Vtas"/>
      <sheetName val="Análisis Gastos APT"/>
      <sheetName val="C. Global Gto.Coms."/>
      <sheetName val="APTGastos"/>
      <sheetName val="Gasstos mensuales"/>
      <sheetName val="MMA Jul-Dic"/>
      <sheetName val="APT Gastos "/>
      <sheetName val="Cálculo arrendamiento"/>
      <sheetName val=" MMA Sept-04"/>
      <sheetName val="APT Sept-04"/>
      <sheetName val="Cal.Sueldos"/>
      <sheetName val="Cálculo Glob. Arriendos"/>
      <sheetName val="Análisis Gastos"/>
      <sheetName val="Imptos y Contrib."/>
      <sheetName val="Transp. Mercaderia"/>
      <sheetName val="Vtas Diners"/>
      <sheetName val="Recuper.Gtos"/>
      <sheetName val="Tabla Límites"/>
      <sheetName val="Detalle Gastos Opert."/>
      <sheetName val="Impuestos y Contribuciones"/>
      <sheetName val="Anal.Remun."/>
      <sheetName val="Tickmarks (2)"/>
      <sheetName val="Calc. Global Sueldos"/>
      <sheetName val="Arrendamiento"/>
      <sheetName val="Cálc. Glob. Arrend."/>
      <sheetName val="MMAGastos"/>
      <sheetName val="límite "/>
      <sheetName val="Revision Analitica"/>
      <sheetName val="Gastos por CC"/>
      <sheetName val="Rev. Analítica"/>
      <sheetName val="Límites Prel"/>
      <sheetName val="Límites Dic"/>
      <sheetName val="Límites"/>
      <sheetName val="Cálc. Glob. Arriendos"/>
      <sheetName val="Cálc. Glob. Guardianía"/>
      <sheetName val="Cálc. Glob. Alimentación"/>
      <sheetName val="Análisis de Gastos APT"/>
      <sheetName val="Servicios Corporativos"/>
      <sheetName val="Prorrateo"/>
      <sheetName val="Análisis Prorrateo"/>
      <sheetName val="MMA Prel"/>
      <sheetName val="Límite Ap.IESS"/>
      <sheetName val="Aj Sueldos"/>
      <sheetName val="Ben Soc"/>
      <sheetName val="Limite Arr"/>
      <sheetName val="Pivot (Fin)"/>
      <sheetName val="Pivot (Prel)"/>
      <sheetName val="MMA (APT)"/>
      <sheetName val="Asesorías"/>
      <sheetName val="Base Costos y Gastos"/>
      <sheetName val="OPERACIONALES"/>
      <sheetName val="Pivot (Dic05)"/>
      <sheetName val="Pivot(Sep05)"/>
      <sheetName val="Rev. Análitica"/>
      <sheetName val="Cal.Glob.Corp"/>
      <sheetName val="Cal. Glob. Arriend"/>
      <sheetName val="Seg. Médico"/>
      <sheetName val="Sueldos Laminado (2002)"/>
      <sheetName val="Local 101"/>
      <sheetName val="Compra de Inmodiamante."/>
      <sheetName val="Aportes AGD"/>
      <sheetName val="Contrib SBS"/>
      <sheetName val="MMA Sep-05"/>
      <sheetName val="EBITDA"/>
      <sheetName val="Remuneración Variable"/>
      <sheetName val="Gasto Vehículos"/>
      <sheetName val="Gasto Km"/>
      <sheetName val="Km Fact"/>
      <sheetName val="CCostos"/>
      <sheetName val="Cálculo Nómina"/>
      <sheetName val="MMA Junio"/>
      <sheetName val="CG Honorarios"/>
      <sheetName val="CG Seguridad"/>
      <sheetName val="CG Arriendos"/>
      <sheetName val="Sueldos y B. Soc."/>
      <sheetName val="Beneficios"/>
      <sheetName val="Servicios Profesionales"/>
      <sheetName val="RR HH"/>
      <sheetName val="Limpieza"/>
      <sheetName val="Mant y Rep"/>
      <sheetName val="Contratos"/>
      <sheetName val="Salas VIP"/>
      <sheetName val="Suministros"/>
      <sheetName val="Gastos generales"/>
      <sheetName val="Tercerización"/>
      <sheetName val="Detalle Nov-03"/>
      <sheetName val="Calculo Sueldos"/>
      <sheetName val="Calculo Mant. SPIDER"/>
      <sheetName val="C.G. Sueldos"/>
      <sheetName val="C.G. Honorarios"/>
      <sheetName val="C.G. Arriendos y Vigilancia"/>
      <sheetName val="MMA Dic"/>
      <sheetName val="MMA Sept"/>
      <sheetName val="No Operacionales"/>
      <sheetName val="Anal Sin pag sept 02"/>
      <sheetName val="Análisis gastos adminis."/>
      <sheetName val="Anal Sin pag junio 02"/>
      <sheetName val="Det. de Gastos "/>
      <sheetName val="PPC-1100103"/>
      <sheetName val="Threshold Calc"/>
      <sheetName val="Det Ctas Benef Soc"/>
      <sheetName val="S5210"/>
      <sheetName val="PPC-S5210"/>
      <sheetName val="Gtos Manufactura"/>
      <sheetName val="Reaseg Cedidos"/>
      <sheetName val="Siniestros Vida"/>
      <sheetName val="Siniestros Generales"/>
      <sheetName val="Comisiones (sep)"/>
      <sheetName val="Análisis Comisiones"/>
      <sheetName val="No proporcionales"/>
      <sheetName val="Comisiones"/>
      <sheetName val="Reaseguros Cedidos"/>
      <sheetName val="Serv. Administrativos"/>
      <sheetName val="MMA Conserv y Mant"/>
      <sheetName val="Ansalisis Conserv y Mant"/>
      <sheetName val="Comisión Brokers"/>
      <sheetName val="Comisión Nova"/>
      <sheetName val="MMA Prelim."/>
      <sheetName val="APT Comisiones"/>
      <sheetName val="MMA Sep"/>
      <sheetName val="Sueldos-Benef Cía"/>
      <sheetName val="Sueldos-Benf. Estaciones"/>
      <sheetName val="Movimiento Benf. Soc"/>
      <sheetName val="CG Vigilancia"/>
      <sheetName val="Sobresueldos"/>
      <sheetName val="Base de Datos"/>
      <sheetName val="Análisis Base de datos"/>
      <sheetName val="MMA Preliminar"/>
      <sheetName val="Asesorías y Honorarios"/>
      <sheetName val="Benef. Sociales"/>
      <sheetName val="MMA Gastos Final"/>
      <sheetName val="MMA Gastos Prelim."/>
      <sheetName val="Detalle Convenios"/>
      <sheetName val="Análisis de Comisiones"/>
      <sheetName val="Cobertura Seguros"/>
      <sheetName val="MMA Comisiones"/>
      <sheetName val="Análisis APT Gastos"/>
      <sheetName val="Análisis Siniestros"/>
      <sheetName val="Cobertura Exterior"/>
      <sheetName val="Detalle Siniestros"/>
      <sheetName val="Siniestros Ajustes Manuales"/>
      <sheetName val="Analisis Siniestros"/>
      <sheetName val="Siniestros Anulados"/>
      <sheetName val="Gs. Adm."/>
      <sheetName val="Gs. Ventas"/>
      <sheetName val="Calc. Gl. Honorarios"/>
      <sheetName val="Cálculo global"/>
      <sheetName val="Análisis de honorarios"/>
      <sheetName val="Empleados y Funcionarios"/>
      <sheetName val="MMA Comisiones Prelim."/>
      <sheetName val="MMA Liq. Rescates"/>
      <sheetName val="Remuneraciones "/>
      <sheetName val="Otros pagos"/>
      <sheetName val="Personal"/>
      <sheetName val="Total"/>
      <sheetName val="2002 "/>
      <sheetName val="2002"/>
      <sheetName val="2001 2002"/>
      <sheetName val="2001.2002"/>
      <sheetName val="Selección resumen"/>
      <sheetName val="Testing"/>
      <sheetName val="MMA Pagos"/>
      <sheetName val="APT Pagos"/>
      <sheetName val="Análisis saldos negativos"/>
      <sheetName val="Detalle Final"/>
      <sheetName val="MMA APT-Hugo"/>
      <sheetName val="Detalle-Hugo"/>
      <sheetName val="Sueldos (prel.)"/>
      <sheetName val="APT de todo"/>
      <sheetName val="MMA APT (2)"/>
      <sheetName val="Detalle (2)- prueba"/>
      <sheetName val="APT "/>
      <sheetName val="Reembolso Gstos"/>
      <sheetName val="Tarjeta Crédito"/>
      <sheetName val="Resnet"/>
      <sheetName val="Detalle-Preliminar"/>
      <sheetName val="Límites "/>
      <sheetName val="MMA - Final"/>
      <sheetName val="APT - Gastos"/>
      <sheetName val="Detalle "/>
      <sheetName val="CMA_SampleDesign"/>
      <sheetName val="DialogInsert"/>
      <sheetName val="Calculo S.B."/>
      <sheetName val="APT Final"/>
      <sheetName val="APT Preliminar"/>
      <sheetName val="Sueldos "/>
      <sheetName val="Límite Honorarios"/>
      <sheetName val="Excess Calc"/>
      <sheetName val="Pivot centro de Costo"/>
      <sheetName val="Base Pivot"/>
      <sheetName val="Agrupación"/>
      <sheetName val="Tercerizadoras"/>
      <sheetName val="Trabajo de Terceros"/>
      <sheetName val="APT Prelim"/>
      <sheetName val="Hoja de Datos"/>
      <sheetName val="Bienes y Serv. Cons"/>
      <sheetName val="Asistencia Técnica"/>
      <sheetName val="Fedapal"/>
      <sheetName val="Ancupa"/>
      <sheetName val="Calc. Límite"/>
      <sheetName val="Análisis de Adic."/>
      <sheetName val="Primas"/>
      <sheetName val="Analisis de Roles"/>
      <sheetName val="SA Procedures"/>
      <sheetName val="Expectation"/>
      <sheetName val="Explanation"/>
      <sheetName val="Análisis de Nómina"/>
      <sheetName val="Gastos Apt"/>
      <sheetName val="Serv. Comercialización"/>
      <sheetName val="Imp. salida Div."/>
      <sheetName val="Cal Global Sueldos"/>
      <sheetName val="Cálculo Tercerizadora"/>
      <sheetName val="Rotators"/>
      <sheetName val="MMA Rotators"/>
      <sheetName val="Análisis Rotators"/>
      <sheetName val="Expatriados y Consultores"/>
      <sheetName val="Facturas Exp y Consult"/>
      <sheetName val="Nota EEFF"/>
      <sheetName val="Cálculo global de Nómina"/>
      <sheetName val="Limites"/>
      <sheetName val="Analisis Gastos APT"/>
      <sheetName val="Honorarios 2"/>
      <sheetName val="Provisiones"/>
      <sheetName val="Asesorías relacionadas"/>
      <sheetName val="Hon"/>
      <sheetName val="Sueldos y Salarios"/>
      <sheetName val="Detalle de Primas"/>
      <sheetName val="Honorarios (2)"/>
      <sheetName val="APT de Gastos"/>
      <sheetName val="Asesoría Técnica"/>
      <sheetName val="Arriendos "/>
      <sheetName val="Detalle."/>
      <sheetName val="Incentivos sobre resultados"/>
      <sheetName val="APT Iguals"/>
      <sheetName val="APT Gastos Fin"/>
      <sheetName val="Sueldos y Benef."/>
      <sheetName val="Limite Benef."/>
      <sheetName val="Transporte de Quimicos"/>
      <sheetName val="Servicios Ocasionales"/>
      <sheetName val="Cálculo Global de Sueldos"/>
      <sheetName val="APT Serv Profesionales"/>
      <sheetName val="Seguros "/>
      <sheetName val="Contingencias"/>
      <sheetName val="Detalle Contingencia Inundación"/>
      <sheetName val="Gastos según CC"/>
      <sheetName val="Cuentas con Saldos Contrarios"/>
      <sheetName val="Sueldos Temporales"/>
      <sheetName val="513551"/>
      <sheetName val="Gastos de Exportación"/>
      <sheetName val="Educación Médica Continua"/>
      <sheetName val="CMA Calculations"/>
      <sheetName val="Analisis Gastos"/>
      <sheetName val="Arriendos leasing"/>
      <sheetName val="Detalle Desembolsos por Capitul"/>
      <sheetName val="Comisión Supermaxi"/>
      <sheetName val="APT Fin"/>
      <sheetName val="Nota"/>
      <sheetName val="Bonificaciones"/>
      <sheetName val="Limite Nómina"/>
      <sheetName val="Limite Comisiones"/>
      <sheetName val="Imp. Contribuciones"/>
      <sheetName val="Análisis APT Prel."/>
      <sheetName val="Selección Gastos"/>
      <sheetName val="Muestra Gastos"/>
      <sheetName val="Servicios básicos"/>
      <sheetName val="APT Gasto"/>
      <sheetName val="Honorarios "/>
      <sheetName val="APT Gastos Operacionales"/>
      <sheetName val="APT terciarizados"/>
      <sheetName val="Comisión Schlumberger"/>
      <sheetName val="Expats"/>
      <sheetName val="APT Ingenieros"/>
      <sheetName val="MMA (f)"/>
      <sheetName val="MMA(p)"/>
      <sheetName val="MMA 2004"/>
      <sheetName val="Prov. Publicidad P&amp;A"/>
      <sheetName val="Gto Interes Fideicomisos"/>
      <sheetName val="Fee Casa Matriz"/>
      <sheetName val="Facturas Casa Matriz"/>
      <sheetName val="Clasificación Gtos. 31-Dec-08"/>
      <sheetName val="Clasificación Gtos. 31-Oc-08"/>
      <sheetName val="Comisiones Dic"/>
      <sheetName val="Contratos (reaseg no proporc)"/>
      <sheetName val="ANALISIS GTS."/>
      <sheetName val="CG Asesoria"/>
      <sheetName val="Comisiones Exterior"/>
      <sheetName val="Aporte Patronal"/>
      <sheetName val="Intereses"/>
      <sheetName val="Seguridad y Vigilancia"/>
      <sheetName val="Arrendamientos"/>
      <sheetName val="Otros Impuestos"/>
      <sheetName val="Gastos No Deducibles"/>
      <sheetName val="CMA Selections"/>
      <sheetName val="Análisis de APT"/>
      <sheetName val="Nota EF"/>
      <sheetName val="pruebas sustantivas"/>
      <sheetName val="Expectativa de gastos"/>
      <sheetName val="APT Prel"/>
      <sheetName val="Arriendo Inm"/>
      <sheetName val="Guardiania"/>
      <sheetName val="Transporte Mercaderías"/>
      <sheetName val="Determinación de Límites"/>
      <sheetName val="Gtos. Bancarios"/>
      <sheetName val="Límite Sueldos"/>
      <sheetName val="Reembolso gastos"/>
      <sheetName val="Nómina "/>
      <sheetName val="Recalculo de Nómina "/>
      <sheetName val="MMA Gastos Operacionales"/>
      <sheetName val="Guardianía"/>
      <sheetName val="Tab"/>
      <sheetName val="APT Gasto Arriendo"/>
      <sheetName val="Cálculo Comisión Schlumberger"/>
      <sheetName val="APT Rotators"/>
      <sheetName val="APT Expats"/>
      <sheetName val="Procedimiento"/>
      <sheetName val="Nómina Final"/>
      <sheetName val=" APT"/>
      <sheetName val="Servicios"/>
      <sheetName val="Bono Especial"/>
      <sheetName val="Fletes"/>
      <sheetName val="Límites Nómina Final"/>
      <sheetName val="Límites Nómina"/>
      <sheetName val="Prov. Incobrables"/>
      <sheetName val="CMA Calculations (2)"/>
      <sheetName val="Sueldos y Beneficios"/>
      <sheetName val="Notas EEFF"/>
      <sheetName val="Quito"/>
      <sheetName val="Guayaquil"/>
      <sheetName val="Gatos Sini- Reclamos "/>
      <sheetName val="P.1. Detalle"/>
      <sheetName val="P.2. APT Gastos (F)"/>
      <sheetName val="P.3. Analisis de Donaciones (F)"/>
      <sheetName val="P.4. Análisis Nómina (F)"/>
      <sheetName val="Arrendamiento Mercantil"/>
      <sheetName val="Límite cp"/>
      <sheetName val="Calculo Global de Sueldos"/>
      <sheetName val="Cálculo Arriendos"/>
      <sheetName val="Admin Base datos"/>
      <sheetName val="CálculoGlob. Consultores"/>
      <sheetName val="Cálculo Global Expatriados"/>
      <sheetName val="Cálculo Global Arriendos"/>
      <sheetName val="Gastos ADC"/>
      <sheetName val="Conta, Asesor y Otros"/>
      <sheetName val="Provisión Corpaq"/>
      <sheetName val="O&amp;M Manag. Fee Prel."/>
      <sheetName val="O&amp;M Manag. Fee Final"/>
      <sheetName val="Servipago"/>
      <sheetName val="O&amp;M Manag. Fee"/>
      <sheetName val="APT Gastos ADC"/>
      <sheetName val="Serv. contables y otros"/>
      <sheetName val="O&amp;M Manag Fee"/>
      <sheetName val="Serv.Contables y Otros"/>
      <sheetName val="O&amp;M Management Fee"/>
      <sheetName val="Nota a los EEFF"/>
      <sheetName val="APT Gastos Prel"/>
      <sheetName val="Contab, Ases, Otros "/>
      <sheetName val="O&amp;M Exp.Onshore"/>
      <sheetName val="O&amp;M Exp.Offshore"/>
      <sheetName val="Corpaq Concession Fee"/>
      <sheetName val="O&amp;M Manag. Fee  Sept"/>
      <sheetName val="Calculo Global Honorarios"/>
      <sheetName val="O&amp;M Expenses Onshore"/>
      <sheetName val="O&amp;M Expenses Offshore"/>
      <sheetName val="O&amp;M Managt Fee Jul"/>
      <sheetName val="Servicios contables y otros"/>
      <sheetName val="Nomina"/>
      <sheetName val="Selección Empleados"/>
      <sheetName val="Cálculo  Arriendos"/>
      <sheetName val="Management"/>
      <sheetName val="Impuestos"/>
      <sheetName val="F316"/>
      <sheetName val="Salarios y beneficios sociales"/>
      <sheetName val="Límites Final"/>
      <sheetName val="Detalle Costos"/>
      <sheetName val="Límite am"/>
      <sheetName val="Gastos Generales "/>
      <sheetName val="Selección MMA"/>
      <sheetName val="Seguridad"/>
      <sheetName val="Internet"/>
      <sheetName val="G. Administr. Interfondos"/>
      <sheetName val="Gtos. Operación"/>
      <sheetName val="Suedos Dic'06"/>
      <sheetName val="Sueldos Aug'06"/>
      <sheetName val="Sueldos Jul'06"/>
      <sheetName val="Honorarios Dic'06"/>
      <sheetName val="Honorarios Aug'06"/>
      <sheetName val="Honorarios Jul'06"/>
      <sheetName val="MMA Serv. Varios"/>
      <sheetName val="Serv. Varios"/>
      <sheetName val="Contratos Dic'06"/>
      <sheetName val="Contratos Aug'06"/>
      <sheetName val="Contratos Jul'06"/>
      <sheetName val="MMA Desembolsos Contr."/>
      <sheetName val="An. Desembolsos Contr."/>
      <sheetName val="Subselección APT"/>
      <sheetName val="CalcArriend"/>
      <sheetName val="Subselección Apt Final"/>
      <sheetName val="Subselección APT Preliminar"/>
      <sheetName val="Análisis de liquidaciones"/>
      <sheetName val="Analisis Gastos APT "/>
      <sheetName val="Analisis de Honorarios"/>
      <sheetName val="CMA Calculations (Final)"/>
      <sheetName val="CMA Calculations (Preli)"/>
      <sheetName val="Límites Provisiones"/>
      <sheetName val="Nomina Final"/>
      <sheetName val="Courier"/>
      <sheetName val="Recálculo Nómina"/>
      <sheetName val="Nómina Prelim"/>
      <sheetName val="APT Prel_Final"/>
      <sheetName val="Nómina Ec"/>
      <sheetName val="Nómina 2011 (2)"/>
      <sheetName val="Honorarios Prof YP"/>
      <sheetName val="Honorarios Prof. Gerenciales"/>
      <sheetName val="Arriendos YP"/>
      <sheetName val="Partidas a analizar"/>
      <sheetName val="Nomina (2)"/>
      <sheetName val="Conclusión"/>
      <sheetName val="Serv. Comerc."/>
      <sheetName val="Seguros Prelim"/>
      <sheetName val="Seguros Fin"/>
      <sheetName val="CG Nómina"/>
      <sheetName val="Revisión Otros Gastos"/>
      <sheetName val="Análisis de Variaciones"/>
      <sheetName val="Análisis ISD"/>
      <sheetName val="Procedimientos"/>
      <sheetName val="Vigilancia APT"/>
      <sheetName val="Servicios Administrativos"/>
      <sheetName val="Alquiler Veh"/>
      <sheetName val="Alquiler Inmueble"/>
      <sheetName val="Serv. Tecn. y Arrendm."/>
      <sheetName val="Cálculo selección de APT"/>
      <sheetName val="Analisis APT"/>
      <sheetName val="Variación de Gastos"/>
      <sheetName val="Honorarios APT"/>
      <sheetName val="Nómina Quito"/>
      <sheetName val="Nómina Guayaquil"/>
      <sheetName val="Calculo Global Nomina"/>
      <sheetName val="Renta"/>
      <sheetName val="Cálculo de benficios sociales"/>
      <sheetName val="Análisis Nómina"/>
      <sheetName val="A. Servicios Corporativos"/>
      <sheetName val="Analsis Gastos APT"/>
      <sheetName val="Benef. Sociales "/>
      <sheetName val="Fact Allocations Dic 08"/>
      <sheetName val="Facturación Allocations"/>
      <sheetName val="Allocations"/>
      <sheetName val="Transporte OCP"/>
      <sheetName val="Corte Tardío"/>
      <sheetName val="Ley Medio Ambiente"/>
      <sheetName val="MMA Select Gastos APT"/>
      <sheetName val="08"/>
      <sheetName val="Análisis Arriendos APT"/>
      <sheetName val="Análisis Honorarios APT "/>
      <sheetName val="Cálculo Global Beneficios Socia"/>
      <sheetName val="Resumen por cuenta"/>
      <sheetName val="Cont. Selec"/>
      <sheetName val="Vacaciones"/>
      <sheetName val="Gasto Petroecuador"/>
      <sheetName val="Selección Gastos APT Final"/>
      <sheetName val="Límite de Nómina"/>
      <sheetName val="Límite de Nóminca"/>
      <sheetName val="Gto arriendo Vehi Ofic"/>
      <sheetName val="Calculo ingresos Inmocastle"/>
      <sheetName val="Contratos Varios APT"/>
      <sheetName val="Fletes y Promoc"/>
      <sheetName val="Worksheet in 8330 Análisis de G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>
        <row r="16">
          <cell r="F16">
            <v>180529</v>
          </cell>
        </row>
      </sheetData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 refreshError="1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/>
      <sheetData sheetId="321" refreshError="1"/>
      <sheetData sheetId="322" refreshError="1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/>
      <sheetData sheetId="527"/>
      <sheetData sheetId="528" refreshError="1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/>
      <sheetData sheetId="577"/>
      <sheetData sheetId="578"/>
      <sheetData sheetId="579" refreshError="1"/>
      <sheetData sheetId="580"/>
      <sheetData sheetId="581" refreshError="1"/>
      <sheetData sheetId="582" refreshError="1"/>
      <sheetData sheetId="583"/>
      <sheetData sheetId="584" refreshError="1"/>
      <sheetData sheetId="585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 refreshError="1"/>
      <sheetData sheetId="601"/>
      <sheetData sheetId="602" refreshError="1"/>
      <sheetData sheetId="603" refreshError="1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Movi. Benef."/>
      <sheetName val="Calc global provisiones"/>
      <sheetName val="Detalle de Gastos Acumulados"/>
      <sheetName val="Mov. Rep. Mant. Maq."/>
      <sheetName val="Otras Prov. Locales"/>
      <sheetName val="Movi. Benef. Soc."/>
      <sheetName val="Calc. Global B.S."/>
      <sheetName val="PPC-S5210"/>
      <sheetName val="Prov. Vac."/>
      <sheetName val="Impuestos"/>
      <sheetName val="Movi"/>
      <sheetName val="Particip.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bligaciones bancarias"/>
      <sheetName val="Sheet2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Mov. Div. por Pagar"/>
      <sheetName val="Prov. Pagar"/>
      <sheetName val="Mov.Fondos Pool - Club B"/>
      <sheetName val="Beneficios Soc."/>
      <sheetName val="Base"/>
      <sheetName val="Gtos. Acumulados"/>
      <sheetName val="Beneficios contrato"/>
      <sheetName val="IESS2003"/>
      <sheetName val="Garantías ppc"/>
      <sheetName val="Análisis Garantias"/>
      <sheetName val="Descuentos"/>
      <sheetName val="Análisis descuentos"/>
      <sheetName val="Ret. del Imp al Ing. de Nóm E."/>
      <sheetName val="Provisiones Dsctos. (2)"/>
      <sheetName val="Garantias"/>
      <sheetName val="Cálculo Garantías"/>
      <sheetName val="Compensac. Especial."/>
      <sheetName val="Prov"/>
      <sheetName val="Ben Soc"/>
      <sheetName val="Gts Acum"/>
      <sheetName val="2030807"/>
      <sheetName val="Débito Provisiones"/>
      <sheetName val="Registro Prov."/>
      <sheetName val="Comisiones y Bono"/>
      <sheetName val="Mov. Benf Soc"/>
      <sheetName val="Otros Acreedores"/>
      <sheetName val="Mov. Impto - Part"/>
      <sheetName val="Acreedores FINAL"/>
      <sheetName val="Impt. Rta y Part"/>
      <sheetName val="OCP"/>
      <sheetName val="Acreedores"/>
      <sheetName val="Prov. Reten. IR"/>
      <sheetName val="Ret.Contract"/>
      <sheetName val="Mov. Impto Rta y Part. Trab"/>
      <sheetName val="Prov. Varias"/>
      <sheetName val="Acreedores (2)"/>
      <sheetName val="Acreedores Varios"/>
      <sheetName val="Mov.Provisiones"/>
      <sheetName val="Detalle Benef. Socs."/>
      <sheetName val="IMPTOS 04"/>
      <sheetName val="Prov.Comisión Vta"/>
      <sheetName val="Prov.Locutorios"/>
      <sheetName val="Proc.Gtos.Market"/>
      <sheetName val="Prov.NuevosNego"/>
      <sheetName val="Prov.Gtos.Sistemas"/>
      <sheetName val="Prov.Gto.Técnico"/>
      <sheetName val="Prov.Gtos.Finanz"/>
      <sheetName val="ProvGtosRRHH"/>
      <sheetName val="Det.IntxPagar"/>
      <sheetName val="Mov.Int.xPagar"/>
      <sheetName val="Benef.Sociales"/>
      <sheetName val="Derech&amp;Concesion"/>
      <sheetName val="Tarifa C"/>
      <sheetName val="Detalle de Otras CxP"/>
      <sheetName val="Valores por Facturar"/>
      <sheetName val="15%PT-25%IR (2)"/>
      <sheetName val="Detalle de beneficios sociales"/>
      <sheetName val="Calc. Global Benef.(Prel) sept."/>
      <sheetName val="derivados"/>
      <sheetName val="Garantías (ppc)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Miscelaneos"/>
      <sheetName val="Detalle Otras CXP y Gtos Ac"/>
      <sheetName val="CxP Miscelaneos"/>
      <sheetName val="Cias. Relacionadas"/>
      <sheetName val="Comprob.Retención"/>
      <sheetName val="Prov.Gtos.Sistemas(DIC)"/>
      <sheetName val="Prov.Gtos.Sistemas(OCT)"/>
      <sheetName val="Prov. técn dic-04"/>
      <sheetName val="B.S.I. Access"/>
      <sheetName val="MMA Prov."/>
      <sheetName val="Análisis Provisiones"/>
      <sheetName val="PE0238 Dep. Com."/>
      <sheetName val="PE0239 Dep. Ind."/>
      <sheetName val="Imptos (Ago05)"/>
      <sheetName val="Provisiones varias"/>
      <sheetName val="Prov Fletes"/>
      <sheetName val="AUX.PROVEEDORES  (2)"/>
      <sheetName val="AUX.PROVEEDORES "/>
      <sheetName val="Detalle fletes"/>
      <sheetName val="Contratistas"/>
      <sheetName val="Notas EEFF"/>
      <sheetName val="Mov. Benef."/>
      <sheetName val="Límite Jubilacion Patronal"/>
      <sheetName val="Límite Desahucio"/>
      <sheetName val="Notas"/>
      <sheetName val="Cuentas por Liquidar"/>
      <sheetName val=" Clien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Provisiones Prel"/>
      <sheetName val="Cálculo Actuarial"/>
      <sheetName val="Cargas Sociales"/>
      <sheetName val="Análisis regalías"/>
      <sheetName val="Regalías"/>
      <sheetName val="Detalle Prov. Varias"/>
      <sheetName val="Mov. Prov. Varias"/>
      <sheetName val="Detalle de provisiones"/>
      <sheetName val="Mantenimiento mayor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Cálculo actuarial "/>
      <sheetName val="cálculo actuarial final"/>
      <sheetName val="Benef. Socia."/>
      <sheetName val="Caj Ah"/>
      <sheetName val="Nota EF"/>
      <sheetName val="Ana Prov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Movimiento Ing Dif"/>
      <sheetName val="Ing Diferidos"/>
      <sheetName val="Gtos. Acum."/>
      <sheetName val="Ctas. x Liq."/>
      <sheetName val="Proveedores Locales"/>
      <sheetName val="Mov. Provisiones"/>
      <sheetName val="Cálculo Provisión"/>
      <sheetName val="Cálculo Global Benef Soc. Final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Detalle "/>
      <sheetName val="Prov. Dsctos.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Detalle Prov. Mensuales"/>
      <sheetName val="Detalle Anticipos Clientes"/>
      <sheetName val="Conciliación Bancaria Pacifico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.Part.Trab-Renta"/>
      <sheetName val="Mov.Jub.Des"/>
      <sheetName val="Bonif.a Func"/>
      <sheetName val="Vacaciones"/>
      <sheetName val="MCS Subs"/>
      <sheetName val="ESPP"/>
      <sheetName val="Unearned Rev-services"/>
      <sheetName val="Otas CxP AGD"/>
      <sheetName val="Prov Jub Patronal"/>
      <sheetName val="Mov. Part. Trab."/>
      <sheetName val="Anticipos IR"/>
      <sheetName val="LAC"/>
      <sheetName val="Local"/>
      <sheetName val="SAP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Nota 13"/>
      <sheetName val="Mov. Prov. Jubilación Patronal"/>
      <sheetName val="No devengado 2010"/>
      <sheetName val="Calculo anticipo contrato compl"/>
      <sheetName val="No devengado"/>
      <sheetName val="Calculo anticipo"/>
      <sheetName val="Miscelan_x0004__x0000__x0011_"/>
      <sheetName val="Fletes x Pagar"/>
      <sheetName val="Impuest y Contr"/>
      <sheetName val="Diversos Gastos"/>
      <sheetName val="Plan Auto"/>
      <sheetName val="Obligaciones Produbanco"/>
      <sheetName val="Anticipos de consultorios"/>
      <sheetName val="informe"/>
      <sheetName val="Mov. Part. Trab.Final"/>
      <sheetName val="Movimiento Imp. Dif."/>
      <sheetName val="Mov. Part. Trab.Preli"/>
      <sheetName val="Clientes Nacional"/>
      <sheetName val="Clientes Exterior"/>
      <sheetName val="Clientes Intercompañias"/>
      <sheetName val="Pruebas Sustantivas"/>
      <sheetName val="Movimientos IR y PT"/>
      <sheetName val="Anticipos Clientes Final"/>
      <sheetName val="NOTAS E.E.F.F."/>
      <sheetName val="Resumen"/>
      <sheetName val="Nota a los EE.FF"/>
      <sheetName val="IR y Part Trabaj"/>
      <sheetName val="Jub Patronal"/>
      <sheetName val="Movimiento IR"/>
      <sheetName val="Detalle Prov Gastos (P)"/>
      <sheetName val="Detalle Prov Gastos (F)"/>
      <sheetName val="Mov. Imp. Ren y Part. trab"/>
      <sheetName val="Mov. Prov. Desp"/>
      <sheetName val="Doble Pago"/>
      <sheetName val="Detalle de Acrrued"/>
      <sheetName val="ISD"/>
      <sheetName val="Análisis de vacaciones"/>
      <sheetName val="(F) Provisiones "/>
      <sheetName val="IR y Particip Laboral"/>
      <sheetName val="Ant client"/>
      <sheetName val="Ant clientes"/>
      <sheetName val="Accruals Final"/>
      <sheetName val="Accruals Preliminar"/>
      <sheetName val="Movim. Imp.Renta y Part.Tr"/>
      <sheetName val="Mov. IR y PT"/>
      <sheetName val="Imp. y Participación"/>
      <sheetName val="Otras ctas por pagar"/>
      <sheetName val="Mov. Part. Trab. e Imp. Rta."/>
      <sheetName val="Detalle gastos causados mes"/>
      <sheetName val="Mant. equipo"/>
      <sheetName val="Expatriados"/>
      <sheetName val="Other Insurance"/>
      <sheetName val="Open PO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  <sheetName val="Jub. Patronal - Desahucio"/>
      <sheetName val="ISD 2012"/>
      <sheetName val="ISD 2013"/>
      <sheetName val="Nota 15"/>
      <sheetName val="Varias"/>
      <sheetName val="SUD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 refreshError="1"/>
      <sheetData sheetId="250" refreshError="1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/>
      <sheetData sheetId="272"/>
      <sheetData sheetId="273" refreshError="1"/>
      <sheetData sheetId="274"/>
      <sheetData sheetId="275" refreshError="1"/>
      <sheetData sheetId="276"/>
      <sheetData sheetId="277" refreshError="1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 refreshError="1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 refreshError="1"/>
      <sheetData sheetId="373"/>
      <sheetData sheetId="374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/>
      <sheetData sheetId="404"/>
      <sheetData sheetId="405" refreshError="1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 refreshError="1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/>
      <sheetData sheetId="691"/>
      <sheetData sheetId="692"/>
      <sheetData sheetId="693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 refreshError="1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 refreshError="1"/>
      <sheetData sheetId="795"/>
      <sheetData sheetId="796"/>
      <sheetData sheetId="79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"/>
      <sheetName val="Inversiones en acciones"/>
      <sheetName val="XREF"/>
      <sheetName val="Tickmarks"/>
      <sheetName val="Nota"/>
      <sheetName val="Movimiento"/>
      <sheetName val="Amortización"/>
      <sheetName val="Cálculo Global"/>
      <sheetName val="MMA"/>
      <sheetName val="APT"/>
      <sheetName val="Listado"/>
      <sheetName val="Otros cargos dif"/>
      <sheetName val="Otros Activos"/>
      <sheetName val="NQIA Gastos Principales"/>
      <sheetName val="Capital para Proyecto"/>
      <sheetName val="Anticipos CCC"/>
      <sheetName val="Costos Transición"/>
      <sheetName val="Commitment Fee"/>
      <sheetName val="APT Junio"/>
      <sheetName val="COnfirmación Jun"/>
      <sheetName val="Límite"/>
      <sheetName val="Mov_Costo"/>
      <sheetName val="Mov_Amort"/>
      <sheetName val="C.G Amortización"/>
      <sheetName val="Límites"/>
      <sheetName val="Límites Sugeridos"/>
      <sheetName val="Mov. Intangibles"/>
      <sheetName val="Análisis Adiciones Intangibles"/>
      <sheetName val="Mov. Amortización"/>
      <sheetName val="C G Amort"/>
      <sheetName val="Software"/>
      <sheetName val="Mov. Costo"/>
      <sheetName val="Mov. Amortizacion"/>
      <sheetName val="Calculo Amorti"/>
      <sheetName val="Amort."/>
      <sheetName val="Calc. Global. Amort"/>
      <sheetName val="Nota EEFF"/>
      <sheetName val="Mov. GW costo y amort."/>
      <sheetName val="Cáculo global amor"/>
      <sheetName val="Mov. Renta tools costo y depre."/>
      <sheetName val="Cáclulo global depreciación"/>
      <sheetName val="Detalle rental tools Final"/>
      <sheetName val="Detalle rental tools Prel"/>
      <sheetName val="Cálculo del umbral"/>
      <sheetName val="Proyecto Mazar"/>
      <sheetName val="Proyecto Sopladora"/>
      <sheetName val="CxC LP"/>
      <sheetName val="Inv. Acciones"/>
      <sheetName val="Adiciones Acciones"/>
      <sheetName val="VPP"/>
      <sheetName val="Activos Intangibles y Otros"/>
      <sheetName val="Cálculo Global Amort."/>
      <sheetName val="Otros Activos (F)"/>
      <sheetName val="Otros activos (Prel)"/>
      <sheetName val="Gastos Anticipados"/>
      <sheetName val="CMA Calculations adiciones"/>
      <sheetName val="CMA Selections adiciones"/>
      <sheetName val="APT adiciones"/>
      <sheetName val="Inversiones"/>
      <sheetName val="Cálculo amortización"/>
      <sheetName val="Análisis de Adiciones"/>
      <sheetName val="VPP Inversiones"/>
      <sheetName val="Goodwill Humana"/>
      <sheetName val="Goodwill Aesculapius"/>
      <sheetName val="Sheet2"/>
      <sheetName val="Adquisición Aesculapius"/>
      <sheetName val="Acciones"/>
      <sheetName val="Aportes"/>
      <sheetName val="Detalle de acciones adquiridas"/>
      <sheetName val="CMA_Aescapulapius"/>
      <sheetName val="Análisis Aesculapius"/>
      <sheetName val="Análisis de activos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ERR"/>
      <sheetName val="Patrimonial"/>
      <sheetName val="SEPARADOR"/>
      <sheetName val="Detalle"/>
      <sheetName val="Costo Nacional"/>
      <sheetName val="Existencias Impo a Real"/>
      <sheetName val="Mayores"/>
      <sheetName val="ASIENTOS"/>
      <sheetName val="Ajuste Novi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D513-AAB0-4857-B95D-0BA93A1397F3}">
  <dimension ref="A4:M78"/>
  <sheetViews>
    <sheetView showGridLines="0" topLeftCell="A60" zoomScale="80" zoomScaleNormal="80" workbookViewId="0"/>
  </sheetViews>
  <sheetFormatPr baseColWidth="10" defaultColWidth="10.90625" defaultRowHeight="12.5" x14ac:dyDescent="0.25"/>
  <cols>
    <col min="1" max="1" width="7" style="6" customWidth="1"/>
    <col min="2" max="2" width="20.90625" style="6" customWidth="1"/>
    <col min="3" max="4" width="15.81640625" style="6" customWidth="1"/>
    <col min="5" max="9" width="10.90625" style="6"/>
    <col min="10" max="11" width="16.453125" style="6" customWidth="1"/>
    <col min="12" max="12" width="13.08984375" style="6" customWidth="1"/>
    <col min="13" max="16384" width="10.90625" style="6"/>
  </cols>
  <sheetData>
    <row r="4" spans="2:13" x14ac:dyDescent="0.25">
      <c r="B4" s="4"/>
      <c r="C4" s="4"/>
      <c r="D4" s="4"/>
      <c r="E4" s="4"/>
      <c r="F4" s="4"/>
      <c r="G4" s="4"/>
      <c r="H4" s="4"/>
      <c r="I4" s="2"/>
      <c r="J4" s="11" t="s">
        <v>0</v>
      </c>
      <c r="K4" s="11" t="s">
        <v>1</v>
      </c>
      <c r="L4" s="12" t="s">
        <v>10</v>
      </c>
      <c r="M4" s="4"/>
    </row>
    <row r="5" spans="2:13" x14ac:dyDescent="0.25">
      <c r="B5" s="4"/>
      <c r="C5" s="4"/>
      <c r="D5" s="4"/>
      <c r="E5" s="4"/>
      <c r="F5" s="4"/>
      <c r="G5" s="4"/>
      <c r="H5" s="4"/>
      <c r="I5" s="2"/>
      <c r="J5" s="27" t="s">
        <v>22</v>
      </c>
      <c r="K5" s="28" t="s">
        <v>22</v>
      </c>
      <c r="L5" s="13" t="s">
        <v>48</v>
      </c>
      <c r="M5" s="4"/>
    </row>
    <row r="6" spans="2:13" x14ac:dyDescent="0.25">
      <c r="B6" s="26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2:13" x14ac:dyDescent="0.25">
      <c r="B7" s="26" t="s">
        <v>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25">
      <c r="B8" s="18" t="s">
        <v>21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 x14ac:dyDescent="0.25">
      <c r="B9" s="19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2:13" ht="6" customHeight="1" thickBot="1" x14ac:dyDescent="0.3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4"/>
    </row>
    <row r="11" spans="2:13" ht="13" thickTop="1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4"/>
    </row>
    <row r="12" spans="2:13" x14ac:dyDescent="0.25">
      <c r="B12" s="7" t="s">
        <v>2</v>
      </c>
      <c r="C12" s="4"/>
      <c r="D12" s="4"/>
    </row>
    <row r="13" spans="2:13" ht="7" customHeight="1" x14ac:dyDescent="0.25">
      <c r="B13" s="7"/>
      <c r="C13" s="4"/>
      <c r="D13" s="4"/>
    </row>
    <row r="14" spans="2:13" x14ac:dyDescent="0.25">
      <c r="B14" s="38" t="s">
        <v>59</v>
      </c>
      <c r="C14" s="4"/>
      <c r="D14" s="4"/>
    </row>
    <row r="15" spans="2:13" x14ac:dyDescent="0.25">
      <c r="B15" s="1"/>
      <c r="C15" s="4"/>
      <c r="D15" s="4"/>
    </row>
    <row r="16" spans="2:13" x14ac:dyDescent="0.25">
      <c r="B16" s="5" t="s">
        <v>9</v>
      </c>
      <c r="D16" s="4"/>
    </row>
    <row r="17" spans="1:4" ht="7" customHeight="1" x14ac:dyDescent="0.25">
      <c r="B17" s="5"/>
      <c r="D17" s="4"/>
    </row>
    <row r="18" spans="1:4" x14ac:dyDescent="0.25">
      <c r="B18" s="5"/>
      <c r="D18" s="4"/>
    </row>
    <row r="19" spans="1:4" x14ac:dyDescent="0.25">
      <c r="B19" s="31"/>
      <c r="C19" s="32" t="s">
        <v>27</v>
      </c>
      <c r="D19" s="32" t="s">
        <v>28</v>
      </c>
    </row>
    <row r="20" spans="1:4" x14ac:dyDescent="0.25">
      <c r="B20" s="33" t="s">
        <v>11</v>
      </c>
      <c r="C20" s="29" t="s">
        <v>12</v>
      </c>
      <c r="D20" s="29" t="s">
        <v>12</v>
      </c>
    </row>
    <row r="21" spans="1:4" x14ac:dyDescent="0.25">
      <c r="B21" s="33" t="s">
        <v>13</v>
      </c>
      <c r="C21" s="30" t="s">
        <v>12</v>
      </c>
      <c r="D21" s="30" t="s">
        <v>12</v>
      </c>
    </row>
    <row r="22" spans="1:4" x14ac:dyDescent="0.25">
      <c r="B22" s="33" t="s">
        <v>14</v>
      </c>
      <c r="C22" s="30" t="s">
        <v>12</v>
      </c>
      <c r="D22" s="30" t="s">
        <v>12</v>
      </c>
    </row>
    <row r="23" spans="1:4" x14ac:dyDescent="0.25">
      <c r="B23" s="1"/>
      <c r="C23" s="4"/>
      <c r="D23" s="4"/>
    </row>
    <row r="24" spans="1:4" x14ac:dyDescent="0.25">
      <c r="B24" s="7" t="s">
        <v>19</v>
      </c>
      <c r="C24" s="4"/>
      <c r="D24" s="4"/>
    </row>
    <row r="25" spans="1:4" ht="7" customHeight="1" x14ac:dyDescent="0.25">
      <c r="B25" s="7"/>
      <c r="C25" s="4"/>
      <c r="D25" s="4"/>
    </row>
    <row r="26" spans="1:4" x14ac:dyDescent="0.25">
      <c r="A26" s="21" t="s">
        <v>15</v>
      </c>
      <c r="B26" s="39" t="s">
        <v>44</v>
      </c>
    </row>
    <row r="27" spans="1:4" x14ac:dyDescent="0.25">
      <c r="A27" s="21" t="s">
        <v>16</v>
      </c>
      <c r="B27" s="6" t="s">
        <v>45</v>
      </c>
    </row>
    <row r="28" spans="1:4" x14ac:dyDescent="0.25">
      <c r="A28" s="21" t="s">
        <v>17</v>
      </c>
      <c r="B28" s="6" t="s">
        <v>41</v>
      </c>
    </row>
    <row r="29" spans="1:4" x14ac:dyDescent="0.25">
      <c r="A29" s="21" t="s">
        <v>18</v>
      </c>
      <c r="B29" s="36" t="s">
        <v>43</v>
      </c>
    </row>
    <row r="30" spans="1:4" x14ac:dyDescent="0.25">
      <c r="A30" s="21"/>
      <c r="B30" s="37"/>
    </row>
    <row r="31" spans="1:4" x14ac:dyDescent="0.25">
      <c r="B31" s="7" t="s">
        <v>8</v>
      </c>
    </row>
    <row r="32" spans="1:4" x14ac:dyDescent="0.25">
      <c r="B32" s="7"/>
    </row>
    <row r="41" spans="3:3" x14ac:dyDescent="0.25">
      <c r="C41" s="42" t="s">
        <v>57</v>
      </c>
    </row>
    <row r="52" spans="1:3" x14ac:dyDescent="0.25">
      <c r="B52" s="8" t="s">
        <v>20</v>
      </c>
    </row>
    <row r="53" spans="1:3" ht="7" customHeight="1" x14ac:dyDescent="0.25"/>
    <row r="57" spans="1:3" x14ac:dyDescent="0.25">
      <c r="A57" s="4"/>
      <c r="B57" s="4"/>
      <c r="C57" s="4"/>
    </row>
    <row r="58" spans="1:3" x14ac:dyDescent="0.25">
      <c r="A58" s="25"/>
      <c r="B58" s="5" t="s">
        <v>61</v>
      </c>
      <c r="C58" s="4"/>
    </row>
    <row r="59" spans="1:3" ht="7" customHeight="1" x14ac:dyDescent="0.25">
      <c r="A59" s="25"/>
      <c r="B59" s="5"/>
      <c r="C59" s="4"/>
    </row>
    <row r="60" spans="1:3" x14ac:dyDescent="0.25">
      <c r="A60" s="25" t="s">
        <v>29</v>
      </c>
      <c r="B60" s="5"/>
      <c r="C60" s="4"/>
    </row>
    <row r="61" spans="1:3" x14ac:dyDescent="0.25">
      <c r="A61" s="25" t="s">
        <v>30</v>
      </c>
      <c r="B61" s="5"/>
      <c r="C61" s="4"/>
    </row>
    <row r="62" spans="1:3" x14ac:dyDescent="0.25">
      <c r="A62" s="25" t="s">
        <v>31</v>
      </c>
      <c r="B62" s="5"/>
      <c r="C62" s="4"/>
    </row>
    <row r="63" spans="1:3" x14ac:dyDescent="0.25">
      <c r="A63" s="25"/>
      <c r="B63" s="5"/>
      <c r="C63" s="4"/>
    </row>
    <row r="64" spans="1:3" x14ac:dyDescent="0.25">
      <c r="A64" s="25"/>
      <c r="B64" s="5" t="s">
        <v>24</v>
      </c>
      <c r="C64" s="4"/>
    </row>
    <row r="65" spans="1:3" ht="7" customHeight="1" x14ac:dyDescent="0.25">
      <c r="A65" s="25"/>
      <c r="B65" s="5"/>
      <c r="C65" s="4"/>
    </row>
    <row r="66" spans="1:3" x14ac:dyDescent="0.25">
      <c r="A66" s="25" t="s">
        <v>32</v>
      </c>
      <c r="B66" s="5"/>
      <c r="C66" s="4"/>
    </row>
    <row r="67" spans="1:3" x14ac:dyDescent="0.25">
      <c r="A67" s="25" t="s">
        <v>33</v>
      </c>
      <c r="B67" s="5"/>
      <c r="C67" s="4"/>
    </row>
    <row r="68" spans="1:3" x14ac:dyDescent="0.25">
      <c r="A68" s="25" t="s">
        <v>34</v>
      </c>
      <c r="B68" s="5"/>
      <c r="C68" s="4"/>
    </row>
    <row r="69" spans="1:3" x14ac:dyDescent="0.25">
      <c r="A69" s="25"/>
      <c r="B69" s="20"/>
      <c r="C69" s="4"/>
    </row>
    <row r="70" spans="1:3" x14ac:dyDescent="0.25">
      <c r="A70" s="25"/>
      <c r="B70" s="5" t="s">
        <v>25</v>
      </c>
      <c r="C70" s="4"/>
    </row>
    <row r="71" spans="1:3" ht="7" customHeight="1" x14ac:dyDescent="0.25">
      <c r="A71" s="25"/>
      <c r="B71" s="5"/>
      <c r="C71" s="4"/>
    </row>
    <row r="72" spans="1:3" x14ac:dyDescent="0.25">
      <c r="A72" s="25" t="s">
        <v>35</v>
      </c>
      <c r="B72" s="5"/>
      <c r="C72" s="4"/>
    </row>
    <row r="73" spans="1:3" x14ac:dyDescent="0.25">
      <c r="A73" s="25" t="s">
        <v>36</v>
      </c>
      <c r="B73" s="5"/>
      <c r="C73" s="4"/>
    </row>
    <row r="74" spans="1:3" x14ac:dyDescent="0.25">
      <c r="A74" s="25" t="s">
        <v>37</v>
      </c>
      <c r="B74" s="5"/>
      <c r="C74" s="4"/>
    </row>
    <row r="75" spans="1:3" x14ac:dyDescent="0.25">
      <c r="A75" s="25"/>
      <c r="B75" s="20"/>
      <c r="C75" s="4"/>
    </row>
    <row r="76" spans="1:3" x14ac:dyDescent="0.25">
      <c r="B76" s="5" t="s">
        <v>6</v>
      </c>
      <c r="C76" s="4"/>
    </row>
    <row r="77" spans="1:3" ht="7" customHeight="1" x14ac:dyDescent="0.25">
      <c r="B77" s="5"/>
      <c r="C77" s="4"/>
    </row>
    <row r="78" spans="1:3" x14ac:dyDescent="0.25">
      <c r="A78" s="4"/>
      <c r="B78" s="34" t="s">
        <v>38</v>
      </c>
      <c r="C7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C364-0075-4CF6-A1B7-651524F77266}">
  <dimension ref="A2:I74"/>
  <sheetViews>
    <sheetView showGridLines="0" tabSelected="1" topLeftCell="A35" zoomScale="80" zoomScaleNormal="80" workbookViewId="0">
      <selection activeCell="F30" sqref="F30"/>
    </sheetView>
  </sheetViews>
  <sheetFormatPr baseColWidth="10" defaultColWidth="11.36328125" defaultRowHeight="12.5" x14ac:dyDescent="0.25"/>
  <cols>
    <col min="1" max="1" width="6" style="4" customWidth="1"/>
    <col min="2" max="2" width="19.90625" style="4" customWidth="1"/>
    <col min="3" max="3" width="38.1796875" style="4" customWidth="1"/>
    <col min="4" max="4" width="17.54296875" style="4" customWidth="1"/>
    <col min="5" max="5" width="15.1796875" style="4" customWidth="1"/>
    <col min="6" max="6" width="17.54296875" style="4" customWidth="1"/>
    <col min="7" max="7" width="20.08984375" style="4" customWidth="1"/>
    <col min="8" max="8" width="25.6328125" style="4" customWidth="1"/>
    <col min="9" max="9" width="17.26953125" style="4" customWidth="1"/>
    <col min="10" max="16384" width="11.36328125" style="4"/>
  </cols>
  <sheetData>
    <row r="2" spans="2:9" ht="12.75" customHeight="1" x14ac:dyDescent="0.25"/>
    <row r="3" spans="2:9" ht="12.75" customHeight="1" x14ac:dyDescent="0.25">
      <c r="E3" s="2"/>
      <c r="F3" s="2"/>
      <c r="G3" s="3"/>
    </row>
    <row r="4" spans="2:9" ht="12.75" customHeight="1" x14ac:dyDescent="0.25">
      <c r="E4" s="2"/>
      <c r="G4" s="11" t="s">
        <v>0</v>
      </c>
      <c r="H4" s="11" t="s">
        <v>1</v>
      </c>
      <c r="I4" s="12" t="s">
        <v>10</v>
      </c>
    </row>
    <row r="5" spans="2:9" ht="12.75" customHeight="1" x14ac:dyDescent="0.25">
      <c r="E5" s="2"/>
      <c r="G5" s="27" t="s">
        <v>22</v>
      </c>
      <c r="H5" s="28" t="s">
        <v>22</v>
      </c>
      <c r="I5" s="13" t="s">
        <v>46</v>
      </c>
    </row>
    <row r="6" spans="2:9" x14ac:dyDescent="0.25">
      <c r="B6" s="26" t="s">
        <v>7</v>
      </c>
    </row>
    <row r="7" spans="2:9" ht="13.5" customHeight="1" x14ac:dyDescent="0.25">
      <c r="B7" s="26" t="s">
        <v>26</v>
      </c>
    </row>
    <row r="8" spans="2:9" x14ac:dyDescent="0.25">
      <c r="B8" s="18" t="s">
        <v>21</v>
      </c>
    </row>
    <row r="9" spans="2:9" x14ac:dyDescent="0.25">
      <c r="B9" s="19" t="s">
        <v>39</v>
      </c>
    </row>
    <row r="10" spans="2:9" ht="7.5" customHeight="1" thickBot="1" x14ac:dyDescent="0.3">
      <c r="B10" s="9"/>
      <c r="C10" s="9"/>
      <c r="D10" s="9"/>
      <c r="E10" s="9"/>
      <c r="F10" s="9"/>
      <c r="G10" s="9"/>
      <c r="H10" s="9"/>
      <c r="I10" s="9"/>
    </row>
    <row r="11" spans="2:9" ht="13" thickTop="1" x14ac:dyDescent="0.25">
      <c r="B11" s="10"/>
      <c r="C11" s="10"/>
      <c r="D11" s="10"/>
      <c r="E11" s="10"/>
      <c r="F11" s="10"/>
      <c r="G11" s="10"/>
      <c r="H11" s="10"/>
      <c r="I11" s="10"/>
    </row>
    <row r="12" spans="2:9" x14ac:dyDescent="0.25">
      <c r="B12" s="7" t="s">
        <v>2</v>
      </c>
    </row>
    <row r="13" spans="2:9" ht="7" customHeight="1" x14ac:dyDescent="0.25">
      <c r="B13" s="7"/>
    </row>
    <row r="14" spans="2:9" x14ac:dyDescent="0.25">
      <c r="B14" s="38" t="s">
        <v>58</v>
      </c>
      <c r="E14" s="35"/>
    </row>
    <row r="15" spans="2:9" x14ac:dyDescent="0.25">
      <c r="B15" s="1"/>
    </row>
    <row r="16" spans="2:9" x14ac:dyDescent="0.25">
      <c r="B16" s="5" t="s">
        <v>9</v>
      </c>
      <c r="C16" s="6"/>
    </row>
    <row r="17" spans="1:4" ht="7" customHeight="1" x14ac:dyDescent="0.25">
      <c r="B17" s="5"/>
      <c r="C17" s="6"/>
    </row>
    <row r="18" spans="1:4" x14ac:dyDescent="0.25">
      <c r="B18" s="5"/>
      <c r="C18" s="17"/>
    </row>
    <row r="19" spans="1:4" x14ac:dyDescent="0.25">
      <c r="B19" s="31"/>
      <c r="C19" s="32" t="s">
        <v>27</v>
      </c>
      <c r="D19" s="32" t="s">
        <v>28</v>
      </c>
    </row>
    <row r="20" spans="1:4" x14ac:dyDescent="0.25">
      <c r="B20" s="33" t="s">
        <v>11</v>
      </c>
      <c r="C20" s="29" t="s">
        <v>12</v>
      </c>
      <c r="D20" s="29" t="s">
        <v>12</v>
      </c>
    </row>
    <row r="21" spans="1:4" x14ac:dyDescent="0.25">
      <c r="B21" s="33" t="s">
        <v>13</v>
      </c>
      <c r="C21" s="30" t="s">
        <v>12</v>
      </c>
      <c r="D21" s="30" t="s">
        <v>12</v>
      </c>
    </row>
    <row r="22" spans="1:4" x14ac:dyDescent="0.25">
      <c r="B22" s="33" t="s">
        <v>14</v>
      </c>
      <c r="C22" s="30" t="s">
        <v>12</v>
      </c>
      <c r="D22" s="30" t="s">
        <v>12</v>
      </c>
    </row>
    <row r="23" spans="1:4" x14ac:dyDescent="0.25">
      <c r="B23" s="1"/>
    </row>
    <row r="24" spans="1:4" x14ac:dyDescent="0.25">
      <c r="B24" s="7" t="s">
        <v>19</v>
      </c>
    </row>
    <row r="25" spans="1:4" ht="7" customHeight="1" x14ac:dyDescent="0.25">
      <c r="B25" s="7"/>
    </row>
    <row r="26" spans="1:4" x14ac:dyDescent="0.25">
      <c r="A26" s="21" t="s">
        <v>15</v>
      </c>
      <c r="B26" s="38" t="s">
        <v>62</v>
      </c>
    </row>
    <row r="27" spans="1:4" x14ac:dyDescent="0.25">
      <c r="A27" s="21" t="s">
        <v>16</v>
      </c>
      <c r="B27" s="38" t="s">
        <v>51</v>
      </c>
    </row>
    <row r="28" spans="1:4" x14ac:dyDescent="0.25">
      <c r="A28" s="21" t="s">
        <v>17</v>
      </c>
      <c r="B28" s="4" t="s">
        <v>55</v>
      </c>
    </row>
    <row r="29" spans="1:4" x14ac:dyDescent="0.25">
      <c r="A29" s="21" t="s">
        <v>18</v>
      </c>
      <c r="B29" s="37" t="s">
        <v>52</v>
      </c>
    </row>
    <row r="30" spans="1:4" x14ac:dyDescent="0.25">
      <c r="A30" s="21"/>
      <c r="B30" s="36"/>
    </row>
    <row r="31" spans="1:4" x14ac:dyDescent="0.25">
      <c r="B31" s="7" t="s">
        <v>8</v>
      </c>
    </row>
    <row r="32" spans="1:4" ht="7" customHeight="1" x14ac:dyDescent="0.25"/>
    <row r="33" spans="1:9" ht="7" customHeight="1" x14ac:dyDescent="0.25"/>
    <row r="35" spans="1:9" ht="21.5" customHeight="1" x14ac:dyDescent="0.25">
      <c r="B35" s="48" t="s">
        <v>3</v>
      </c>
      <c r="C35" s="48" t="s">
        <v>23</v>
      </c>
      <c r="D35" s="50" t="s">
        <v>50</v>
      </c>
      <c r="E35" s="48" t="s">
        <v>53</v>
      </c>
      <c r="F35" s="50" t="s">
        <v>47</v>
      </c>
      <c r="G35" s="48" t="s">
        <v>53</v>
      </c>
      <c r="H35" s="48" t="s">
        <v>4</v>
      </c>
      <c r="I35" s="48" t="s">
        <v>60</v>
      </c>
    </row>
    <row r="36" spans="1:9" ht="21.5" customHeight="1" x14ac:dyDescent="0.25">
      <c r="B36" s="48"/>
      <c r="C36" s="48"/>
      <c r="D36" s="51"/>
      <c r="E36" s="48"/>
      <c r="F36" s="51"/>
      <c r="G36" s="48"/>
      <c r="H36" s="48"/>
      <c r="I36" s="48"/>
    </row>
    <row r="37" spans="1:9" x14ac:dyDescent="0.25">
      <c r="A37" s="46" t="s">
        <v>63</v>
      </c>
      <c r="B37" s="49" t="s">
        <v>5</v>
      </c>
      <c r="C37" s="22"/>
      <c r="D37" s="23">
        <v>0</v>
      </c>
      <c r="E37" s="14" t="s">
        <v>49</v>
      </c>
      <c r="F37" s="23">
        <v>0</v>
      </c>
      <c r="G37" s="15"/>
      <c r="H37" s="16">
        <f>+D37-F37</f>
        <v>0</v>
      </c>
      <c r="I37" s="43"/>
    </row>
    <row r="38" spans="1:9" ht="14.4" customHeight="1" x14ac:dyDescent="0.25">
      <c r="A38" s="46" t="s">
        <v>64</v>
      </c>
      <c r="B38" s="49"/>
      <c r="C38" s="22"/>
      <c r="D38" s="23">
        <v>0</v>
      </c>
      <c r="E38" s="14"/>
      <c r="F38" s="23">
        <v>0</v>
      </c>
      <c r="G38" s="15"/>
      <c r="H38" s="16">
        <f t="shared" ref="H38:H41" si="0">+D38-F38</f>
        <v>0</v>
      </c>
      <c r="I38" s="43"/>
    </row>
    <row r="39" spans="1:9" ht="14.4" customHeight="1" x14ac:dyDescent="0.25">
      <c r="B39" s="49"/>
      <c r="C39" s="22"/>
      <c r="D39" s="23">
        <v>0</v>
      </c>
      <c r="E39" s="14"/>
      <c r="F39" s="23">
        <v>0</v>
      </c>
      <c r="G39" s="15"/>
      <c r="H39" s="16">
        <f t="shared" si="0"/>
        <v>0</v>
      </c>
      <c r="I39" s="43"/>
    </row>
    <row r="40" spans="1:9" ht="14.4" customHeight="1" x14ac:dyDescent="0.25">
      <c r="B40" s="49"/>
      <c r="C40" s="22"/>
      <c r="D40" s="23">
        <v>0</v>
      </c>
      <c r="E40" s="14"/>
      <c r="F40" s="23">
        <v>0</v>
      </c>
      <c r="G40" s="15"/>
      <c r="H40" s="16">
        <f t="shared" si="0"/>
        <v>0</v>
      </c>
      <c r="I40" s="43"/>
    </row>
    <row r="41" spans="1:9" ht="14.4" customHeight="1" x14ac:dyDescent="0.25">
      <c r="B41" s="49"/>
      <c r="C41" s="22"/>
      <c r="D41" s="23">
        <v>0</v>
      </c>
      <c r="E41" s="14"/>
      <c r="F41" s="23">
        <v>0</v>
      </c>
      <c r="G41" s="15"/>
      <c r="H41" s="16">
        <f t="shared" si="0"/>
        <v>0</v>
      </c>
      <c r="I41" s="43"/>
    </row>
    <row r="42" spans="1:9" x14ac:dyDescent="0.25">
      <c r="D42" s="24"/>
      <c r="E42" s="24"/>
      <c r="F42" s="24"/>
      <c r="G42" s="24"/>
    </row>
    <row r="43" spans="1:9" x14ac:dyDescent="0.25">
      <c r="D43" s="40">
        <f>+SUM(D37:D41)</f>
        <v>0</v>
      </c>
      <c r="E43" s="45" t="e">
        <f>+D43/D44</f>
        <v>#DIV/0!</v>
      </c>
      <c r="F43" s="24"/>
      <c r="G43" s="24"/>
    </row>
    <row r="44" spans="1:9" ht="13" thickBot="1" x14ac:dyDescent="0.3">
      <c r="D44" s="41">
        <v>0</v>
      </c>
      <c r="E44" s="44" t="s">
        <v>49</v>
      </c>
    </row>
    <row r="45" spans="1:9" ht="13" thickTop="1" x14ac:dyDescent="0.25"/>
    <row r="47" spans="1:9" x14ac:dyDescent="0.25">
      <c r="B47" s="8" t="s">
        <v>20</v>
      </c>
    </row>
    <row r="48" spans="1:9" ht="7" customHeight="1" x14ac:dyDescent="0.25"/>
    <row r="49" spans="1:2" x14ac:dyDescent="0.25">
      <c r="B49" s="47" t="s">
        <v>65</v>
      </c>
    </row>
    <row r="50" spans="1:2" x14ac:dyDescent="0.25">
      <c r="B50" s="4" t="s">
        <v>40</v>
      </c>
    </row>
    <row r="51" spans="1:2" x14ac:dyDescent="0.25">
      <c r="B51" s="4" t="s">
        <v>42</v>
      </c>
    </row>
    <row r="52" spans="1:2" x14ac:dyDescent="0.25">
      <c r="B52" s="6" t="s">
        <v>56</v>
      </c>
    </row>
    <row r="54" spans="1:2" x14ac:dyDescent="0.25">
      <c r="A54" s="25"/>
      <c r="B54" s="5" t="s">
        <v>61</v>
      </c>
    </row>
    <row r="55" spans="1:2" ht="7" customHeight="1" x14ac:dyDescent="0.25">
      <c r="A55" s="25"/>
      <c r="B55" s="5"/>
    </row>
    <row r="56" spans="1:2" x14ac:dyDescent="0.25">
      <c r="A56" s="25" t="s">
        <v>29</v>
      </c>
      <c r="B56" s="5"/>
    </row>
    <row r="57" spans="1:2" x14ac:dyDescent="0.25">
      <c r="A57" s="25" t="s">
        <v>30</v>
      </c>
      <c r="B57" s="5"/>
    </row>
    <row r="58" spans="1:2" x14ac:dyDescent="0.25">
      <c r="A58" s="25" t="s">
        <v>31</v>
      </c>
      <c r="B58" s="5"/>
    </row>
    <row r="59" spans="1:2" x14ac:dyDescent="0.25">
      <c r="A59" s="25"/>
      <c r="B59" s="5"/>
    </row>
    <row r="60" spans="1:2" x14ac:dyDescent="0.25">
      <c r="A60" s="25"/>
      <c r="B60" s="5" t="s">
        <v>24</v>
      </c>
    </row>
    <row r="61" spans="1:2" ht="7" customHeight="1" x14ac:dyDescent="0.25">
      <c r="A61" s="25"/>
      <c r="B61" s="5"/>
    </row>
    <row r="62" spans="1:2" x14ac:dyDescent="0.25">
      <c r="A62" s="25" t="s">
        <v>32</v>
      </c>
      <c r="B62" s="5"/>
    </row>
    <row r="63" spans="1:2" x14ac:dyDescent="0.25">
      <c r="A63" s="25" t="s">
        <v>33</v>
      </c>
      <c r="B63" s="5"/>
    </row>
    <row r="64" spans="1:2" x14ac:dyDescent="0.25">
      <c r="A64" s="25" t="s">
        <v>34</v>
      </c>
      <c r="B64" s="5"/>
    </row>
    <row r="65" spans="1:2" x14ac:dyDescent="0.25">
      <c r="A65" s="25"/>
      <c r="B65" s="20"/>
    </row>
    <row r="66" spans="1:2" x14ac:dyDescent="0.25">
      <c r="A66" s="25"/>
      <c r="B66" s="5" t="s">
        <v>25</v>
      </c>
    </row>
    <row r="67" spans="1:2" ht="7" customHeight="1" x14ac:dyDescent="0.25">
      <c r="A67" s="25"/>
      <c r="B67" s="5"/>
    </row>
    <row r="68" spans="1:2" x14ac:dyDescent="0.25">
      <c r="A68" s="25" t="s">
        <v>35</v>
      </c>
      <c r="B68" s="5"/>
    </row>
    <row r="69" spans="1:2" x14ac:dyDescent="0.25">
      <c r="A69" s="25" t="s">
        <v>36</v>
      </c>
      <c r="B69" s="5"/>
    </row>
    <row r="70" spans="1:2" x14ac:dyDescent="0.25">
      <c r="A70" s="25" t="s">
        <v>37</v>
      </c>
      <c r="B70" s="5"/>
    </row>
    <row r="71" spans="1:2" x14ac:dyDescent="0.25">
      <c r="A71" s="25"/>
      <c r="B71" s="20"/>
    </row>
    <row r="72" spans="1:2" x14ac:dyDescent="0.25">
      <c r="A72" s="6"/>
      <c r="B72" s="5" t="s">
        <v>6</v>
      </c>
    </row>
    <row r="73" spans="1:2" ht="7" customHeight="1" x14ac:dyDescent="0.25">
      <c r="A73" s="6"/>
      <c r="B73" s="5"/>
    </row>
    <row r="74" spans="1:2" x14ac:dyDescent="0.25">
      <c r="B74" s="34" t="s">
        <v>38</v>
      </c>
    </row>
  </sheetData>
  <mergeCells count="9">
    <mergeCell ref="I35:I36"/>
    <mergeCell ref="G35:G36"/>
    <mergeCell ref="H35:H36"/>
    <mergeCell ref="B37:B41"/>
    <mergeCell ref="B35:B36"/>
    <mergeCell ref="C35:C36"/>
    <mergeCell ref="E35:E36"/>
    <mergeCell ref="D35:D36"/>
    <mergeCell ref="F35:F36"/>
  </mergeCells>
  <dataValidations count="1">
    <dataValidation type="list" allowBlank="1" showInputMessage="1" showErrorMessage="1" sqref="I37:I41" xr:uid="{B75A35A0-0D1F-4BE7-B517-75AA3242DA3B}">
      <formula1>$A$37:$A$38</formula1>
    </dataValidation>
  </dataValidations>
  <pageMargins left="0.7" right="0.7" top="0.75" bottom="0.75" header="0.3" footer="0.3"/>
  <pageSetup paperSize="9" scale="6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130.07.01</vt:lpstr>
      <vt:lpstr>130.07.02</vt:lpstr>
      <vt:lpstr>'130.07.02'!Área_de_impresión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2023-01-22T02:16:14Z</dcterms:created>
  <dcterms:modified xsi:type="dcterms:W3CDTF">2026-04-17T00:00:47Z</dcterms:modified>
</cp:coreProperties>
</file>