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choe\Downloads\Papeles Modelo Kreston-20260416T233239Z-3-001\Papeles Modelo Kreston\02. Pruebas sustantivas 2024\02. Pruebas sustantivas\1. Activo\2. Cuentas por cobrar\"/>
    </mc:Choice>
  </mc:AlternateContent>
  <xr:revisionPtr revIDLastSave="0" documentId="13_ncr:1_{9DA5B6FC-559E-4CA4-A800-5BE905E910D9}" xr6:coauthVersionLast="47" xr6:coauthVersionMax="47" xr10:uidLastSave="{00000000-0000-0000-0000-000000000000}"/>
  <bookViews>
    <workbookView xWindow="-110" yWindow="-110" windowWidth="19420" windowHeight="10300" firstSheet="2" activeTab="2" xr2:uid="{D8CDB196-C320-4032-8438-4F0439C857D0}"/>
  </bookViews>
  <sheets>
    <sheet name="Programa" sheetId="6" state="hidden" r:id="rId1"/>
    <sheet name="130.01" sheetId="2" state="hidden" r:id="rId2"/>
    <sheet name="130.04 " sheetId="3" r:id="rId3"/>
  </sheets>
  <externalReferences>
    <externalReference r:id="rId4"/>
  </externalReferences>
  <definedNames>
    <definedName name="__DAT1" localSheetId="1">#REF!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val2">[1]anaislis!$D$2:$D$18</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xlnm._FilterDatabase" localSheetId="2" hidden="1">'130.04 '!$B$37:$Y$49</definedName>
    <definedName name="_val2">[1]anaislis!$D$2:$D$18</definedName>
    <definedName name="_xlnm.Print_Area" localSheetId="1">'130.01'!$B$52:$I$52</definedName>
    <definedName name="TEST0" localSheetId="1">#REF!</definedName>
    <definedName name="TEST0">#REF!</definedName>
    <definedName name="TESTHKEY">#REF!</definedName>
    <definedName name="TESTKEYS">#REF!</definedName>
    <definedName name="TESTVKEY">#REF!</definedName>
    <definedName name="_xlnm.Print_Titles" localSheetId="1">'130.01'!#REF!</definedName>
    <definedName name="VAL" localSheetId="1">#REF!</definedName>
    <definedName name="VAL">#REF!</definedName>
  </definedNames>
  <calcPr calcId="191029"/>
  <pivotCaches>
    <pivotCache cacheId="28" r:id="rId5"/>
    <pivotCache cacheId="29"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40" i="3" l="1"/>
  <c r="V40" i="3" s="1"/>
  <c r="W40" i="3"/>
  <c r="U41" i="3"/>
  <c r="V41" i="3" s="1"/>
  <c r="W41" i="3"/>
  <c r="U42" i="3"/>
  <c r="V42" i="3" s="1"/>
  <c r="W42" i="3"/>
  <c r="U43" i="3"/>
  <c r="V43" i="3" s="1"/>
  <c r="W43" i="3"/>
  <c r="U44" i="3"/>
  <c r="V44" i="3" s="1"/>
  <c r="W44" i="3"/>
  <c r="U45" i="3"/>
  <c r="V45" i="3" s="1"/>
  <c r="W45" i="3"/>
  <c r="U46" i="3"/>
  <c r="V46" i="3" s="1"/>
  <c r="W46" i="3"/>
  <c r="U47" i="3"/>
  <c r="V47" i="3" s="1"/>
  <c r="W47" i="3"/>
  <c r="U48" i="3"/>
  <c r="V48" i="3" s="1"/>
  <c r="W48" i="3"/>
  <c r="U49" i="3"/>
  <c r="V49" i="3" s="1"/>
  <c r="W49" i="3"/>
  <c r="R51" i="3" l="1"/>
  <c r="W39" i="3"/>
  <c r="W38" i="3"/>
  <c r="U39" i="3"/>
  <c r="V39" i="3" s="1"/>
  <c r="U38" i="3"/>
  <c r="V38" i="3" s="1"/>
  <c r="C66" i="3" l="1"/>
  <c r="F38" i="2"/>
  <c r="E38" i="2"/>
  <c r="E43" i="2"/>
  <c r="G36" i="2"/>
  <c r="H36" i="2"/>
  <c r="G29" i="2"/>
  <c r="H29" i="2"/>
  <c r="G30" i="2"/>
  <c r="H30" i="2"/>
  <c r="G35" i="2"/>
  <c r="H35" i="2"/>
  <c r="F31" i="2"/>
  <c r="E31" i="2"/>
  <c r="E42" i="2"/>
  <c r="E44" i="2"/>
  <c r="I36" i="2"/>
  <c r="F42" i="2"/>
  <c r="F43" i="2"/>
  <c r="G34" i="2"/>
  <c r="H34" i="2"/>
  <c r="G37" i="2"/>
  <c r="H37" i="2"/>
  <c r="F44" i="2"/>
  <c r="I30" i="2"/>
  <c r="I29" i="2"/>
  <c r="I35" i="2"/>
  <c r="I37" i="2"/>
  <c r="I31" i="2"/>
  <c r="I34" i="2"/>
  <c r="I38" i="2"/>
  <c r="C61" i="3" l="1"/>
  <c r="C63" i="3"/>
  <c r="C62" i="3"/>
  <c r="C65" i="3"/>
  <c r="C60" i="3"/>
  <c r="C64" i="3"/>
  <c r="C68" i="3" l="1"/>
</calcChain>
</file>

<file path=xl/sharedStrings.xml><?xml version="1.0" encoding="utf-8"?>
<sst xmlns="http://schemas.openxmlformats.org/spreadsheetml/2006/main" count="205" uniqueCount="166">
  <si>
    <t>Preparado por:</t>
  </si>
  <si>
    <t>Revisado por:</t>
  </si>
  <si>
    <t>PT</t>
  </si>
  <si>
    <t>COMPAÑÍA BULLSUPLY C.A.</t>
  </si>
  <si>
    <t>Período Terminado: Septiembre 30, 2022</t>
  </si>
  <si>
    <t>N° de Cuenta</t>
  </si>
  <si>
    <t>Fecha de vencimiento</t>
  </si>
  <si>
    <t>Clientes comerciales relacionados locales 1</t>
  </si>
  <si>
    <t>a la fecha de nuestra revisión de los Estados Financieros.</t>
  </si>
  <si>
    <t>Revisión Analítica de Cuentas por cobrar</t>
  </si>
  <si>
    <t>Cuenta</t>
  </si>
  <si>
    <t>REF PT</t>
  </si>
  <si>
    <t xml:space="preserve">Valor </t>
  </si>
  <si>
    <t>Horizontal</t>
  </si>
  <si>
    <t>Vertical</t>
  </si>
  <si>
    <t>Clientes comerciales  no relacionados locales 1</t>
  </si>
  <si>
    <t>Saldos al        31-dic-21</t>
  </si>
  <si>
    <t>Cuentas por Cobrar Ingresos Diferidos</t>
  </si>
  <si>
    <t>Cuentas Por Cobrar Clientes  Relacionadas</t>
  </si>
  <si>
    <t>Cuentas Por Cobrar Clientes  No Relacionadas</t>
  </si>
  <si>
    <t xml:space="preserve"> Sep 2022</t>
  </si>
  <si>
    <t>∑</t>
  </si>
  <si>
    <t>a</t>
  </si>
  <si>
    <t>aa</t>
  </si>
  <si>
    <t>h</t>
  </si>
  <si>
    <t>Saldos al     30 -Sep-22</t>
  </si>
  <si>
    <t>Fuente:</t>
  </si>
  <si>
    <t>Marcas:</t>
  </si>
  <si>
    <t>Sumado</t>
  </si>
  <si>
    <t>Cálculos efectuados por auditoria.</t>
  </si>
  <si>
    <t>Valores tomados de Estados Financieros al 30 de Septiembre del 2022.</t>
  </si>
  <si>
    <t>De acuerdo a nuestra revisión los saldos de las cuentas del grupo Cuentas por cobrar se presentan de forma razonable al 31 de diciembre de 2022.</t>
  </si>
  <si>
    <t>Objetivo:</t>
  </si>
  <si>
    <t>Procedimiento:</t>
  </si>
  <si>
    <t>Conclusión:</t>
  </si>
  <si>
    <t>P/T</t>
  </si>
  <si>
    <t>MCT</t>
  </si>
  <si>
    <t>Prueba</t>
  </si>
  <si>
    <t>Elaborado por:</t>
  </si>
  <si>
    <t>REF</t>
  </si>
  <si>
    <t>Procedimientos Analíticos</t>
  </si>
  <si>
    <t xml:space="preserve"> Desarrollar y documentar expectativas para los saldos de las cuentas por cobrar al cierre del ejercicio en base a la información obtenida a partir del entendimiento de la entidad e investigar cambios y tendencias significativas en:
Saldos de cuentas por cobrar:
- Cuentas por cobrar comerciales. 
- Otras cuentas por cobrar.
Saldos acreedores en cuentas por cobrar.
Otras variaciones no esperadas (explicar).
Otro (cuentas por cobrar no comerciales).
Documentar los hallazgos.</t>
  </si>
  <si>
    <t>Listado</t>
  </si>
  <si>
    <t>Obtener un listado detallado (y anticuado) de las cuentas por cobrar al cierre del ejercicio:
a. Comprobar la precisión aritmética y conciliar con el saldo del libro mayor general.
b. Verificar nombres e importes con el libro auxiliar.
c. Revisar la composición de los saldos de los libros auxiliares y buscar elementos inusuales (por ej. importes en dólares, pagos no aplicados, nombres de entidades inusuales y partes relacionadas desconocidas, y proveedores extranjeros, etc.).</t>
  </si>
  <si>
    <t>Confirmaciones de saldos</t>
  </si>
  <si>
    <t xml:space="preserve"> Determinar los saldos de cuentas por cobrar para confirmación o si sería suficiente la ejecución de procedimientos alternativos. Considerar:
- Origen y composición de las cuentas por cobrar.
- Saldos significativos.
- Partes relacionadas.
- Porcentaje de respuesta de confirmaciones anteriores
- Lapso comprendido entre el cierre del ejercicio y el trabajo de campo.
- Conciliar el saldo de las confirmaciones con el saldo incluido en el detalle de cartera.</t>
  </si>
  <si>
    <t>Alternativa confirmaciones no recibidas</t>
  </si>
  <si>
    <t>Si ha transcurrido un lapso de tiempo considerable desde el cierre del ejercicio, extender la prueba a las cobranzas posteriores.
- Obtener una lista de las cobranzas (incluyendo el nombre del cliente, la fecha de la factura, el número y el importe) desde la fecha de cierre del ejercicio hasta la fecha actual.
- Obtener una lista actualizada de cuentas por cobrar que contenga aquellas facturas que hayan sido abonadas desde el cierre del ejercicio.
- Confirmar la exactitud de la lista actualizada de cuentas por cobrar mediante la comparación de las cobranzas posteriores con la lista original de cuentas al cierre del ejercicio que aparecen como cobradas con posterioridad al cierre.</t>
  </si>
  <si>
    <t>Provisión para cuentas de dudoso cobro</t>
  </si>
  <si>
    <t>Asegurarse de que la provisión para cuentas de dudoso cobro se encuentre relacionada con cuentas específicas y que la misma sea adecuada
a. Revisar el saldo de comprobación para las cuentas por cobrar y compararlo con el ejercicio anterior.
b. Revisar:
- Metodología empleada para la preparación de la provisión para cuentas de dudoso cobro.
- Cualquier análisis o presunción usada en la preparación de la estimación.
- Cualquier cambio en las presunciones o en la metodología empleada para el cálculo de estimaciones/previsiones.</t>
  </si>
  <si>
    <t>JQ</t>
  </si>
  <si>
    <t>Año terminado:  Al 30 de septiembre de 2022</t>
  </si>
  <si>
    <t>NA</t>
  </si>
  <si>
    <t>Final</t>
  </si>
  <si>
    <t>Sumarias</t>
  </si>
  <si>
    <t xml:space="preserve">Obtener una sumaria de cuentas por cobrar que contenga información para cada clasificación importante.
a. Asegurarse de que los saldos coincidan con los registros contables y con los papeles de trabajo de auditoría del ejercicio anterior.
b. Verificar la precisión aritmética de la sumaria </t>
  </si>
  <si>
    <t>Cuentas por Cobrar</t>
  </si>
  <si>
    <t xml:space="preserve">1.- Determinar las variaciones de los saldos de las cuentas por cobrar entre el periodo anterior versus el periodo de análisis con la finalidad de establecer las causas del sus aumentos y disminuciones </t>
  </si>
  <si>
    <t>Sumaria:</t>
  </si>
  <si>
    <t>(-) Costo Amortizado</t>
  </si>
  <si>
    <t>(-) Provisión cuentas incobrables y deterioro</t>
  </si>
  <si>
    <t>Dic 2021</t>
  </si>
  <si>
    <t>P/T 130.02</t>
  </si>
  <si>
    <t>Valores tomados de Estados Financieros al 31 de Diciembre del 2021.</t>
  </si>
  <si>
    <t>Estados Financieros proporcionadas por la empresa</t>
  </si>
  <si>
    <t>Conclusiones</t>
  </si>
  <si>
    <t>Antigüedad de saldos</t>
  </si>
  <si>
    <t>Monto</t>
  </si>
  <si>
    <t>Ref.</t>
  </si>
  <si>
    <t>Cuentas Por Cobrar Clientes Corrientes Relacionadas</t>
  </si>
  <si>
    <t>Cuentas Por Cobrar Clientes Corrientes No Relacionadas</t>
  </si>
  <si>
    <t>130.02
130.03</t>
  </si>
  <si>
    <t>Programa de Trabajo - Cuentas por cobrar comerciales</t>
  </si>
  <si>
    <t>Variación</t>
  </si>
  <si>
    <t>2.- Se realizaron variaciones de las cuentas por cobrar entre los saldos al 31 de diciembre del 2021 y el saldo al 30 de septiembre 2022.</t>
  </si>
  <si>
    <t>1.- Se compararon los saldos de cuentas por cobrar entre los períodos 2021 al 30  de septiembre 2022; y, se determinaron las pruebas a realizarse para evaluar su razonabilidad.</t>
  </si>
  <si>
    <t>Documentación memorando</t>
  </si>
  <si>
    <r>
      <rPr>
        <b/>
        <u/>
        <sz val="10"/>
        <color theme="1"/>
        <rFont val="Tahoma"/>
        <family val="2"/>
      </rPr>
      <t xml:space="preserve">
</t>
    </r>
    <r>
      <rPr>
        <sz val="10"/>
        <color theme="1"/>
        <rFont val="Tahoma"/>
        <family val="2"/>
      </rPr>
      <t xml:space="preserve">Realizar un memorando resumiendo los procedimientos y resultados obtenidos en la ejecución de las pruebas, así como detallar las políticas y estimados contables utilizados por la administración y las observaciones encontradas. </t>
    </r>
  </si>
  <si>
    <t>130.01</t>
  </si>
  <si>
    <t>130.04</t>
  </si>
  <si>
    <t>Desarrollo:</t>
  </si>
  <si>
    <t>Base de decisión: Materialidad</t>
  </si>
  <si>
    <t>Marcas de auditoría:</t>
  </si>
  <si>
    <t>General</t>
  </si>
  <si>
    <t>Desempeño</t>
  </si>
  <si>
    <t>Errores Triviales</t>
  </si>
  <si>
    <t>Procedimientos:</t>
  </si>
  <si>
    <t>Cálculos realizados por auditoría</t>
  </si>
  <si>
    <t>Sumatoria</t>
  </si>
  <si>
    <t>1.-</t>
  </si>
  <si>
    <t>2.-</t>
  </si>
  <si>
    <t>3.-</t>
  </si>
  <si>
    <t>4.-</t>
  </si>
  <si>
    <t>Notas aclaratorias:</t>
  </si>
  <si>
    <t>Preliminar</t>
  </si>
  <si>
    <t>a)</t>
  </si>
  <si>
    <t>ANÁLISIS DE ANTIGÜEDAD DE CUENTAS POR COBRAR</t>
  </si>
  <si>
    <t>Verificar si existen cuentas por cobrar con morosidad, en caso de existir, consultar con la Administración si se espera recuperar los saldos.</t>
  </si>
  <si>
    <t xml:space="preserve">Clasificar el saldo de cuentas por cobrar por antigüedad. </t>
  </si>
  <si>
    <t>5.-</t>
  </si>
  <si>
    <t>Realizar tablas dinámicas de la antigüedad de cartera por tipo de cuenta, por año y por cliente.</t>
  </si>
  <si>
    <t>Por tipo de cuenta:</t>
  </si>
  <si>
    <t>Por año:</t>
  </si>
  <si>
    <t>Antigüedad</t>
  </si>
  <si>
    <t>Vigente</t>
  </si>
  <si>
    <t>Años</t>
  </si>
  <si>
    <t xml:space="preserve">Entre 31 y 60 días </t>
  </si>
  <si>
    <t>Total general</t>
  </si>
  <si>
    <t xml:space="preserve">  </t>
  </si>
  <si>
    <t>Resumen antigüedad</t>
  </si>
  <si>
    <t>Por cliente:</t>
  </si>
  <si>
    <t>Información proporcionada por el cliente</t>
  </si>
  <si>
    <t>Documentar el papel de trabajo y concluir en base al objetivo.</t>
  </si>
  <si>
    <t>Agrupación</t>
  </si>
  <si>
    <t xml:space="preserve">Agrupación </t>
  </si>
  <si>
    <t>Cliente</t>
  </si>
  <si>
    <t>Clase de documento</t>
  </si>
  <si>
    <t>Numero de referencia</t>
  </si>
  <si>
    <t>Texto</t>
  </si>
  <si>
    <t>Indicador CME</t>
  </si>
  <si>
    <t>Fecha de emisión</t>
  </si>
  <si>
    <t>Valor inicial</t>
  </si>
  <si>
    <t>p/t 130.03</t>
  </si>
  <si>
    <t>Suma de Por Cobrar</t>
  </si>
  <si>
    <t>Entre 61 y 120 días</t>
  </si>
  <si>
    <t>Entre 121 y 240 días</t>
  </si>
  <si>
    <t>Resumen de antigüedad:</t>
  </si>
  <si>
    <t xml:space="preserve">Código contable </t>
  </si>
  <si>
    <t xml:space="preserve">Nombre de la cuenta </t>
  </si>
  <si>
    <t xml:space="preserve">Entre 1 y 30 días </t>
  </si>
  <si>
    <t>Entre 241 y 360 días</t>
  </si>
  <si>
    <t xml:space="preserve">Más de 360 días </t>
  </si>
  <si>
    <t>x</t>
  </si>
  <si>
    <t>Sec</t>
  </si>
  <si>
    <t>Grupo crédito</t>
  </si>
  <si>
    <t>Provincia / país</t>
  </si>
  <si>
    <t>Tipo cliente</t>
  </si>
  <si>
    <t>Cod cliente</t>
  </si>
  <si>
    <t>Identificación cliente</t>
  </si>
  <si>
    <t>Documento financiero</t>
  </si>
  <si>
    <t>Por cobrar</t>
  </si>
  <si>
    <t>(Varios elementos)</t>
  </si>
  <si>
    <t xml:space="preserve">b) </t>
  </si>
  <si>
    <t>6.-</t>
  </si>
  <si>
    <t>Validar que la Compañía realice la depuración de saldos conforme a su política interna.</t>
  </si>
  <si>
    <t>XX</t>
  </si>
  <si>
    <t>COMPAÑÍA MODELO S.A.</t>
  </si>
  <si>
    <t>AL 31 DE DICIEMBRE DE 20XX</t>
  </si>
  <si>
    <t>FECHA DE CORTE: XX/XX/20XX</t>
  </si>
  <si>
    <t>Determinar y analizar la antigüedad del saldo de cuentas por cobrar al XX/XX/20XX.</t>
  </si>
  <si>
    <t>Revisar que los saldos se encuentren depurados acorde a la política interna de la Compañía al XX/XX/20XX.</t>
  </si>
  <si>
    <t>XXXX</t>
  </si>
  <si>
    <t>Solicitar a la Compañía el detalle de cuentas por cobrar al XX/XX/20XX.</t>
  </si>
  <si>
    <t>xx/xx/20xx</t>
  </si>
  <si>
    <t>Verificaciones:</t>
  </si>
  <si>
    <t>A</t>
  </si>
  <si>
    <t>B</t>
  </si>
  <si>
    <t>C</t>
  </si>
  <si>
    <t>c)</t>
  </si>
  <si>
    <t>Observaciones:</t>
  </si>
  <si>
    <t>Obs. 1</t>
  </si>
  <si>
    <t>Obs. 2</t>
  </si>
  <si>
    <t>Obs. 3</t>
  </si>
  <si>
    <t>***(Concluir en base al objetivo)</t>
  </si>
  <si>
    <t xml:space="preserve">***Referenciar al papel de la conciliación </t>
  </si>
  <si>
    <t>****El número de columnas con los detalles depende del anexo del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</si>
</sst>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 #,##0.00_-;_-* &quot;-&quot;??_-;_-@_-"/>
    <numFmt numFmtId="165" formatCode="_(* #,##0_);_(* \(#,##0\);_(* &quot;-&quot;??_);_(@_)"/>
    <numFmt numFmtId="166" formatCode="_ * #,##0_ ;_ * \-#,##0_ ;_ * &quot;-&quot;??_ ;_ @_ "/>
    <numFmt numFmtId="167" formatCode="_(* #,##0_);_(* \(#,##0\);_(* &quot;-&quot;_);_(@_)"/>
    <numFmt numFmtId="168" formatCode="[$-1540A]m/d/yyyy;@"/>
  </numFmts>
  <fonts count="37" x14ac:knownFonts="1">
    <font>
      <sz val="11"/>
      <color theme="1"/>
      <name val="Calibri"/>
      <family val="2"/>
      <scheme val="minor"/>
    </font>
    <font>
      <sz val="10"/>
      <color theme="1"/>
      <name val="Tahoma"/>
      <family val="2"/>
    </font>
    <font>
      <sz val="11"/>
      <color theme="1"/>
      <name val="Calibri"/>
      <family val="2"/>
      <scheme val="minor"/>
    </font>
    <font>
      <sz val="11"/>
      <color theme="1"/>
      <name val="Calibri"/>
      <family val="2"/>
    </font>
    <font>
      <sz val="10"/>
      <color theme="1"/>
      <name val="Arial"/>
      <family val="2"/>
    </font>
    <font>
      <sz val="10"/>
      <name val="Arial"/>
      <family val="2"/>
    </font>
    <font>
      <sz val="10"/>
      <name val="Tahoma"/>
      <family val="2"/>
    </font>
    <font>
      <b/>
      <sz val="10"/>
      <color theme="1"/>
      <name val="Tahoma"/>
      <family val="2"/>
    </font>
    <font>
      <b/>
      <sz val="10"/>
      <color rgb="FFFF0000"/>
      <name val="Tahoma"/>
      <family val="2"/>
    </font>
    <font>
      <b/>
      <sz val="10"/>
      <name val="Tahoma"/>
      <family val="2"/>
    </font>
    <font>
      <b/>
      <sz val="10"/>
      <color theme="8" tint="-0.499984740745262"/>
      <name val="Tahoma"/>
      <family val="2"/>
    </font>
    <font>
      <sz val="10"/>
      <color rgb="FF000000"/>
      <name val="Tahoma"/>
      <family val="2"/>
    </font>
    <font>
      <sz val="10"/>
      <color indexed="8"/>
      <name val="Tahoma"/>
      <family val="2"/>
    </font>
    <font>
      <b/>
      <i/>
      <u/>
      <sz val="10"/>
      <color rgb="FF000000"/>
      <name val="Tahoma"/>
      <family val="2"/>
    </font>
    <font>
      <sz val="11"/>
      <color indexed="8"/>
      <name val="Calibri"/>
      <family val="2"/>
    </font>
    <font>
      <b/>
      <sz val="10"/>
      <color theme="8" tint="-0.249977111117893"/>
      <name val="Tahoma"/>
      <family val="2"/>
    </font>
    <font>
      <sz val="10"/>
      <color theme="1"/>
      <name val="Tahoma"/>
      <family val="2"/>
    </font>
    <font>
      <b/>
      <u/>
      <sz val="10"/>
      <color theme="1"/>
      <name val="Tahoma"/>
      <family val="2"/>
    </font>
    <font>
      <b/>
      <i/>
      <sz val="10"/>
      <color rgb="FFFF0000"/>
      <name val="Tahoma"/>
      <family val="2"/>
    </font>
    <font>
      <b/>
      <sz val="10"/>
      <color rgb="FFFF0000"/>
      <name val="Webdings"/>
      <family val="1"/>
      <charset val="2"/>
    </font>
    <font>
      <b/>
      <sz val="10"/>
      <color rgb="FFFF0000"/>
      <name val="Marlett"/>
      <charset val="2"/>
    </font>
    <font>
      <sz val="1"/>
      <color indexed="18"/>
      <name val="Courier"/>
      <family val="3"/>
    </font>
    <font>
      <b/>
      <i/>
      <sz val="10"/>
      <color rgb="FFFF0000"/>
      <name val="Marlett"/>
      <charset val="2"/>
    </font>
    <font>
      <sz val="10"/>
      <color theme="0"/>
      <name val="Tahoma"/>
      <family val="2"/>
    </font>
    <font>
      <b/>
      <sz val="10"/>
      <color theme="3"/>
      <name val="Tahoma"/>
      <family val="2"/>
    </font>
    <font>
      <b/>
      <sz val="10"/>
      <color theme="4" tint="-0.499984740745262"/>
      <name val="Tahoma"/>
      <family val="2"/>
    </font>
    <font>
      <b/>
      <sz val="10"/>
      <color rgb="FF002060"/>
      <name val="Tahoma"/>
      <family val="2"/>
    </font>
    <font>
      <b/>
      <sz val="10"/>
      <color rgb="FF355E91"/>
      <name val="Tahoma"/>
      <family val="2"/>
    </font>
    <font>
      <sz val="10"/>
      <color rgb="FFFF0000"/>
      <name val="Tahoma"/>
      <family val="2"/>
    </font>
    <font>
      <b/>
      <u/>
      <sz val="10"/>
      <color rgb="FF0000CC"/>
      <name val="Tahoma"/>
      <family val="2"/>
    </font>
    <font>
      <sz val="10"/>
      <color theme="8" tint="-0.499984740745262"/>
      <name val="Tahoma"/>
      <family val="2"/>
    </font>
    <font>
      <b/>
      <sz val="10"/>
      <color theme="1"/>
      <name val="Calibri"/>
      <family val="2"/>
      <scheme val="minor"/>
    </font>
    <font>
      <b/>
      <u/>
      <sz val="10"/>
      <color rgb="FF0000FF"/>
      <name val="Tahoma"/>
      <family val="2"/>
    </font>
    <font>
      <u/>
      <sz val="10"/>
      <name val="Tahoma"/>
      <family val="2"/>
    </font>
    <font>
      <b/>
      <sz val="10"/>
      <color rgb="FF0000CC"/>
      <name val="Tahoma"/>
      <family val="2"/>
    </font>
    <font>
      <sz val="10"/>
      <color rgb="FF002060"/>
      <name val="Tahoma"/>
      <family val="2"/>
    </font>
    <font>
      <sz val="10"/>
      <color theme="1"/>
      <name val="Times New Roman"/>
      <family val="2"/>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4" tint="0.79998168889431442"/>
        <bgColor theme="4" tint="-0.249977111117893"/>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style="thick">
        <color theme="8" tint="-0.499984740745262"/>
      </top>
      <bottom/>
      <diagonal/>
    </border>
    <border>
      <left/>
      <right/>
      <top/>
      <bottom style="thick">
        <color theme="8" tint="-0.499984740745262"/>
      </bottom>
      <diagonal/>
    </border>
    <border>
      <left style="hair">
        <color indexed="64"/>
      </left>
      <right style="hair">
        <color indexed="64"/>
      </right>
      <top style="medium">
        <color indexed="64"/>
      </top>
      <bottom style="hair">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top/>
      <bottom style="thin">
        <color theme="1"/>
      </bottom>
      <diagonal/>
    </border>
    <border>
      <left/>
      <right/>
      <top style="thin">
        <color indexed="64"/>
      </top>
      <bottom style="thick">
        <color theme="8" tint="-0.499984740745262"/>
      </bottom>
      <diagonal/>
    </border>
    <border>
      <left style="thin">
        <color indexed="64"/>
      </left>
      <right style="thin">
        <color indexed="64"/>
      </right>
      <top style="thin">
        <color indexed="64"/>
      </top>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top/>
      <bottom style="medium">
        <color theme="4" tint="-0.499984740745262"/>
      </bottom>
      <diagonal/>
    </border>
    <border>
      <left/>
      <right/>
      <top style="medium">
        <color indexed="64"/>
      </top>
      <bottom style="medium">
        <color indexed="64"/>
      </bottom>
      <diagonal/>
    </border>
    <border>
      <left/>
      <right/>
      <top/>
      <bottom style="thick">
        <color theme="4" tint="-0.499984740745262"/>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7">
    <xf numFmtId="0" fontId="0" fillId="0" borderId="0"/>
    <xf numFmtId="43" fontId="2" fillId="0" borderId="0" applyFont="0" applyFill="0" applyBorder="0" applyAlignment="0" applyProtection="0"/>
    <xf numFmtId="0" fontId="3" fillId="0" borderId="0"/>
    <xf numFmtId="0" fontId="2" fillId="0" borderId="0"/>
    <xf numFmtId="0" fontId="4" fillId="0" borderId="0"/>
    <xf numFmtId="0" fontId="2" fillId="0" borderId="0"/>
    <xf numFmtId="0" fontId="5" fillId="0" borderId="0"/>
    <xf numFmtId="0" fontId="2" fillId="0" borderId="0"/>
    <xf numFmtId="0" fontId="2" fillId="0" borderId="0"/>
    <xf numFmtId="43" fontId="2" fillId="0" borderId="0" applyFont="0" applyFill="0" applyBorder="0" applyAlignment="0" applyProtection="0"/>
    <xf numFmtId="9" fontId="3" fillId="0" borderId="0" applyFont="0" applyFill="0" applyBorder="0" applyAlignment="0" applyProtection="0"/>
    <xf numFmtId="0" fontId="2" fillId="0" borderId="0"/>
    <xf numFmtId="0" fontId="5" fillId="0" borderId="0"/>
    <xf numFmtId="9" fontId="2" fillId="0" borderId="0" applyFont="0" applyFill="0" applyBorder="0" applyAlignment="0" applyProtection="0"/>
    <xf numFmtId="9" fontId="5" fillId="0" borderId="0" applyFont="0" applyFill="0" applyBorder="0" applyAlignment="0" applyProtection="0"/>
    <xf numFmtId="164" fontId="3" fillId="0" borderId="0" applyFont="0" applyFill="0" applyBorder="0" applyAlignment="0" applyProtection="0"/>
    <xf numFmtId="0" fontId="5" fillId="0" borderId="0"/>
    <xf numFmtId="9" fontId="2" fillId="0" borderId="0" applyFont="0" applyFill="0" applyBorder="0" applyAlignment="0" applyProtection="0"/>
    <xf numFmtId="0" fontId="14" fillId="0" borderId="0"/>
    <xf numFmtId="0" fontId="21" fillId="0" borderId="0">
      <protection locked="0"/>
    </xf>
    <xf numFmtId="0" fontId="5" fillId="0" borderId="0"/>
    <xf numFmtId="0" fontId="14" fillId="0" borderId="0"/>
    <xf numFmtId="0" fontId="2" fillId="0" borderId="0"/>
    <xf numFmtId="0" fontId="36" fillId="0" borderId="0"/>
    <xf numFmtId="43" fontId="36" fillId="0" borderId="0" applyFont="0" applyFill="0" applyBorder="0" applyAlignment="0" applyProtection="0"/>
    <xf numFmtId="0" fontId="36" fillId="0" borderId="0"/>
    <xf numFmtId="43" fontId="36" fillId="0" borderId="0" applyFont="0" applyFill="0" applyBorder="0" applyAlignment="0" applyProtection="0"/>
  </cellStyleXfs>
  <cellXfs count="195">
    <xf numFmtId="0" fontId="0" fillId="0" borderId="0" xfId="0"/>
    <xf numFmtId="0" fontId="10" fillId="2" borderId="0" xfId="2" applyFont="1" applyFill="1" applyAlignment="1" applyProtection="1">
      <alignment horizontal="left" vertical="center"/>
      <protection hidden="1"/>
    </xf>
    <xf numFmtId="0" fontId="8" fillId="0" borderId="1" xfId="2" applyFont="1" applyBorder="1" applyAlignment="1" applyProtection="1">
      <alignment horizontal="center" vertical="center"/>
      <protection hidden="1"/>
    </xf>
    <xf numFmtId="0" fontId="9" fillId="3" borderId="1" xfId="2" applyFont="1" applyFill="1" applyBorder="1" applyAlignment="1">
      <alignment horizontal="center" vertical="center"/>
    </xf>
    <xf numFmtId="0" fontId="10" fillId="2" borderId="6" xfId="2" applyFont="1" applyFill="1" applyBorder="1" applyAlignment="1" applyProtection="1">
      <alignment horizontal="left" vertical="center"/>
      <protection hidden="1"/>
    </xf>
    <xf numFmtId="0" fontId="7" fillId="2" borderId="0" xfId="2" applyFont="1" applyFill="1" applyAlignment="1" applyProtection="1">
      <alignment horizontal="left" vertical="center"/>
      <protection hidden="1"/>
    </xf>
    <xf numFmtId="0" fontId="7" fillId="0" borderId="7" xfId="2" applyFont="1" applyBorder="1" applyAlignment="1" applyProtection="1">
      <alignment horizontal="left" vertical="center"/>
      <protection hidden="1"/>
    </xf>
    <xf numFmtId="0" fontId="11" fillId="0" borderId="0" xfId="16" applyFont="1"/>
    <xf numFmtId="0" fontId="12" fillId="3" borderId="0" xfId="0" applyFont="1" applyFill="1"/>
    <xf numFmtId="0" fontId="7" fillId="0" borderId="0" xfId="2" applyFont="1" applyAlignment="1" applyProtection="1">
      <alignment horizontal="left" vertical="center"/>
      <protection hidden="1"/>
    </xf>
    <xf numFmtId="0" fontId="13" fillId="0" borderId="0" xfId="16" applyFont="1"/>
    <xf numFmtId="0" fontId="16" fillId="0" borderId="0" xfId="0" applyFont="1"/>
    <xf numFmtId="1" fontId="7" fillId="0" borderId="12" xfId="1" applyNumberFormat="1" applyFont="1" applyBorder="1" applyAlignment="1">
      <alignment horizontal="center"/>
    </xf>
    <xf numFmtId="43" fontId="7" fillId="0" borderId="17" xfId="0" applyNumberFormat="1" applyFont="1" applyBorder="1"/>
    <xf numFmtId="0" fontId="18" fillId="0" borderId="0" xfId="16" applyFont="1" applyAlignment="1">
      <alignment horizontal="center"/>
    </xf>
    <xf numFmtId="0" fontId="18" fillId="0" borderId="0" xfId="16" applyFont="1" applyAlignment="1">
      <alignment horizontal="right"/>
    </xf>
    <xf numFmtId="0" fontId="16" fillId="0" borderId="15" xfId="0" applyFont="1" applyBorder="1"/>
    <xf numFmtId="0" fontId="17" fillId="0" borderId="0" xfId="0" applyFont="1"/>
    <xf numFmtId="43" fontId="6" fillId="0" borderId="0" xfId="1" applyFont="1" applyBorder="1"/>
    <xf numFmtId="0" fontId="8" fillId="0" borderId="0" xfId="12" applyFont="1" applyAlignment="1">
      <alignment horizontal="center"/>
    </xf>
    <xf numFmtId="0" fontId="6" fillId="0" borderId="0" xfId="12" applyFont="1"/>
    <xf numFmtId="0" fontId="16" fillId="0" borderId="9" xfId="0" applyFont="1" applyBorder="1"/>
    <xf numFmtId="43" fontId="6" fillId="0" borderId="0" xfId="1" applyFont="1" applyBorder="1" applyAlignment="1">
      <alignment horizontal="center"/>
    </xf>
    <xf numFmtId="43" fontId="6" fillId="0" borderId="15" xfId="1" applyFont="1" applyBorder="1" applyAlignment="1">
      <alignment horizontal="center"/>
    </xf>
    <xf numFmtId="43" fontId="9" fillId="0" borderId="0" xfId="1" applyFont="1" applyBorder="1" applyAlignment="1">
      <alignment horizontal="center"/>
    </xf>
    <xf numFmtId="43" fontId="7" fillId="0" borderId="0" xfId="1" applyFont="1" applyBorder="1" applyAlignment="1">
      <alignment horizontal="center"/>
    </xf>
    <xf numFmtId="0" fontId="19" fillId="0" borderId="0" xfId="16" applyFont="1" applyAlignment="1">
      <alignment horizontal="center"/>
    </xf>
    <xf numFmtId="43" fontId="16" fillId="0" borderId="0" xfId="1" applyFont="1" applyBorder="1" applyAlignment="1">
      <alignment horizontal="center"/>
    </xf>
    <xf numFmtId="0" fontId="11" fillId="0" borderId="0" xfId="16" applyFont="1" applyAlignment="1">
      <alignment horizontal="left"/>
    </xf>
    <xf numFmtId="0" fontId="22" fillId="0" borderId="0" xfId="16" applyFont="1" applyAlignment="1">
      <alignment horizontal="center"/>
    </xf>
    <xf numFmtId="0" fontId="8" fillId="0" borderId="0" xfId="16" applyFont="1" applyAlignment="1">
      <alignment horizontal="center"/>
    </xf>
    <xf numFmtId="14" fontId="7" fillId="0" borderId="0" xfId="0" applyNumberFormat="1" applyFont="1" applyAlignment="1">
      <alignment horizontal="right"/>
    </xf>
    <xf numFmtId="166" fontId="7" fillId="0" borderId="17" xfId="1" applyNumberFormat="1" applyFont="1" applyBorder="1"/>
    <xf numFmtId="0" fontId="8" fillId="0" borderId="0" xfId="0" applyFont="1" applyAlignment="1">
      <alignment horizontal="center" vertical="center"/>
    </xf>
    <xf numFmtId="0" fontId="6" fillId="0" borderId="12" xfId="12" applyFont="1" applyBorder="1"/>
    <xf numFmtId="43" fontId="8" fillId="0" borderId="13" xfId="1" applyFont="1" applyBorder="1" applyAlignment="1">
      <alignment horizontal="center"/>
    </xf>
    <xf numFmtId="43" fontId="9" fillId="0" borderId="10" xfId="1" applyFont="1" applyBorder="1"/>
    <xf numFmtId="0" fontId="6" fillId="0" borderId="15" xfId="12" applyFont="1" applyBorder="1"/>
    <xf numFmtId="43" fontId="9" fillId="0" borderId="15" xfId="1" applyFont="1" applyBorder="1"/>
    <xf numFmtId="43" fontId="9" fillId="0" borderId="16" xfId="1" applyFont="1" applyBorder="1"/>
    <xf numFmtId="0" fontId="8" fillId="0" borderId="10" xfId="0" applyFont="1" applyBorder="1" applyAlignment="1">
      <alignment horizontal="center" vertical="center"/>
    </xf>
    <xf numFmtId="0" fontId="6" fillId="3" borderId="20" xfId="20" applyFont="1" applyFill="1" applyBorder="1" applyAlignment="1">
      <alignment horizontal="center" vertical="center"/>
    </xf>
    <xf numFmtId="0" fontId="6" fillId="3" borderId="21" xfId="20" applyFont="1" applyFill="1" applyBorder="1" applyAlignment="1">
      <alignment horizontal="center" vertical="center"/>
    </xf>
    <xf numFmtId="0" fontId="11" fillId="0" borderId="0" xfId="16" applyFont="1" applyAlignment="1">
      <alignment horizontal="left" wrapText="1"/>
    </xf>
    <xf numFmtId="0" fontId="12" fillId="0" borderId="0" xfId="0" applyFont="1"/>
    <xf numFmtId="0" fontId="11" fillId="0" borderId="0" xfId="16" applyFont="1" applyAlignment="1">
      <alignment wrapText="1"/>
    </xf>
    <xf numFmtId="0" fontId="24" fillId="2" borderId="0" xfId="6" applyFont="1" applyFill="1" applyAlignment="1">
      <alignment vertical="center"/>
    </xf>
    <xf numFmtId="0" fontId="24" fillId="0" borderId="0" xfId="6" applyFont="1" applyAlignment="1">
      <alignment horizontal="right" vertical="center" wrapText="1"/>
    </xf>
    <xf numFmtId="0" fontId="6" fillId="0" borderId="0" xfId="2" applyFont="1" applyAlignment="1">
      <alignment horizontal="center"/>
    </xf>
    <xf numFmtId="0" fontId="6" fillId="3" borderId="0" xfId="0" applyFont="1" applyFill="1" applyAlignment="1">
      <alignment vertical="center"/>
    </xf>
    <xf numFmtId="0" fontId="25" fillId="0" borderId="0" xfId="0" applyFont="1" applyAlignment="1" applyProtection="1">
      <alignment horizontal="left" vertical="center"/>
      <protection hidden="1"/>
    </xf>
    <xf numFmtId="0" fontId="9" fillId="3" borderId="22" xfId="16" applyFont="1" applyFill="1" applyBorder="1" applyAlignment="1">
      <alignment horizontal="center" vertical="center" wrapText="1"/>
    </xf>
    <xf numFmtId="0" fontId="9" fillId="3" borderId="0" xfId="0" applyFont="1" applyFill="1" applyAlignment="1">
      <alignment vertical="center" wrapText="1"/>
    </xf>
    <xf numFmtId="0" fontId="6" fillId="3" borderId="0" xfId="16" applyFont="1" applyFill="1" applyAlignment="1">
      <alignment horizontal="center" vertical="center" wrapText="1"/>
    </xf>
    <xf numFmtId="0" fontId="8" fillId="3" borderId="0" xfId="16" applyFont="1" applyFill="1" applyAlignment="1">
      <alignment horizontal="center" vertical="center" wrapText="1"/>
    </xf>
    <xf numFmtId="49" fontId="6" fillId="3" borderId="0" xfId="0" applyNumberFormat="1" applyFont="1" applyFill="1" applyAlignment="1">
      <alignment vertical="center"/>
    </xf>
    <xf numFmtId="0" fontId="8" fillId="3" borderId="0" xfId="0" applyFont="1" applyFill="1" applyAlignment="1">
      <alignment vertical="center" wrapText="1"/>
    </xf>
    <xf numFmtId="0" fontId="26" fillId="4" borderId="25" xfId="0" applyFont="1" applyFill="1" applyBorder="1" applyAlignment="1">
      <alignment horizontal="center" vertical="center" wrapText="1"/>
    </xf>
    <xf numFmtId="0" fontId="27" fillId="4" borderId="25" xfId="0" applyFont="1" applyFill="1" applyBorder="1" applyAlignment="1">
      <alignment horizontal="center" vertical="center" wrapText="1"/>
    </xf>
    <xf numFmtId="0" fontId="6" fillId="3" borderId="0" xfId="0" applyFont="1" applyFill="1" applyAlignment="1">
      <alignment horizontal="justify" vertical="center"/>
    </xf>
    <xf numFmtId="0" fontId="28" fillId="3" borderId="0" xfId="0" applyFont="1" applyFill="1" applyAlignment="1">
      <alignment vertical="center"/>
    </xf>
    <xf numFmtId="0" fontId="9" fillId="3" borderId="0" xfId="0" applyFont="1" applyFill="1" applyAlignment="1">
      <alignment horizontal="justify" vertical="center"/>
    </xf>
    <xf numFmtId="0" fontId="9" fillId="3" borderId="0" xfId="0" applyFont="1" applyFill="1" applyAlignment="1">
      <alignment horizontal="center" vertical="center"/>
    </xf>
    <xf numFmtId="0" fontId="9" fillId="3" borderId="0" xfId="0" applyFont="1" applyFill="1" applyAlignment="1">
      <alignment horizontal="center" vertical="top"/>
    </xf>
    <xf numFmtId="0" fontId="6" fillId="3" borderId="0" xfId="0" applyFont="1" applyFill="1" applyAlignment="1">
      <alignment horizontal="justify" vertical="center" wrapText="1"/>
    </xf>
    <xf numFmtId="0" fontId="6" fillId="3" borderId="0" xfId="0" applyFont="1" applyFill="1" applyAlignment="1">
      <alignment horizontal="center" vertical="center" wrapText="1"/>
    </xf>
    <xf numFmtId="0" fontId="8" fillId="3" borderId="0" xfId="0" applyFont="1" applyFill="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horizontal="left" vertical="center" wrapText="1"/>
    </xf>
    <xf numFmtId="0" fontId="6" fillId="0" borderId="1" xfId="2" applyFont="1" applyBorder="1" applyAlignment="1" applyProtection="1">
      <alignment horizontal="center" vertical="center"/>
      <protection hidden="1"/>
    </xf>
    <xf numFmtId="49" fontId="7" fillId="0" borderId="12" xfId="1" applyNumberFormat="1" applyFont="1" applyBorder="1" applyAlignment="1">
      <alignment horizontal="center"/>
    </xf>
    <xf numFmtId="0" fontId="6" fillId="0" borderId="0" xfId="12" applyFont="1" applyAlignment="1">
      <alignment horizontal="center" vertical="center"/>
    </xf>
    <xf numFmtId="0" fontId="29" fillId="3" borderId="0" xfId="18" applyFont="1" applyFill="1"/>
    <xf numFmtId="0" fontId="8" fillId="0" borderId="0" xfId="0" applyFont="1"/>
    <xf numFmtId="0" fontId="8" fillId="3" borderId="0" xfId="0" applyFont="1" applyFill="1" applyAlignment="1">
      <alignment horizontal="center" vertical="center" wrapText="1"/>
    </xf>
    <xf numFmtId="0" fontId="15" fillId="4" borderId="4" xfId="18" applyFont="1" applyFill="1" applyBorder="1" applyAlignment="1">
      <alignment horizontal="center" vertical="center"/>
    </xf>
    <xf numFmtId="167" fontId="12" fillId="2" borderId="0" xfId="18" applyNumberFormat="1" applyFont="1" applyFill="1" applyAlignment="1">
      <alignment horizontal="left"/>
    </xf>
    <xf numFmtId="0" fontId="24" fillId="0" borderId="0" xfId="6" applyFont="1" applyAlignment="1">
      <alignment vertical="center"/>
    </xf>
    <xf numFmtId="0" fontId="6" fillId="0" borderId="9" xfId="12" applyFont="1" applyBorder="1"/>
    <xf numFmtId="43" fontId="6" fillId="0" borderId="10" xfId="1" applyFont="1" applyBorder="1" applyAlignment="1">
      <alignment horizontal="center"/>
    </xf>
    <xf numFmtId="9" fontId="6" fillId="0" borderId="0" xfId="17" applyFont="1" applyBorder="1" applyAlignment="1">
      <alignment horizontal="center"/>
    </xf>
    <xf numFmtId="9" fontId="6" fillId="0" borderId="10" xfId="17" applyFont="1" applyBorder="1" applyAlignment="1">
      <alignment horizontal="center"/>
    </xf>
    <xf numFmtId="0" fontId="6" fillId="0" borderId="14" xfId="12" applyFont="1" applyBorder="1"/>
    <xf numFmtId="0" fontId="31" fillId="0" borderId="15" xfId="0" applyFont="1" applyBorder="1"/>
    <xf numFmtId="0" fontId="6" fillId="0" borderId="16" xfId="12" applyFont="1" applyBorder="1"/>
    <xf numFmtId="0" fontId="31" fillId="0" borderId="0" xfId="0" applyFont="1"/>
    <xf numFmtId="0" fontId="31" fillId="0" borderId="26" xfId="0" applyFont="1" applyBorder="1"/>
    <xf numFmtId="0" fontId="6" fillId="0" borderId="11" xfId="12" applyFont="1" applyBorder="1"/>
    <xf numFmtId="43" fontId="9" fillId="0" borderId="0" xfId="1" applyFont="1" applyBorder="1"/>
    <xf numFmtId="0" fontId="6" fillId="0" borderId="0" xfId="0" applyFont="1"/>
    <xf numFmtId="0" fontId="6" fillId="0" borderId="0" xfId="12" applyFont="1" applyAlignment="1">
      <alignment wrapText="1"/>
    </xf>
    <xf numFmtId="0" fontId="9" fillId="3" borderId="0" xfId="0" applyFont="1" applyFill="1" applyAlignment="1">
      <alignment horizontal="justify" vertical="center" wrapText="1"/>
    </xf>
    <xf numFmtId="0" fontId="6" fillId="3" borderId="0" xfId="0" quotePrefix="1" applyFont="1" applyFill="1" applyAlignment="1">
      <alignment horizontal="justify" vertical="center"/>
    </xf>
    <xf numFmtId="0" fontId="26" fillId="2" borderId="0" xfId="2" applyFont="1" applyFill="1" applyAlignment="1" applyProtection="1">
      <alignment horizontal="left" vertical="center"/>
      <protection hidden="1"/>
    </xf>
    <xf numFmtId="0" fontId="8" fillId="0" borderId="0" xfId="12" applyFont="1" applyAlignment="1">
      <alignment horizontal="left"/>
    </xf>
    <xf numFmtId="0" fontId="1" fillId="0" borderId="0" xfId="0" applyFont="1"/>
    <xf numFmtId="0" fontId="32" fillId="0" borderId="0" xfId="0" applyFont="1"/>
    <xf numFmtId="0" fontId="7" fillId="0" borderId="0" xfId="2" applyFont="1" applyBorder="1" applyAlignment="1" applyProtection="1">
      <alignment horizontal="left" vertical="center"/>
      <protection hidden="1"/>
    </xf>
    <xf numFmtId="0" fontId="1" fillId="0" borderId="27" xfId="0" applyFont="1" applyBorder="1"/>
    <xf numFmtId="0" fontId="9" fillId="2" borderId="0" xfId="20" applyFont="1" applyFill="1" applyAlignment="1">
      <alignment horizontal="left" vertical="center" indent="1"/>
    </xf>
    <xf numFmtId="0" fontId="26" fillId="4" borderId="2" xfId="0" applyFont="1" applyFill="1" applyBorder="1" applyAlignment="1" applyProtection="1">
      <alignment horizontal="center" vertical="center"/>
      <protection hidden="1"/>
    </xf>
    <xf numFmtId="0" fontId="26" fillId="4" borderId="1" xfId="0" applyFont="1" applyFill="1" applyBorder="1" applyAlignment="1" applyProtection="1">
      <alignment horizontal="center" vertical="center"/>
      <protection hidden="1"/>
    </xf>
    <xf numFmtId="0" fontId="8" fillId="2" borderId="1" xfId="0" applyFont="1" applyFill="1" applyBorder="1" applyAlignment="1">
      <alignment horizontal="center" vertical="center" wrapText="1"/>
    </xf>
    <xf numFmtId="168" fontId="26" fillId="0" borderId="0" xfId="0" applyNumberFormat="1" applyFont="1" applyFill="1" applyBorder="1" applyAlignment="1">
      <alignment horizontal="center" vertical="center" wrapText="1"/>
    </xf>
    <xf numFmtId="0" fontId="23" fillId="0" borderId="0" xfId="0" applyFont="1" applyBorder="1" applyAlignment="1">
      <alignment horizontal="center" vertical="center" wrapText="1"/>
    </xf>
    <xf numFmtId="167" fontId="30" fillId="0" borderId="1" xfId="0" applyNumberFormat="1" applyFont="1" applyBorder="1" applyAlignment="1">
      <alignment horizontal="center"/>
    </xf>
    <xf numFmtId="166" fontId="7" fillId="0" borderId="0" xfId="1" applyNumberFormat="1" applyFont="1" applyBorder="1"/>
    <xf numFmtId="0" fontId="8" fillId="0" borderId="0" xfId="0" applyFont="1" applyAlignment="1">
      <alignment horizontal="right"/>
    </xf>
    <xf numFmtId="0" fontId="26" fillId="2" borderId="0" xfId="0" applyFont="1" applyFill="1" applyAlignment="1">
      <alignment horizontal="left" vertical="top"/>
    </xf>
    <xf numFmtId="0" fontId="26" fillId="0" borderId="0" xfId="2" applyFont="1" applyAlignment="1" applyProtection="1">
      <alignment horizontal="left" vertical="center"/>
      <protection hidden="1"/>
    </xf>
    <xf numFmtId="0" fontId="26" fillId="4" borderId="1" xfId="0" applyFont="1" applyFill="1" applyBorder="1" applyAlignment="1">
      <alignment horizontal="center" vertical="center" wrapText="1"/>
    </xf>
    <xf numFmtId="43" fontId="8" fillId="3" borderId="0" xfId="1" applyFont="1" applyFill="1" applyBorder="1" applyAlignment="1">
      <alignment horizontal="center"/>
    </xf>
    <xf numFmtId="0" fontId="26" fillId="4" borderId="1" xfId="0" applyFont="1" applyFill="1" applyBorder="1" applyAlignment="1">
      <alignment horizontal="center" vertical="center" wrapText="1" readingOrder="1"/>
    </xf>
    <xf numFmtId="14" fontId="26" fillId="4" borderId="1" xfId="0" applyNumberFormat="1" applyFont="1" applyFill="1" applyBorder="1" applyAlignment="1">
      <alignment horizontal="center" vertical="center" wrapText="1" readingOrder="1"/>
    </xf>
    <xf numFmtId="14" fontId="26" fillId="4" borderId="1" xfId="1" applyNumberFormat="1" applyFont="1" applyFill="1" applyBorder="1" applyAlignment="1">
      <alignment horizontal="center" vertical="center" wrapText="1" readingOrder="1"/>
    </xf>
    <xf numFmtId="168" fontId="26" fillId="4" borderId="1" xfId="0" applyNumberFormat="1" applyFont="1" applyFill="1" applyBorder="1" applyAlignment="1">
      <alignment horizontal="center" vertical="center" wrapText="1"/>
    </xf>
    <xf numFmtId="0" fontId="7" fillId="2" borderId="0" xfId="16" applyFont="1" applyFill="1" applyBorder="1" applyAlignment="1" applyProtection="1">
      <alignment horizontal="center" vertical="center"/>
      <protection hidden="1"/>
    </xf>
    <xf numFmtId="0" fontId="7" fillId="3" borderId="0" xfId="20" applyFont="1" applyFill="1" applyBorder="1" applyAlignment="1">
      <alignment horizontal="center" vertical="center" wrapText="1"/>
    </xf>
    <xf numFmtId="0" fontId="8" fillId="2" borderId="0" xfId="0" applyFont="1" applyFill="1" applyBorder="1" applyAlignment="1">
      <alignment horizontal="center" vertical="center" wrapText="1"/>
    </xf>
    <xf numFmtId="0" fontId="6" fillId="0" borderId="1" xfId="16" applyFont="1" applyBorder="1" applyAlignment="1">
      <alignment horizontal="center"/>
    </xf>
    <xf numFmtId="0" fontId="33" fillId="2" borderId="0" xfId="21" applyFont="1" applyFill="1" applyAlignment="1">
      <alignment horizontal="left"/>
    </xf>
    <xf numFmtId="0" fontId="6" fillId="4" borderId="1" xfId="0" applyFont="1" applyFill="1" applyBorder="1" applyAlignment="1">
      <alignment horizontal="center"/>
    </xf>
    <xf numFmtId="0" fontId="6" fillId="4" borderId="2" xfId="0" applyFont="1" applyFill="1" applyBorder="1"/>
    <xf numFmtId="0" fontId="28" fillId="0" borderId="0" xfId="0" applyFont="1"/>
    <xf numFmtId="0" fontId="1" fillId="2" borderId="1" xfId="16" applyFont="1" applyFill="1" applyBorder="1" applyAlignment="1" applyProtection="1">
      <alignment horizontal="center" vertical="center"/>
      <protection hidden="1"/>
    </xf>
    <xf numFmtId="0" fontId="1" fillId="3" borderId="1" xfId="20" applyFont="1" applyFill="1" applyBorder="1" applyAlignment="1">
      <alignment horizontal="center" vertical="center" wrapText="1"/>
    </xf>
    <xf numFmtId="0" fontId="28" fillId="0" borderId="0" xfId="0" applyFont="1" applyBorder="1"/>
    <xf numFmtId="0" fontId="1" fillId="0" borderId="1" xfId="0" applyFont="1" applyBorder="1"/>
    <xf numFmtId="166" fontId="1" fillId="0" borderId="1" xfId="1" applyNumberFormat="1" applyFont="1" applyBorder="1"/>
    <xf numFmtId="0" fontId="1" fillId="0" borderId="0" xfId="0" applyFont="1" applyAlignment="1">
      <alignment horizontal="right"/>
    </xf>
    <xf numFmtId="1" fontId="1" fillId="0" borderId="0" xfId="0" applyNumberFormat="1" applyFont="1"/>
    <xf numFmtId="1" fontId="17" fillId="0" borderId="0" xfId="0" applyNumberFormat="1" applyFont="1"/>
    <xf numFmtId="0" fontId="7" fillId="0" borderId="0" xfId="0" applyFont="1" applyBorder="1" applyAlignment="1">
      <alignment horizontal="right"/>
    </xf>
    <xf numFmtId="168" fontId="1" fillId="0" borderId="1" xfId="0" applyNumberFormat="1" applyFont="1" applyBorder="1" applyAlignment="1">
      <alignment horizontal="left"/>
    </xf>
    <xf numFmtId="165" fontId="1" fillId="0" borderId="1" xfId="1" applyNumberFormat="1" applyFont="1" applyFill="1" applyBorder="1" applyAlignment="1">
      <alignment horizontal="center"/>
    </xf>
    <xf numFmtId="167" fontId="30" fillId="0" borderId="0" xfId="0" applyNumberFormat="1" applyFont="1" applyBorder="1" applyAlignment="1">
      <alignment horizontal="center"/>
    </xf>
    <xf numFmtId="165" fontId="7" fillId="0" borderId="17" xfId="0" applyNumberFormat="1" applyFont="1" applyBorder="1" applyAlignment="1">
      <alignment horizontal="center"/>
    </xf>
    <xf numFmtId="0" fontId="1" fillId="0" borderId="0" xfId="0" applyFont="1" applyBorder="1"/>
    <xf numFmtId="0" fontId="1" fillId="0" borderId="0" xfId="0" applyFont="1" applyAlignment="1">
      <alignment horizontal="center" vertical="center" wrapText="1"/>
    </xf>
    <xf numFmtId="0" fontId="1" fillId="0" borderId="1" xfId="0" applyFont="1" applyBorder="1" applyAlignment="1">
      <alignment vertical="top"/>
    </xf>
    <xf numFmtId="49" fontId="1" fillId="0" borderId="1" xfId="0" applyNumberFormat="1" applyFont="1" applyBorder="1"/>
    <xf numFmtId="14" fontId="1" fillId="0" borderId="1" xfId="0" applyNumberFormat="1" applyFont="1" applyBorder="1"/>
    <xf numFmtId="2" fontId="1" fillId="0" borderId="1" xfId="0" applyNumberFormat="1" applyFont="1" applyBorder="1"/>
    <xf numFmtId="0" fontId="1" fillId="0" borderId="0" xfId="0" applyFont="1" applyAlignment="1">
      <alignment vertical="top"/>
    </xf>
    <xf numFmtId="49" fontId="1" fillId="0" borderId="0" xfId="0" applyNumberFormat="1" applyFont="1"/>
    <xf numFmtId="14" fontId="1" fillId="0" borderId="0" xfId="0" applyNumberFormat="1" applyFont="1"/>
    <xf numFmtId="2" fontId="1" fillId="0" borderId="0" xfId="0" applyNumberFormat="1" applyFont="1"/>
    <xf numFmtId="0" fontId="1" fillId="2" borderId="0" xfId="0" applyFont="1" applyFill="1"/>
    <xf numFmtId="0" fontId="26" fillId="6" borderId="1" xfId="0" applyFont="1" applyFill="1" applyBorder="1" applyAlignment="1">
      <alignment horizontal="center"/>
    </xf>
    <xf numFmtId="0" fontId="34" fillId="0" borderId="0" xfId="0" quotePrefix="1" applyFont="1" applyAlignment="1">
      <alignment horizontal="left"/>
    </xf>
    <xf numFmtId="167" fontId="6" fillId="0" borderId="1" xfId="0" applyNumberFormat="1" applyFont="1" applyBorder="1" applyAlignment="1">
      <alignment horizontal="center"/>
    </xf>
    <xf numFmtId="0" fontId="1" fillId="0" borderId="0" xfId="0" applyFont="1" applyAlignment="1">
      <alignment vertical="center" wrapText="1"/>
    </xf>
    <xf numFmtId="168" fontId="1" fillId="0" borderId="1" xfId="0" applyNumberFormat="1" applyFont="1" applyBorder="1" applyAlignment="1">
      <alignment horizontal="left" vertical="center" wrapText="1"/>
    </xf>
    <xf numFmtId="167" fontId="30" fillId="0" borderId="1" xfId="0" applyNumberFormat="1" applyFont="1" applyBorder="1" applyAlignment="1">
      <alignment horizontal="center" vertical="center" wrapText="1"/>
    </xf>
    <xf numFmtId="166" fontId="8" fillId="0" borderId="0" xfId="1" applyNumberFormat="1" applyFont="1" applyBorder="1" applyAlignment="1">
      <alignment horizontal="center"/>
    </xf>
    <xf numFmtId="0" fontId="35" fillId="4" borderId="1" xfId="0" applyFont="1" applyFill="1" applyBorder="1" applyAlignment="1">
      <alignment horizontal="center" vertical="center" wrapText="1"/>
    </xf>
    <xf numFmtId="0" fontId="1" fillId="2" borderId="1" xfId="0" applyFont="1" applyFill="1" applyBorder="1"/>
    <xf numFmtId="166" fontId="6" fillId="0" borderId="1" xfId="1" applyNumberFormat="1" applyFont="1" applyBorder="1" applyAlignment="1">
      <alignment horizontal="center"/>
    </xf>
    <xf numFmtId="168" fontId="6" fillId="0" borderId="0" xfId="0" applyNumberFormat="1" applyFont="1" applyFill="1" applyBorder="1" applyAlignment="1">
      <alignment horizontal="center" vertical="center" wrapText="1"/>
    </xf>
    <xf numFmtId="43" fontId="26" fillId="4" borderId="1" xfId="1" applyFont="1" applyFill="1" applyBorder="1" applyAlignment="1">
      <alignment horizontal="center" vertical="center" wrapText="1"/>
    </xf>
    <xf numFmtId="168" fontId="1" fillId="0" borderId="1" xfId="1" applyNumberFormat="1" applyFont="1" applyBorder="1"/>
    <xf numFmtId="1" fontId="1" fillId="0" borderId="1" xfId="1" applyNumberFormat="1" applyFont="1" applyBorder="1"/>
    <xf numFmtId="0" fontId="35" fillId="4" borderId="1" xfId="0" applyFont="1" applyFill="1" applyBorder="1"/>
    <xf numFmtId="167" fontId="1" fillId="0" borderId="1" xfId="0" applyNumberFormat="1" applyFont="1" applyBorder="1"/>
    <xf numFmtId="0" fontId="1" fillId="0" borderId="1" xfId="0" applyNumberFormat="1" applyFont="1" applyBorder="1"/>
    <xf numFmtId="167" fontId="1" fillId="0" borderId="28" xfId="0" applyNumberFormat="1" applyFont="1" applyBorder="1"/>
    <xf numFmtId="0" fontId="1" fillId="2" borderId="29" xfId="0" applyFont="1" applyFill="1" applyBorder="1"/>
    <xf numFmtId="167" fontId="1" fillId="2" borderId="1" xfId="0" applyNumberFormat="1" applyFont="1" applyFill="1" applyBorder="1"/>
    <xf numFmtId="0" fontId="1" fillId="2" borderId="30" xfId="0" applyFont="1" applyFill="1" applyBorder="1"/>
    <xf numFmtId="0" fontId="23" fillId="0" borderId="0" xfId="0" applyFont="1" applyAlignment="1">
      <alignment horizontal="center" vertical="center" wrapText="1"/>
    </xf>
    <xf numFmtId="1" fontId="1" fillId="0" borderId="28" xfId="0" applyNumberFormat="1" applyFont="1" applyBorder="1"/>
    <xf numFmtId="0" fontId="1" fillId="0" borderId="1" xfId="0" pivotButton="1" applyFont="1" applyBorder="1"/>
    <xf numFmtId="0" fontId="1" fillId="0" borderId="31" xfId="0" applyFont="1" applyBorder="1"/>
    <xf numFmtId="167" fontId="8" fillId="2" borderId="0" xfId="18" applyNumberFormat="1" applyFont="1" applyFill="1" applyBorder="1" applyAlignment="1"/>
    <xf numFmtId="167" fontId="8" fillId="2" borderId="0" xfId="18" applyNumberFormat="1" applyFont="1" applyFill="1" applyAlignment="1">
      <alignment horizontal="center"/>
    </xf>
    <xf numFmtId="0" fontId="28" fillId="0" borderId="0" xfId="12" applyFont="1" applyAlignment="1">
      <alignment horizontal="center"/>
    </xf>
    <xf numFmtId="0" fontId="28" fillId="0" borderId="1" xfId="0" applyNumberFormat="1" applyFont="1" applyBorder="1"/>
    <xf numFmtId="0" fontId="1" fillId="2" borderId="2" xfId="0" applyFont="1" applyFill="1" applyBorder="1"/>
    <xf numFmtId="0" fontId="1" fillId="0" borderId="29" xfId="0" pivotButton="1" applyFont="1" applyBorder="1"/>
    <xf numFmtId="0" fontId="28" fillId="0" borderId="0" xfId="0" applyFont="1" applyAlignment="1">
      <alignment horizontal="left"/>
    </xf>
    <xf numFmtId="0" fontId="6" fillId="3" borderId="23" xfId="16" applyFont="1" applyFill="1" applyBorder="1" applyAlignment="1">
      <alignment horizontal="center" vertical="center" wrapText="1"/>
    </xf>
    <xf numFmtId="0" fontId="6" fillId="3" borderId="24" xfId="16" applyFont="1" applyFill="1" applyBorder="1" applyAlignment="1">
      <alignment horizontal="center" vertical="center" wrapText="1"/>
    </xf>
    <xf numFmtId="0" fontId="8" fillId="3" borderId="23" xfId="16" applyFont="1" applyFill="1" applyBorder="1" applyAlignment="1">
      <alignment horizontal="center" vertical="center" wrapText="1"/>
    </xf>
    <xf numFmtId="0" fontId="8" fillId="3" borderId="24" xfId="16" applyFont="1" applyFill="1" applyBorder="1" applyAlignment="1">
      <alignment horizontal="center" vertical="center" wrapText="1"/>
    </xf>
    <xf numFmtId="0" fontId="9" fillId="3" borderId="0" xfId="0" applyFont="1" applyFill="1" applyAlignment="1">
      <alignment horizontal="justify" vertical="justify"/>
    </xf>
    <xf numFmtId="0" fontId="20" fillId="0" borderId="0" xfId="18" applyFont="1" applyAlignment="1">
      <alignment horizontal="center" vertical="center"/>
    </xf>
    <xf numFmtId="0" fontId="15" fillId="4" borderId="18" xfId="18" applyFont="1" applyFill="1" applyBorder="1" applyAlignment="1">
      <alignment horizontal="center" vertical="center"/>
    </xf>
    <xf numFmtId="0" fontId="15" fillId="4" borderId="3" xfId="18" applyFont="1" applyFill="1" applyBorder="1" applyAlignment="1">
      <alignment horizontal="center" vertical="center"/>
    </xf>
    <xf numFmtId="0" fontId="15" fillId="4" borderId="8" xfId="18" applyFont="1" applyFill="1" applyBorder="1" applyAlignment="1">
      <alignment horizontal="center" vertical="center" wrapText="1"/>
    </xf>
    <xf numFmtId="0" fontId="15" fillId="4" borderId="4" xfId="18" applyFont="1" applyFill="1" applyBorder="1" applyAlignment="1">
      <alignment horizontal="center" vertical="center" wrapText="1"/>
    </xf>
    <xf numFmtId="0" fontId="15" fillId="4" borderId="19" xfId="18" applyFont="1" applyFill="1" applyBorder="1" applyAlignment="1">
      <alignment horizontal="center" vertical="center"/>
    </xf>
    <xf numFmtId="0" fontId="15" fillId="4" borderId="5" xfId="18" applyFont="1" applyFill="1" applyBorder="1" applyAlignment="1">
      <alignment horizontal="center" vertical="center"/>
    </xf>
    <xf numFmtId="0" fontId="15" fillId="4" borderId="8" xfId="18" applyFont="1" applyFill="1" applyBorder="1" applyAlignment="1">
      <alignment horizontal="center" vertical="center"/>
    </xf>
    <xf numFmtId="0" fontId="15" fillId="4" borderId="4" xfId="18" applyFont="1" applyFill="1" applyBorder="1" applyAlignment="1">
      <alignment horizontal="center" vertical="center"/>
    </xf>
    <xf numFmtId="0" fontId="26" fillId="5" borderId="0" xfId="18" applyFont="1" applyFill="1" applyBorder="1" applyAlignment="1">
      <alignment horizontal="center"/>
    </xf>
  </cellXfs>
  <cellStyles count="27">
    <cellStyle name="Millares" xfId="1" builtinId="3"/>
    <cellStyle name="Millares 2" xfId="9" xr:uid="{0A3C3342-CCA6-43EF-A13F-3A47512E7CB8}"/>
    <cellStyle name="Millares 2 2" xfId="19" xr:uid="{9502923C-648A-4187-A74D-4B3BDD6B132E}"/>
    <cellStyle name="Millares 2 3" xfId="26" xr:uid="{9289F806-2B7D-41D3-B25A-0426871522F6}"/>
    <cellStyle name="Millares 3" xfId="15" xr:uid="{8633B554-ABA9-49EC-BBBB-4A7CC62A1530}"/>
    <cellStyle name="Millares 4" xfId="24" xr:uid="{3052DB20-3696-43A4-BC96-0ECEB1EB4DA5}"/>
    <cellStyle name="Normal" xfId="0" builtinId="0"/>
    <cellStyle name="Normal 12" xfId="22" xr:uid="{317B0C73-591B-4FDA-85CF-93B6199CC065}"/>
    <cellStyle name="Normal 2" xfId="4" xr:uid="{99922F4E-DD4B-4B5D-A0F4-319326040BB2}"/>
    <cellStyle name="Normal 2 10" xfId="16" xr:uid="{F46D0E15-EA22-4836-8682-B318093FF1AB}"/>
    <cellStyle name="Normal 2 2" xfId="20" xr:uid="{388FAE1E-A3BF-4EA0-85E5-6F91D01ADBAE}"/>
    <cellStyle name="Normal 2 3" xfId="25" xr:uid="{B0601E3A-3CAF-4A0C-9186-7ECC5CC6F14F}"/>
    <cellStyle name="Normal 2 3 2" xfId="8" xr:uid="{F511D652-7FE6-45D9-8436-3AA40B6091A0}"/>
    <cellStyle name="Normal 2 3 2 5" xfId="12" xr:uid="{0B314444-EBFC-448F-915D-7126B6FB576C}"/>
    <cellStyle name="Normal 3" xfId="5" xr:uid="{17D35D70-2382-4C16-8098-4CD8F628E49E}"/>
    <cellStyle name="Normal 3 2" xfId="6" xr:uid="{0F5A7000-F357-49DA-8509-BBCCCF746C12}"/>
    <cellStyle name="Normal 4" xfId="7" xr:uid="{5105DC9A-7D69-4698-83B3-E29332C47C31}"/>
    <cellStyle name="Normal 5" xfId="3" xr:uid="{E4E1C48B-FC0D-48E1-9B60-6B9EC5E62C9D}"/>
    <cellStyle name="Normal 6" xfId="11" xr:uid="{11BA5658-887F-46CD-9D6D-DC6A5794AEF0}"/>
    <cellStyle name="Normal 7" xfId="2" xr:uid="{8404EB3F-8853-465F-94AF-C5CD29CAC08E}"/>
    <cellStyle name="Normal 8" xfId="23" xr:uid="{B3E032B2-34C4-4FF2-A896-EBC5A46E6B10}"/>
    <cellStyle name="Normal_2102 Sumaria de Efectivo y Equivalentes" xfId="18" xr:uid="{9C2DB25B-3119-455E-A634-EB76D4BA3C0C}"/>
    <cellStyle name="Normal_2102.1.1 Analisis de Partidas Conciliatorias" xfId="21" xr:uid="{B4C06567-4A83-4214-98CE-42EB3D8DA81D}"/>
    <cellStyle name="Porcentaje" xfId="17" builtinId="5"/>
    <cellStyle name="Porcentaje 2" xfId="13" xr:uid="{F335E9AF-B42D-4D8E-907B-37CDE69990D7}"/>
    <cellStyle name="Porcentaje 3" xfId="10" xr:uid="{A53C3F2E-90CF-486B-A1B8-AB8AB1A49338}"/>
    <cellStyle name="Porcentual 2 2 3 2" xfId="14" xr:uid="{3EEA4F75-9F2C-4C4F-AD09-E6EEC6F371F1}"/>
  </cellStyles>
  <dxfs count="167">
    <dxf>
      <font>
        <name val="Tahoma"/>
        <family val="2"/>
      </font>
    </dxf>
    <dxf>
      <font>
        <name val="Tahoma"/>
        <family val="2"/>
      </font>
    </dxf>
    <dxf>
      <font>
        <name val="Tahoma"/>
        <family val="2"/>
      </font>
    </dxf>
    <dxf>
      <font>
        <name val="Tahoma"/>
        <family val="2"/>
      </font>
    </dxf>
    <dxf>
      <font>
        <name val="Tahoma"/>
        <family val="2"/>
      </font>
    </dxf>
    <dxf>
      <font>
        <name val="Tahoma"/>
        <family val="2"/>
      </font>
    </dxf>
    <dxf>
      <font>
        <name val="Tahoma"/>
        <family val="2"/>
      </font>
    </dxf>
    <dxf>
      <font>
        <name val="Tahoma"/>
        <family val="2"/>
      </font>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font>
        <color rgb="FF002060"/>
      </font>
    </dxf>
    <dxf>
      <font>
        <color rgb="FF002060"/>
      </font>
    </dxf>
    <dxf>
      <fill>
        <patternFill>
          <bgColor theme="4" tint="0.79998168889431442"/>
        </patternFill>
      </fill>
    </dxf>
    <dxf>
      <fill>
        <patternFill>
          <bgColor theme="4" tint="0.79998168889431442"/>
        </patternFill>
      </fill>
    </dxf>
    <dxf>
      <fill>
        <patternFill patternType="solid">
          <bgColor theme="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wrapText="1"/>
    </dxf>
    <dxf>
      <font>
        <color rgb="FF002060"/>
      </font>
      <fill>
        <patternFill patternType="solid">
          <fgColor indexed="64"/>
          <bgColor theme="8" tint="0.39997558519241921"/>
        </patternFill>
      </fill>
      <alignment horizontal="center"/>
    </dxf>
    <dxf>
      <font>
        <name val="Tahoma"/>
        <scheme val="none"/>
      </font>
    </dxf>
    <dxf>
      <font>
        <name val="Tahoma"/>
        <scheme val="none"/>
      </font>
    </dxf>
    <dxf>
      <font>
        <name val="Tahoma"/>
        <scheme val="none"/>
      </font>
    </dxf>
    <dxf>
      <font>
        <name val="Tahoma"/>
        <scheme val="none"/>
      </font>
    </dxf>
    <dxf>
      <font>
        <sz val="10"/>
      </font>
    </dxf>
    <dxf>
      <font>
        <sz val="10"/>
      </font>
    </dxf>
    <dxf>
      <font>
        <sz val="10"/>
      </font>
    </dxf>
    <dxf>
      <font>
        <sz val="10"/>
      </font>
    </dxf>
    <dxf>
      <numFmt numFmtId="167" formatCode="_(* #,##0_);_(* \(#,##0\);_(* &quot;-&quot;_);_(@_)"/>
    </dxf>
    <dxf>
      <font>
        <sz val="10"/>
      </font>
    </dxf>
    <dxf>
      <font>
        <sz val="10"/>
      </font>
    </dxf>
    <dxf>
      <font>
        <name val="Tahoma"/>
        <scheme val="none"/>
      </font>
    </dxf>
    <dxf>
      <font>
        <name val="Tahoma"/>
        <scheme val="none"/>
      </font>
    </dxf>
    <dxf>
      <font>
        <name val="Tahoma"/>
        <family val="2"/>
      </font>
    </dxf>
    <dxf>
      <font>
        <name val="Tahoma"/>
        <family val="2"/>
      </font>
    </dxf>
    <dxf>
      <font>
        <name val="Tahoma"/>
        <family val="2"/>
      </font>
    </dxf>
    <dxf>
      <font>
        <name val="Tahoma"/>
        <family val="2"/>
      </font>
    </dxf>
    <dxf>
      <font>
        <name val="Tahoma"/>
        <family val="2"/>
      </font>
    </dxf>
    <dxf>
      <font>
        <name val="Tahoma"/>
        <family val="2"/>
      </font>
    </dxf>
    <dxf>
      <numFmt numFmtId="1" formatCode="0"/>
    </dxf>
    <dxf>
      <numFmt numFmtId="1" formatCode="0"/>
    </dxf>
    <dxf>
      <fill>
        <patternFill>
          <bgColor theme="4" tint="0.79998168889431442"/>
        </patternFill>
      </fill>
    </dxf>
    <dxf>
      <fill>
        <patternFill>
          <bgColor theme="4" tint="0.79998168889431442"/>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wrapText="1"/>
    </dxf>
    <dxf>
      <alignment wrapText="1"/>
    </dxf>
    <dxf>
      <font>
        <color rgb="FF002060"/>
      </font>
      <fill>
        <patternFill patternType="solid">
          <fgColor indexed="64"/>
          <bgColor theme="8" tint="0.39997558519241921"/>
        </patternFill>
      </fill>
      <alignment horizontal="center"/>
    </dxf>
    <dxf>
      <font>
        <color rgb="FF002060"/>
      </font>
      <fill>
        <patternFill patternType="solid">
          <fgColor indexed="64"/>
          <bgColor theme="8" tint="0.39997558519241921"/>
        </patternFill>
      </fill>
      <alignment horizontal="center"/>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font>
        <sz val="10"/>
      </font>
    </dxf>
    <dxf>
      <font>
        <sz val="10"/>
      </font>
    </dxf>
    <dxf>
      <font>
        <sz val="10"/>
      </font>
    </dxf>
    <dxf>
      <font>
        <sz val="10"/>
      </font>
    </dxf>
    <dxf>
      <font>
        <sz val="10"/>
      </font>
    </dxf>
    <dxf>
      <font>
        <sz val="10"/>
      </font>
    </dxf>
    <dxf>
      <numFmt numFmtId="167" formatCode="_(* #,##0_);_(* \(#,##0\);_(* &quot;-&quot;_);_(@_)"/>
    </dxf>
    <dxf>
      <font>
        <sz val="10"/>
      </font>
    </dxf>
    <dxf>
      <font>
        <sz val="10"/>
      </font>
    </dxf>
    <dxf>
      <font>
        <name val="Tahoma"/>
        <scheme val="none"/>
      </font>
    </dxf>
    <dxf>
      <font>
        <name val="Tahoma"/>
        <scheme val="none"/>
      </font>
    </dxf>
    <dxf>
      <font>
        <name val="Tahoma"/>
        <family val="2"/>
      </font>
    </dxf>
    <dxf>
      <font>
        <name val="Tahoma"/>
        <family val="2"/>
      </font>
    </dxf>
    <dxf>
      <font>
        <name val="Tahoma"/>
        <family val="2"/>
      </font>
    </dxf>
    <dxf>
      <font>
        <name val="Tahoma"/>
        <family val="2"/>
      </font>
    </dxf>
    <dxf>
      <font>
        <name val="Tahoma"/>
        <family val="2"/>
      </font>
    </dxf>
    <dxf>
      <font>
        <name val="Tahoma"/>
        <family val="2"/>
      </font>
    </dxf>
    <dxf>
      <font>
        <name val="Tahoma"/>
        <family val="2"/>
      </font>
    </dxf>
    <dxf>
      <font>
        <name val="Tahoma"/>
        <family val="2"/>
      </font>
    </dxf>
    <dxf>
      <font>
        <name val="Tahoma"/>
        <family val="2"/>
      </font>
    </dxf>
    <dxf>
      <font>
        <name val="Tahoma"/>
        <family val="2"/>
      </font>
    </dxf>
    <dxf>
      <font>
        <name val="Tahoma"/>
        <family val="2"/>
      </font>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right/>
        <top/>
        <bottom/>
        <vertical/>
      </border>
    </dxf>
    <dxf>
      <font>
        <color rgb="FF002060"/>
      </font>
      <alignment horizontal="center" vertical="center" wrapText="1"/>
    </dxf>
    <dxf>
      <font>
        <color rgb="FF002060"/>
      </font>
      <alignment horizontal="center" vertical="center" wrapText="1"/>
    </dxf>
    <dxf>
      <font>
        <color rgb="FF002060"/>
      </font>
      <alignment horizontal="center" vertical="center" wrapText="1"/>
    </dxf>
    <dxf>
      <fill>
        <patternFill>
          <bgColor theme="4" tint="0.79998168889431442"/>
        </patternFill>
      </fill>
    </dxf>
    <dxf>
      <fill>
        <patternFill>
          <bgColor theme="4" tint="0.79998168889431442"/>
        </patternFill>
      </fill>
    </dxf>
    <dxf>
      <fill>
        <patternFill>
          <bgColor theme="4" tint="0.79998168889431442"/>
        </patternFill>
      </fill>
    </dxf>
    <dxf>
      <font>
        <b/>
      </font>
    </dxf>
    <dxf>
      <font>
        <b/>
      </font>
    </dxf>
    <dxf>
      <font>
        <b/>
      </font>
    </dxf>
    <dxf>
      <font>
        <color theme="1"/>
      </font>
    </dxf>
    <dxf>
      <font>
        <color theme="1"/>
      </font>
    </dxf>
    <dxf>
      <font>
        <color theme="1"/>
      </font>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top/>
        <bottom/>
      </border>
    </dxf>
    <dxf>
      <border>
        <left/>
        <top/>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wrapText="1"/>
    </dxf>
    <dxf>
      <font>
        <color rgb="FF002060"/>
      </font>
    </dxf>
    <dxf>
      <fill>
        <patternFill patternType="solid">
          <bgColor theme="8" tint="0.39997558519241921"/>
        </patternFill>
      </fill>
    </dxf>
    <dxf>
      <font>
        <name val="Tahoma"/>
        <scheme val="none"/>
      </font>
    </dxf>
    <dxf>
      <font>
        <name val="Tahoma"/>
        <scheme val="none"/>
      </font>
    </dxf>
    <dxf>
      <font>
        <name val="Tahoma"/>
        <scheme val="none"/>
      </font>
    </dxf>
    <dxf>
      <font>
        <name val="Tahoma"/>
        <scheme val="none"/>
      </font>
    </dxf>
    <dxf>
      <font>
        <sz val="10"/>
      </font>
    </dxf>
    <dxf>
      <font>
        <sz val="10"/>
      </font>
    </dxf>
    <dxf>
      <font>
        <sz val="10"/>
      </font>
    </dxf>
    <dxf>
      <font>
        <sz val="10"/>
      </font>
    </dxf>
    <dxf>
      <alignment horizontal="center"/>
    </dxf>
    <dxf>
      <font>
        <sz val="10"/>
      </font>
    </dxf>
    <dxf>
      <font>
        <sz val="10"/>
      </font>
    </dxf>
    <dxf>
      <font>
        <name val="Tahoma"/>
        <family val="2"/>
        <scheme val="none"/>
      </font>
    </dxf>
    <dxf>
      <font>
        <name val="Tahoma"/>
        <family val="2"/>
        <scheme val="none"/>
      </font>
    </dxf>
    <dxf>
      <numFmt numFmtId="167" formatCode="_(* #,##0_);_(* \(#,##0\);_(* &quot;-&quot;_);_(@_)"/>
    </dxf>
    <dxf>
      <font>
        <sz val="10"/>
      </font>
    </dxf>
    <dxf>
      <font>
        <sz val="10"/>
      </font>
    </dxf>
    <dxf>
      <font>
        <name val="Tahoma"/>
        <scheme val="none"/>
      </font>
    </dxf>
    <dxf>
      <font>
        <name val="Tahoma"/>
        <scheme val="none"/>
      </font>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571031</xdr:colOff>
      <xdr:row>12</xdr:row>
      <xdr:rowOff>93804</xdr:rowOff>
    </xdr:from>
    <xdr:to>
      <xdr:col>2</xdr:col>
      <xdr:colOff>571036</xdr:colOff>
      <xdr:row>35</xdr:row>
      <xdr:rowOff>45742</xdr:rowOff>
    </xdr:to>
    <xdr:cxnSp macro="">
      <xdr:nvCxnSpPr>
        <xdr:cNvPr id="3" name="Conector recto 2">
          <a:extLst>
            <a:ext uri="{FF2B5EF4-FFF2-40B4-BE49-F238E27FC236}">
              <a16:creationId xmlns:a16="http://schemas.microsoft.com/office/drawing/2014/main" id="{47A7E2FF-A97B-43AE-AE17-AF9C43AF039A}"/>
            </a:ext>
          </a:extLst>
        </xdr:cNvPr>
        <xdr:cNvCxnSpPr/>
      </xdr:nvCxnSpPr>
      <xdr:spPr>
        <a:xfrm>
          <a:off x="5587531" y="2165492"/>
          <a:ext cx="5" cy="11628000"/>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xdr:col>
      <xdr:colOff>39688</xdr:colOff>
      <xdr:row>0</xdr:row>
      <xdr:rowOff>150813</xdr:rowOff>
    </xdr:from>
    <xdr:to>
      <xdr:col>1</xdr:col>
      <xdr:colOff>1636713</xdr:colOff>
      <xdr:row>4</xdr:row>
      <xdr:rowOff>70380</xdr:rowOff>
    </xdr:to>
    <xdr:pic>
      <xdr:nvPicPr>
        <xdr:cNvPr id="4" name="Imagen 3">
          <a:extLst>
            <a:ext uri="{FF2B5EF4-FFF2-40B4-BE49-F238E27FC236}">
              <a16:creationId xmlns:a16="http://schemas.microsoft.com/office/drawing/2014/main" id="{C0D2F50E-22CC-4FC6-9D3E-0A9DAC7A9E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1313" y="150813"/>
          <a:ext cx="1597025" cy="5545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63500</xdr:colOff>
      <xdr:row>0</xdr:row>
      <xdr:rowOff>25400</xdr:rowOff>
    </xdr:from>
    <xdr:to>
      <xdr:col>2</xdr:col>
      <xdr:colOff>676275</xdr:colOff>
      <xdr:row>3</xdr:row>
      <xdr:rowOff>103717</xdr:rowOff>
    </xdr:to>
    <xdr:pic>
      <xdr:nvPicPr>
        <xdr:cNvPr id="2" name="Imagen 1">
          <a:extLst>
            <a:ext uri="{FF2B5EF4-FFF2-40B4-BE49-F238E27FC236}">
              <a16:creationId xmlns:a16="http://schemas.microsoft.com/office/drawing/2014/main" id="{16AE26FD-C129-47CA-B6B1-B03487D076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6850" y="25400"/>
          <a:ext cx="1536700" cy="555625"/>
        </a:xfrm>
        <a:prstGeom prst="rect">
          <a:avLst/>
        </a:prstGeom>
      </xdr:spPr>
    </xdr:pic>
    <xdr:clientData/>
  </xdr:twoCellAnchor>
  <xdr:twoCellAnchor>
    <xdr:from>
      <xdr:col>6</xdr:col>
      <xdr:colOff>40479</xdr:colOff>
      <xdr:row>26</xdr:row>
      <xdr:rowOff>60172</xdr:rowOff>
    </xdr:from>
    <xdr:to>
      <xdr:col>6</xdr:col>
      <xdr:colOff>885825</xdr:colOff>
      <xdr:row>26</xdr:row>
      <xdr:rowOff>133349</xdr:rowOff>
    </xdr:to>
    <xdr:grpSp>
      <xdr:nvGrpSpPr>
        <xdr:cNvPr id="3" name="Group 20">
          <a:extLst>
            <a:ext uri="{FF2B5EF4-FFF2-40B4-BE49-F238E27FC236}">
              <a16:creationId xmlns:a16="http://schemas.microsoft.com/office/drawing/2014/main" id="{99B3F2AA-A1EF-4449-AF41-F5363A5E043B}"/>
            </a:ext>
          </a:extLst>
        </xdr:cNvPr>
        <xdr:cNvGrpSpPr/>
      </xdr:nvGrpSpPr>
      <xdr:grpSpPr>
        <a:xfrm rot="10800000">
          <a:off x="8594303" y="4467819"/>
          <a:ext cx="845346" cy="73177"/>
          <a:chOff x="1566863" y="4862513"/>
          <a:chExt cx="6472237" cy="114300"/>
        </a:xfrm>
      </xdr:grpSpPr>
      <xdr:cxnSp macro="">
        <xdr:nvCxnSpPr>
          <xdr:cNvPr id="4" name="Straight Connector 18">
            <a:extLst>
              <a:ext uri="{FF2B5EF4-FFF2-40B4-BE49-F238E27FC236}">
                <a16:creationId xmlns:a16="http://schemas.microsoft.com/office/drawing/2014/main" id="{11DE0D5E-6AA0-405B-B3B2-F1282C9B11F7}"/>
              </a:ext>
            </a:extLst>
          </xdr:cNvPr>
          <xdr:cNvCxnSpPr/>
        </xdr:nvCxnSpPr>
        <xdr:spPr>
          <a:xfrm>
            <a:off x="1566863" y="4926013"/>
            <a:ext cx="6472237" cy="0"/>
          </a:xfrm>
          <a:prstGeom prst="line">
            <a:avLst/>
          </a:prstGeom>
          <a:ln w="19050">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5" name="Straight Connector 19">
            <a:extLst>
              <a:ext uri="{FF2B5EF4-FFF2-40B4-BE49-F238E27FC236}">
                <a16:creationId xmlns:a16="http://schemas.microsoft.com/office/drawing/2014/main" id="{1E66D4DE-AE45-4963-BC25-D860DE81CFA0}"/>
              </a:ext>
            </a:extLst>
          </xdr:cNvPr>
          <xdr:cNvCxnSpPr/>
        </xdr:nvCxnSpPr>
        <xdr:spPr>
          <a:xfrm flipV="1">
            <a:off x="8035925" y="4862513"/>
            <a:ext cx="0" cy="114300"/>
          </a:xfrm>
          <a:prstGeom prst="line">
            <a:avLst/>
          </a:prstGeom>
          <a:ln w="19050">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190501</xdr:colOff>
      <xdr:row>26</xdr:row>
      <xdr:rowOff>45525</xdr:rowOff>
    </xdr:from>
    <xdr:to>
      <xdr:col>8</xdr:col>
      <xdr:colOff>4762</xdr:colOff>
      <xdr:row>26</xdr:row>
      <xdr:rowOff>133351</xdr:rowOff>
    </xdr:to>
    <xdr:grpSp>
      <xdr:nvGrpSpPr>
        <xdr:cNvPr id="6" name="Group 20">
          <a:extLst>
            <a:ext uri="{FF2B5EF4-FFF2-40B4-BE49-F238E27FC236}">
              <a16:creationId xmlns:a16="http://schemas.microsoft.com/office/drawing/2014/main" id="{12962442-EB0C-40EC-98CE-2AD443D3702C}"/>
            </a:ext>
          </a:extLst>
        </xdr:cNvPr>
        <xdr:cNvGrpSpPr/>
      </xdr:nvGrpSpPr>
      <xdr:grpSpPr>
        <a:xfrm>
          <a:off x="9782736" y="4453172"/>
          <a:ext cx="919908" cy="87826"/>
          <a:chOff x="1566863" y="4862513"/>
          <a:chExt cx="6472237" cy="114300"/>
        </a:xfrm>
      </xdr:grpSpPr>
      <xdr:cxnSp macro="">
        <xdr:nvCxnSpPr>
          <xdr:cNvPr id="7" name="Straight Connector 18">
            <a:extLst>
              <a:ext uri="{FF2B5EF4-FFF2-40B4-BE49-F238E27FC236}">
                <a16:creationId xmlns:a16="http://schemas.microsoft.com/office/drawing/2014/main" id="{5A60A998-4923-45F4-B93C-22DBA286C6D8}"/>
              </a:ext>
            </a:extLst>
          </xdr:cNvPr>
          <xdr:cNvCxnSpPr/>
        </xdr:nvCxnSpPr>
        <xdr:spPr>
          <a:xfrm>
            <a:off x="1566863" y="4926013"/>
            <a:ext cx="6472237" cy="0"/>
          </a:xfrm>
          <a:prstGeom prst="line">
            <a:avLst/>
          </a:prstGeom>
          <a:ln w="19050">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8" name="Straight Connector 19">
            <a:extLst>
              <a:ext uri="{FF2B5EF4-FFF2-40B4-BE49-F238E27FC236}">
                <a16:creationId xmlns:a16="http://schemas.microsoft.com/office/drawing/2014/main" id="{E8D4B215-5CBF-4990-9C65-78D123E1B08C}"/>
              </a:ext>
            </a:extLst>
          </xdr:cNvPr>
          <xdr:cNvCxnSpPr/>
        </xdr:nvCxnSpPr>
        <xdr:spPr>
          <a:xfrm flipV="1">
            <a:off x="8035925" y="4862513"/>
            <a:ext cx="0" cy="114300"/>
          </a:xfrm>
          <a:prstGeom prst="line">
            <a:avLst/>
          </a:prstGeom>
          <a:ln w="19050">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243047</xdr:colOff>
      <xdr:row>35</xdr:row>
      <xdr:rowOff>42149</xdr:rowOff>
    </xdr:from>
    <xdr:to>
      <xdr:col>19</xdr:col>
      <xdr:colOff>11113</xdr:colOff>
      <xdr:row>35</xdr:row>
      <xdr:rowOff>47625</xdr:rowOff>
    </xdr:to>
    <xdr:cxnSp macro="">
      <xdr:nvCxnSpPr>
        <xdr:cNvPr id="4" name="Conector recto de flecha 3">
          <a:extLst>
            <a:ext uri="{FF2B5EF4-FFF2-40B4-BE49-F238E27FC236}">
              <a16:creationId xmlns:a16="http://schemas.microsoft.com/office/drawing/2014/main" id="{A2467940-6733-4AA1-DF14-2FF3B36A0FAB}"/>
            </a:ext>
          </a:extLst>
        </xdr:cNvPr>
        <xdr:cNvCxnSpPr>
          <a:stCxn id="5" idx="3"/>
        </xdr:cNvCxnSpPr>
      </xdr:nvCxnSpPr>
      <xdr:spPr>
        <a:xfrm>
          <a:off x="758985" y="5209462"/>
          <a:ext cx="25350628" cy="547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31750</xdr:colOff>
      <xdr:row>34</xdr:row>
      <xdr:rowOff>111125</xdr:rowOff>
    </xdr:from>
    <xdr:ext cx="211297" cy="211297"/>
    <xdr:pic>
      <xdr:nvPicPr>
        <xdr:cNvPr id="5" name="Imagen 4">
          <a:extLst>
            <a:ext uri="{FF2B5EF4-FFF2-40B4-BE49-F238E27FC236}">
              <a16:creationId xmlns:a16="http://schemas.microsoft.com/office/drawing/2014/main" id="{652F5F3C-F1BD-4604-B453-B6C3539E3A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7688" y="5103813"/>
          <a:ext cx="211297" cy="2112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113589</xdr:colOff>
      <xdr:row>74</xdr:row>
      <xdr:rowOff>34210</xdr:rowOff>
    </xdr:from>
    <xdr:ext cx="174625" cy="174625"/>
    <xdr:pic>
      <xdr:nvPicPr>
        <xdr:cNvPr id="6" name="Imagen 5">
          <a:extLst>
            <a:ext uri="{FF2B5EF4-FFF2-40B4-BE49-F238E27FC236}">
              <a16:creationId xmlns:a16="http://schemas.microsoft.com/office/drawing/2014/main" id="{E30351AE-6A7E-4E7C-8B2D-E61C5DFE3D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589" y="10837148"/>
          <a:ext cx="174625" cy="174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31750</xdr:colOff>
      <xdr:row>34</xdr:row>
      <xdr:rowOff>134936</xdr:rowOff>
    </xdr:from>
    <xdr:to>
      <xdr:col>20</xdr:col>
      <xdr:colOff>243047</xdr:colOff>
      <xdr:row>36</xdr:row>
      <xdr:rowOff>28733</xdr:rowOff>
    </xdr:to>
    <xdr:pic>
      <xdr:nvPicPr>
        <xdr:cNvPr id="7" name="Imagen 6">
          <a:extLst>
            <a:ext uri="{FF2B5EF4-FFF2-40B4-BE49-F238E27FC236}">
              <a16:creationId xmlns:a16="http://schemas.microsoft.com/office/drawing/2014/main" id="{951CCA00-57B6-4779-A199-F9A7AC0CA4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288750" y="5278436"/>
          <a:ext cx="211297" cy="211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266860</xdr:colOff>
      <xdr:row>35</xdr:row>
      <xdr:rowOff>79374</xdr:rowOff>
    </xdr:from>
    <xdr:to>
      <xdr:col>23</xdr:col>
      <xdr:colOff>0</xdr:colOff>
      <xdr:row>35</xdr:row>
      <xdr:rowOff>81836</xdr:rowOff>
    </xdr:to>
    <xdr:cxnSp macro="">
      <xdr:nvCxnSpPr>
        <xdr:cNvPr id="8" name="Conector recto de flecha 7">
          <a:extLst>
            <a:ext uri="{FF2B5EF4-FFF2-40B4-BE49-F238E27FC236}">
              <a16:creationId xmlns:a16="http://schemas.microsoft.com/office/drawing/2014/main" id="{7DA63FBB-DD26-4D8B-AF8F-758371230012}"/>
            </a:ext>
          </a:extLst>
        </xdr:cNvPr>
        <xdr:cNvCxnSpPr/>
      </xdr:nvCxnSpPr>
      <xdr:spPr>
        <a:xfrm flipV="1">
          <a:off x="24523860" y="5381624"/>
          <a:ext cx="3432015" cy="2462"/>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121528</xdr:colOff>
      <xdr:row>75</xdr:row>
      <xdr:rowOff>18336</xdr:rowOff>
    </xdr:from>
    <xdr:to>
      <xdr:col>0</xdr:col>
      <xdr:colOff>296153</xdr:colOff>
      <xdr:row>76</xdr:row>
      <xdr:rowOff>10398</xdr:rowOff>
    </xdr:to>
    <xdr:pic>
      <xdr:nvPicPr>
        <xdr:cNvPr id="13" name="Imagen 12">
          <a:extLst>
            <a:ext uri="{FF2B5EF4-FFF2-40B4-BE49-F238E27FC236}">
              <a16:creationId xmlns:a16="http://schemas.microsoft.com/office/drawing/2014/main" id="{5A54498C-7EE0-4F80-BBB5-418A4B32E2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528" y="13631149"/>
          <a:ext cx="174625" cy="174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16</xdr:col>
      <xdr:colOff>1978030</xdr:colOff>
      <xdr:row>50</xdr:row>
      <xdr:rowOff>7938</xdr:rowOff>
    </xdr:from>
    <xdr:ext cx="192088" cy="192088"/>
    <xdr:pic>
      <xdr:nvPicPr>
        <xdr:cNvPr id="14" name="Imagen 13">
          <a:extLst>
            <a:ext uri="{FF2B5EF4-FFF2-40B4-BE49-F238E27FC236}">
              <a16:creationId xmlns:a16="http://schemas.microsoft.com/office/drawing/2014/main" id="{B3E921F8-FCB2-4645-A851-8C1D53E080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210718" y="2701004251"/>
          <a:ext cx="192088" cy="1920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119859</xdr:colOff>
      <xdr:row>76</xdr:row>
      <xdr:rowOff>794</xdr:rowOff>
    </xdr:from>
    <xdr:ext cx="158750" cy="158750"/>
    <xdr:pic>
      <xdr:nvPicPr>
        <xdr:cNvPr id="15" name="Imagen 14">
          <a:extLst>
            <a:ext uri="{FF2B5EF4-FFF2-40B4-BE49-F238E27FC236}">
              <a16:creationId xmlns:a16="http://schemas.microsoft.com/office/drawing/2014/main" id="{0B44BBCF-08CC-4DAB-A94E-91AE2AC2A54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859" y="13843794"/>
          <a:ext cx="158750" cy="158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1203990</xdr:colOff>
      <xdr:row>67</xdr:row>
      <xdr:rowOff>3486</xdr:rowOff>
    </xdr:from>
    <xdr:ext cx="211297" cy="211297"/>
    <xdr:pic>
      <xdr:nvPicPr>
        <xdr:cNvPr id="26" name="Imagen 25">
          <a:extLst>
            <a:ext uri="{FF2B5EF4-FFF2-40B4-BE49-F238E27FC236}">
              <a16:creationId xmlns:a16="http://schemas.microsoft.com/office/drawing/2014/main" id="{787CF120-46EA-4A7C-8574-9148DF07F6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19928" y="2703881111"/>
          <a:ext cx="211297" cy="2112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OS_FREDDY_FREDDY/FREDDY/Impuestos%202010/FREDDY%20RETENFTE20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ro2010"/>
      <sheetName val="FEBRER2010"/>
      <sheetName val="marzo2010"/>
      <sheetName val="ABRIL 2010"/>
      <sheetName val="MAYO 2010"/>
      <sheetName val="JUNIO 2010"/>
      <sheetName val="JULIO 2010"/>
      <sheetName val="AGOSTO 2010"/>
      <sheetName val="SEPTIEMBRE 2010"/>
      <sheetName val="OCTUBRE 2010"/>
      <sheetName val="anaislis"/>
      <sheetName val="421"/>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D2">
            <v>-88.39</v>
          </cell>
        </row>
        <row r="3">
          <cell r="D3">
            <v>-114.85</v>
          </cell>
        </row>
        <row r="4">
          <cell r="D4">
            <v>-2325.75</v>
          </cell>
        </row>
        <row r="5">
          <cell r="D5">
            <v>-135.55000000000001</v>
          </cell>
        </row>
        <row r="6">
          <cell r="D6">
            <v>-126.5</v>
          </cell>
        </row>
        <row r="7">
          <cell r="D7">
            <v>-437.91</v>
          </cell>
        </row>
        <row r="8">
          <cell r="D8">
            <v>-325.48</v>
          </cell>
        </row>
        <row r="9">
          <cell r="D9">
            <v>-231.03</v>
          </cell>
        </row>
        <row r="10">
          <cell r="D10">
            <v>-235.11</v>
          </cell>
        </row>
        <row r="11">
          <cell r="D11">
            <v>-684.9</v>
          </cell>
        </row>
        <row r="12">
          <cell r="D12">
            <v>-247</v>
          </cell>
        </row>
        <row r="13">
          <cell r="D13">
            <v>-461.61</v>
          </cell>
        </row>
        <row r="14">
          <cell r="D14">
            <v>-552.9</v>
          </cell>
        </row>
        <row r="15">
          <cell r="D15">
            <v>-17</v>
          </cell>
        </row>
        <row r="16">
          <cell r="D16">
            <v>-1006.95</v>
          </cell>
        </row>
        <row r="17">
          <cell r="D17">
            <v>-139.22999999999999</v>
          </cell>
        </row>
        <row r="18">
          <cell r="D18">
            <v>-2112.71</v>
          </cell>
        </row>
      </sheetData>
      <sheetData sheetId="11" refreshError="1"/>
      <sheetData sheetId="1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5237.414770833333" createdVersion="7" refreshedVersion="7" minRefreshableVersion="3" recordCount="12" xr:uid="{83284DC4-2690-46BF-B87D-942A807D79B3}">
  <cacheSource type="worksheet">
    <worksheetSource ref="B37:W49" sheet="130.04 "/>
  </cacheSource>
  <cacheFields count="22">
    <cacheField name="Código contable " numFmtId="0">
      <sharedItems containsBlank="1" containsMixedTypes="1" containsNumber="1" containsInteger="1" minValue="1041000000" maxValue="1041000003" count="6">
        <m/>
        <s v="****El número de colunmas con los detalles depende del anexo del cliente"/>
        <n v="1041000000" u="1"/>
        <n v="1041000002" u="1"/>
        <n v="1041000001" u="1"/>
        <n v="1041000003" u="1"/>
      </sharedItems>
    </cacheField>
    <cacheField name="Nombre de la cuenta " numFmtId="0">
      <sharedItems containsNonDate="0" containsBlank="1" count="5">
        <m/>
        <s v="CUENTAS POR COBRAR USUARIOS" u="1"/>
        <s v="CUENTAS POR COBRAR DISTRIBUIDORES" u="1"/>
        <s v="CUENTAS POR COBRAR VENTAS ESPECIALIZADAS" u="1"/>
        <s v="CUENTAS POR COBRAR EXPORTADORES" u="1"/>
      </sharedItems>
    </cacheField>
    <cacheField name="Sec" numFmtId="0">
      <sharedItems containsNonDate="0" containsString="0" containsBlank="1"/>
    </cacheField>
    <cacheField name="Grupo crédito" numFmtId="0">
      <sharedItems containsNonDate="0" containsString="0" containsBlank="1"/>
    </cacheField>
    <cacheField name="Provincia / país" numFmtId="0">
      <sharedItems containsNonDate="0" containsString="0" containsBlank="1"/>
    </cacheField>
    <cacheField name="Tipo cliente" numFmtId="0">
      <sharedItems containsNonDate="0" containsString="0" containsBlank="1"/>
    </cacheField>
    <cacheField name="Cod cliente" numFmtId="0">
      <sharedItems containsNonDate="0" containsString="0" containsBlank="1"/>
    </cacheField>
    <cacheField name="Cliente" numFmtId="0">
      <sharedItems containsNonDate="0" containsString="0" containsBlank="1"/>
    </cacheField>
    <cacheField name="Identificación cliente" numFmtId="49">
      <sharedItems containsNonDate="0" containsString="0" containsBlank="1"/>
    </cacheField>
    <cacheField name="Clase de documento" numFmtId="0">
      <sharedItems containsNonDate="0" containsString="0" containsBlank="1"/>
    </cacheField>
    <cacheField name="Numero de referencia" numFmtId="0">
      <sharedItems containsNonDate="0" containsString="0" containsBlank="1"/>
    </cacheField>
    <cacheField name="Texto" numFmtId="14">
      <sharedItems containsNonDate="0" containsString="0" containsBlank="1"/>
    </cacheField>
    <cacheField name="Indicador CME" numFmtId="0">
      <sharedItems containsNonDate="0" containsString="0" containsBlank="1"/>
    </cacheField>
    <cacheField name="Documento financiero" numFmtId="166">
      <sharedItems containsNonDate="0" containsString="0" containsBlank="1"/>
    </cacheField>
    <cacheField name="Fecha de emisión" numFmtId="168">
      <sharedItems containsNonDate="0" containsString="0" containsBlank="1"/>
    </cacheField>
    <cacheField name="Fecha de vencimiento" numFmtId="168">
      <sharedItems containsNonDate="0" containsString="0" containsBlank="1"/>
    </cacheField>
    <cacheField name="Valor inicial" numFmtId="166">
      <sharedItems containsNonDate="0" containsString="0" containsBlank="1"/>
    </cacheField>
    <cacheField name="Por cobrar" numFmtId="166">
      <sharedItems containsNonDate="0" containsString="0" containsBlank="1"/>
    </cacheField>
    <cacheField name="1" numFmtId="0">
      <sharedItems containsNonDate="0" containsString="0" containsBlank="1"/>
    </cacheField>
    <cacheField name="Antigüedad de saldos" numFmtId="2">
      <sharedItems/>
    </cacheField>
    <cacheField name="Agrupación" numFmtId="167">
      <sharedItems containsMixedTypes="1" containsNumber="1" containsInteger="1" minValue="-7" maxValue="-1" count="8">
        <e v="#VALUE!"/>
        <n v="-4" u="1"/>
        <n v="-2" u="1"/>
        <n v="-1" u="1"/>
        <n v="-5" u="1"/>
        <n v="-6" u="1"/>
        <n v="-3" u="1"/>
        <n v="-7" u="1"/>
      </sharedItems>
    </cacheField>
    <cacheField name="Años" numFmtId="1">
      <sharedItems containsSemiMixedTypes="0" containsString="0" containsNumber="1" containsInteger="1" minValue="1900" maxValue="19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5237.414919212963" createdVersion="7" refreshedVersion="7" minRefreshableVersion="3" recordCount="12" xr:uid="{9D06480E-8BF9-4520-8903-70B5DC5B8725}">
  <cacheSource type="worksheet">
    <worksheetSource ref="D37:W49" sheet="130.04 "/>
  </cacheSource>
  <cacheFields count="20">
    <cacheField name="Sec" numFmtId="0">
      <sharedItems containsNonDate="0" containsString="0" containsBlank="1"/>
    </cacheField>
    <cacheField name="Grupo crédito" numFmtId="0">
      <sharedItems containsNonDate="0" containsString="0" containsBlank="1"/>
    </cacheField>
    <cacheField name="Provincia / país" numFmtId="0">
      <sharedItems containsNonDate="0" containsString="0" containsBlank="1"/>
    </cacheField>
    <cacheField name="Tipo cliente" numFmtId="0">
      <sharedItems containsNonDate="0" containsString="0" containsBlank="1"/>
    </cacheField>
    <cacheField name="Cod cliente" numFmtId="0">
      <sharedItems containsNonDate="0" containsString="0" containsBlank="1"/>
    </cacheField>
    <cacheField name="Cliente" numFmtId="0">
      <sharedItems containsNonDate="0" containsBlank="1" count="866">
        <m/>
        <s v="MAXIMETALES S.A." u="1"/>
        <s v="COMERCIALIZADORA MULTIACEROS CIA LTDA" u="1"/>
        <s v="RAUL JAVIER LARA MORALES" u="1"/>
        <s v="MEGACERO-COM S.A.S" u="1"/>
        <s v="MARCIMEX S A" u="1"/>
        <s v="ACEROSCENTER CIA. LTDA." u="1"/>
        <s v="COMERCIO Y DISTRIBUCIONES S.A. MOLIFERRO" u="1"/>
        <s v="SONIA SALOME CORDOVA DONOSO" u="1"/>
        <s v="ASOCIACION O CUENTAS EN PARTICIPACION LA CASTELA GARDEN" u="1"/>
        <s v="COMERCIAL KYWI S.A." u="1"/>
        <s v="MEGATES S.A.S. MEGATES S.A.S." u="1"/>
        <s v="DIEGO FRANCISCO SALVADOR SALAZAR" u="1"/>
        <s v="MAYRA ISMENE URGILEZ VAZQUEZ" u="1"/>
        <s v="JAVIER PAUMIN PAQUIN ZAMBRANO" u="1"/>
        <s v="SEGUNDO MESIAS QUINCHIGUANGO PEREZ" u="1"/>
        <s v="MULTIFERRETERO DEL ORIENTE MULTIFERD&amp;L CIA. LTDA." u="1"/>
        <s v="COLBAPI S.A." u="1"/>
        <s v="ALMEIDA&amp;ASOCIADOS TRANSPORTE DE CARGA PESADA S.A. ALMEVARTRANS" u="1"/>
        <s v="CONSTRUCTORA PALACIOS E HIJOS STEELCO CI A.LTDA." u="1"/>
        <s v="MIGUEL ANGEL AYALA   VELEZ" u="1"/>
        <s v="COMERCIAL MICHELENA S.A." u="1"/>
        <s v="JULIO CESAR SANTO CHINGO" u="1"/>
        <s v="PROACERINOX SOCIEDAD CIVIL COMERCIAL" u="1"/>
        <s v="PROMAINCO" u="1"/>
        <s v="JEAN FRANCO TORRES GUNCAY" u="1"/>
        <s v="LUIS JAVIER QUIROZ VALENCIA" u="1"/>
        <s v="RICARDO ALBERTO ELIZALDE ITURRALDE" u="1"/>
        <s v="COMERCIAL PADILLA S.C.C." u="1"/>
        <s v="JUAN ANTONIO SEGOVIA CRUZ" u="1"/>
        <s v="MARIA GABRIELA CHAVEZ PERALTA" u="1"/>
        <s v="CONSTRUCTORA HORMO S.A.S." u="1"/>
        <s v="MINUTOCORP S.A." u="1"/>
        <s v="PABLO FERNANDO CEVALLOS NOBOA" u="1"/>
        <s v="DIEGO RENE GODOY LOZADA" u="1"/>
        <s v="CONSORCIO SERVINPET" u="1"/>
        <s v="INMOBILIARIA CONSTRUCTORA MATUTE JIMENEZ" u="1"/>
        <s v="PATRICIA MARINA BARZOLA FAJARDO" u="1"/>
        <s v="NELSON HERNAN CANDO AREQUIPA" u="1"/>
        <s v="MERCY GABRIELA GARZON CALLE" u="1"/>
        <s v="UNIVERSIDAD DEL PACIFICO ESCUELA DE NEGO CIOS" u="1"/>
        <s v="ACEROS Y SERVICIOS DEL VALLE ACERSA" u="1"/>
        <s v="WILLIAMS EMANUEL OÑATE CHANG" u="1"/>
        <s v="SAURUSECUADOR SOLUCIONES INDUSTRIALES CI A. LTDA." u="1"/>
        <s v="MONICA MARISOL AMBROSI ALCIVAR" u="1"/>
        <s v="HORMIMETAL CONSTRUCTORA CIA. LTDA." u="1"/>
        <s v="GALO JUSTINIANO GUZMAN ORDOÑEZ" u="1"/>
        <s v="FERRETERIA MATUTE S.A.S." u="1"/>
        <s v="JUAN IGNACIO SALINAS PORTILLO" u="1"/>
        <s v="MIGUEL ANGEL QUISPE TENORIO" u="1"/>
        <s v="COMERCIAL VACA S C" u="1"/>
        <s v="SANTIAGO CHILENO MILAN" u="1"/>
        <s v="CHARLIEG INGENIERIA Y REMEDIACION COMPAÑIA LIMITADA" u="1"/>
        <s v="SUDAMERICANA INTEGRAL DE CONSTRUCCIONES SUDINCO S.A." u="1"/>
        <s v="FERROCOCCIDENTAL S.A." u="1"/>
        <s v="AGROAZUCAR ECUADOR S.A." u="1"/>
        <s v="CONSORCIO RICAURTE" u="1"/>
        <s v="JORGE HERNAN HERRERA RUALES" u="1"/>
        <s v="CONSTRUCCIONES DEL PACIFICO PACIFICONSTR UYE S.A." u="1"/>
        <s v="WILSON ANTONIO HERNANDEZ LOPEZ" u="1"/>
        <s v="MARIA MARGARITA MORA" u="1"/>
        <s v="MAGALY ALEXANDRA ROMAN RAMIREZ" u="1"/>
        <s v="INGENIERIA Y MANTENIMIENTO TOTAL INMATOS A S.A." u="1"/>
        <s v="PEC PROJECT ENGINEERING &amp; CONSTRUCTION C IA. LTDA." u="1"/>
        <s v="MIREYA JUDITH ULLAURI CAMPOVERDE" u="1"/>
        <s v="COPPELTICORP S.A." u="1"/>
        <s v="WILLAMS ALEJANDRO SUNTAXI LUGMANA" u="1"/>
        <s v="PANCHI &amp; LUNA FERPH CIA. LTDA." u="1"/>
        <s v="IMPORTACIONES CESARINES SOCIEDAD DE RESP ONSABILIDAD LIMITADA" u="1"/>
        <s v="MANUEL RICARDO ROLDAN ORTIZ" u="1"/>
        <s v="FERRICENTER EL ARENAL CIA.LTDA" u="1"/>
        <s v="DIFERM S.A.S." u="1"/>
        <s v="IRMA MARILU BAÑOS VEGA" u="1"/>
        <s v="ROGELIO RAMIRO TORRES TORRES" u="1"/>
        <s v="ANGEL PATRICIO JARAMILLO MARTINEZ" u="1"/>
        <s v="ANTONIO PARRAGA JESUS" u="1"/>
        <s v="LUIS MARCELO ORDOÑEZ MURILLO" u="1"/>
        <s v="DIEGO ARMANDO GUANOLUISA CANDO" u="1"/>
        <s v="ANGEL PORFILIO BANEGAS" u="1"/>
        <s v="MIRNA CECILIA VILLAMAR LOPEZ" u="1"/>
        <s v="MELIDA BEATRIZ QUITO MUYULEMA" u="1"/>
        <s v="JUAN ALEJANDRO ALTAMIRANO VILLAVICENCIO" u="1"/>
        <s v="RUTH ELSA LITUMA RAMIREZ" u="1"/>
        <s v="WALTER PAUL OSORIO CHILUISA" u="1"/>
        <s v="GRACE AMARILIS BRAVO BRIONES" u="1"/>
        <s v="AGRIPAC S.A." u="1"/>
        <s v="NORBERTO GAVILANES LLANGA" u="1"/>
        <s v="RIBADENEIRA &amp; RIBADENEIRA CIA.LTDA." u="1"/>
        <s v="EDUARDO BALDEON WILFRIDO" u="1"/>
        <s v="H.O.V. HOTELERA QUITO S.A." u="1"/>
        <s v="MAJACSA S.A." u="1"/>
        <s v="LILIA MARISEL ALVERCA CASTILLO" u="1"/>
        <s v="JUAN JOSE FIGUEROA ESPIN" u="1"/>
        <s v="CORPORACION LOPEZ VILLAGOMEZ CIA. LTDA." u="1"/>
        <s v="JAVIER DAVID CANCHIG GORDILLO" u="1"/>
        <s v="SAICONS&amp;ICS S.A" u="1"/>
        <s v="COMERCIAL ELECTROMECANICA IMPORTADORA EX PORTADORA CEMIMEX CIA. LTDA." u="1"/>
        <s v="SIGMAPLAST S.A." u="1"/>
        <s v="ALHIEDSUR CIA. LTDA." u="1"/>
        <s v="MIRIAN MAGALI ZAMBRANO MONCADA" u="1"/>
        <s v="MONCAYO Y ROGGIERO INGENIEROS ASOCIADOS CIA. LTDA." u="1"/>
        <s v="MARIA CRUZ GUAMAN CAMUES" u="1"/>
        <s v="GONZALEZ MALDONADO CONSTRUCCIONES GOMALCON S. A." u="1"/>
        <s v="MARIUXI ELIZABETH LUNA GOMEZ" u="1"/>
        <s v="ALEJANDRO HUMBERTO PAEZ JORQUERA" u="1"/>
        <s v="DAVID FERNANDO BERMUDEZ CEVALLOS" u="1"/>
        <s v="LINDA IVETTE GARCIA YEPEZ" u="1"/>
        <s v="ANGEL BOLIVAR AGUIRRE AGUIRRE" u="1"/>
        <s v="ALCIBIADES ARMANDO ELIZALDE CASTILLO" u="1"/>
        <s v="LA  BODEGA DEL CONSTRUCTOR LA BODECON S.A.S" u="1"/>
        <s v="PURUHAFERRET CIA. LTDA." u="1"/>
        <s v="ALEX PAULINO MEJIA MOLINA" u="1"/>
        <s v="INPROEL S.A." u="1"/>
        <s v="MIGUEL ANGEL PUMA LUDEÑA" u="1"/>
        <s v="JANETH PATRICIA LUNA GUEVARA" u="1"/>
        <s v="SONIA AZUCENA VILLAMARIN MENA" u="1"/>
        <s v="MARIA JOSE CHIRIBOGA JEREZ" u="1"/>
        <s v="JULIO CESAR AMBROSI MOSQUERA" u="1"/>
        <s v="LORENA ALEXANDRA CABRERA PADILLA" u="1"/>
        <s v="OTTO ANDRES LOPEZ CHIANG" u="1"/>
        <s v="CELSO EUCLIDES ALLAN SUAREZ" u="1"/>
        <s v="SEGUNDO VICTOR AÑASCO DEFAZ" u="1"/>
        <s v="OTILIA AMARILIS VERA LOOR" u="1"/>
        <s v="JUAN PABLO TOALOMBO JACOME" u="1"/>
        <s v="MARFA MARILU VARGAS BALCAZAR" u="1"/>
        <s v="IRALDA CORINA MOLINA SANCHEZ" u="1"/>
        <s v="PROFILMET PRODUCTOS DE ACERO CIA.LTDA." u="1"/>
        <s v="INMORIVERPARK S A S" u="1"/>
        <s v="CUTCOMPANY S.A." u="1"/>
        <s v="GRACE KARINA ZALDUMBIDE VINTIMILLA" u="1"/>
        <s v="CARLOS RAFAEL SANCHEZ PINEDA" u="1"/>
        <s v="PROCONSTRUCCION DISTRIBUIDORA DE PRODUCT OS C LTDA" u="1"/>
        <s v="FERRETERIA Y SOLUCIONES CONSTRUCTIVAS FERSOLCOM CIA. LTDA" u="1"/>
        <s v="CONSORCIO PUENTES PACCHA ZARUMA" u="1"/>
        <s v="ERIKA MARICELA CAPUZ BALLADARES" u="1"/>
        <s v="CRISTIAN CARLOS PILATASIG MALLITASIG" u="1"/>
        <s v="LUIS EDUARDO MEJIA JUAREZ" u="1"/>
        <s v="IMPORT ACEROS INDUSTRIA METALMECANICA PROCESADORA DE ACERO IMPORT ACEROS SCC" u="1"/>
        <s v="INDUSTRIAS METALICAS LANFOR" u="1"/>
        <s v="DIPROIN SCC" u="1"/>
        <s v="MARIELA DEL PILAR BANDA MOLINA" u="1"/>
        <s v="MARLON VICENTE ROMERO CHAVEZ" u="1"/>
        <s v="UNIDAD EDUCATIVA VIRGEN DEL CARMEN" u="1"/>
        <s v="JOSE ADOLFO QUITUISACA LOZADA" u="1"/>
        <s v="JULIA DORINDA OTORONGO CORNEJO" u="1"/>
        <s v="PASBARO S.A." u="1"/>
        <s v="AGROVALENCIA C.A." u="1"/>
        <s v="DANIEL AURELIO GONZALEZ ALVAREZ" u="1"/>
        <s v="MERCY ALEXANDRA ATIAJA ARELLANO" u="1"/>
        <s v="MILTON EDUARDO ZALDUMBIDE PEÑARRETA" u="1"/>
        <s v="Luis Alfredo Cisneros Acosta" u="1"/>
        <s v="CLUB DEPORTIVO MACARA DE AMBATO" u="1"/>
        <s v="OMERO FERNANDO CASTILLO TORRES" u="1"/>
        <s v="IMPORT GREEN POWER TECHNOLOGY EQUIPAMENT &amp; MACHINERY ITEM S.A." u="1"/>
        <s v="INOVA CONSTRUCCIONES INOVACONS S.A.S." u="1"/>
        <s v="DAVID ENRIQUE VASCONEZ GONZALEZ" u="1"/>
        <s v="JEN POOL CHICAIZA LLUMIQUINGA" u="1"/>
        <s v="JHONNY ALFREDO PUEBLA SANCHEZ" u="1"/>
        <s v="MARIA ISABEL OJEDA GUAMAN" u="1"/>
        <s v="PEDRO FERNANDO MACANCELA VANEGAS" u="1"/>
        <s v="WATLING S.A." u="1"/>
        <s v="ACEROPLUS CIA. LTDA." u="1"/>
        <s v="ZOILA VIRGINIA RAMOS SANCHEZ" u="1"/>
        <s v="NANCY PAULINA PANIMBOZA CHAMBA" u="1"/>
        <s v="COORPOFEGA S.A" u="1"/>
        <s v="LUIS ALFONSO ARGOTI CORTEZ" u="1"/>
        <s v="MARIA ELENA VASQUEZ PACHECO" u="1"/>
        <s v="MARIA FERNANDA VILLALBA AGUILAR" u="1"/>
        <s v="JULIO JAIRO MUENTES MORA" u="1"/>
        <s v="GINA VANESA GUERRA ALCIVAR" u="1"/>
        <s v="MARCIA GANELA APOLO CHAMBA" u="1"/>
        <s v="LARRIEL SCC" u="1"/>
        <s v="JOWEL JOSE DIAZ BATISTA" u="1"/>
        <s v="EFREN GUSTAVO LEDESMA ORELLANA" u="1"/>
        <s v="JANNETH DE LOS ANGELES TORRES TORRES" u="1"/>
        <s v="CONSTRUCTORA OVIEDO PALACIOS COVIPAL S.A" u="1"/>
        <s v="MILVIO SANTIAGO ROGEL JIMBO" u="1"/>
        <s v="FJ SERVINDUSTRIA CIA. LTDA" u="1"/>
        <s v="LOURDES NATALY ZAMBRANO CUVI" u="1"/>
        <s v="DIEGO FRANCISCO MEJIA CORDOVA" u="1"/>
        <s v="CARMEN ROSARIO AVILA GARCIA" u="1"/>
        <s v="INMOBILIARIA INTERNACIONAL CORBAL CIA. L TDA" u="1"/>
        <s v="FRANK FERNANDO PINEDA MARCILLO" u="1"/>
        <s v="TRANSPORTES JOFIELSA S.A." u="1"/>
        <s v="MARCO VINICIO JEREZ ROMERO" u="1"/>
        <s v="EDISON DAVID SANCHEZ COVENA" u="1"/>
        <s v="CHRISTIAN EMILIO QUINTANA NOROÑA" u="1"/>
        <s v="OSCAR FILADELFO OLVERA REYES" u="1"/>
        <s v="IGNACIO ALEJANDRO BUSTAMANTE BRAVO" u="1"/>
        <s v="HONORIO ANTONIO SIMANCAS AGUILAR" u="1"/>
        <s v="CASA PALMA" u="1"/>
        <s v="CODICRES COMPANIA DISTRIBUIDORA CRESPO C IA. LTDA." u="1"/>
        <s v="KUBIEC S.A." u="1"/>
        <s v="FREDDY DANIEL LOACHAMIN CHANO" u="1"/>
        <s v="YALENA GUILLERMINA SABANDO MENDOZA" u="1"/>
        <s v="JUAN PABLO AVILA VASQUEZ" u="1"/>
        <s v="MARIA FERNANDA MANZANILLAS JUMBO" u="1"/>
        <s v="NELSON ANTONIO QUISPE CARRANZA" u="1"/>
        <s v="GARVIT CONSTRUCTORES GCCL CIA.LTDA." u="1"/>
        <s v="INTERNEGOCIOS DE HIERRO S.A." u="1"/>
        <s v="FERRETERIA IVAN Y CELSO SOLIS S.A" u="1"/>
        <s v="ACCISEL S.A.S" u="1"/>
        <s v="CENTRO ACERO S.A. ACEROSA" u="1"/>
        <s v="FREDY GUSTAVO CARAPAZ BOLAÑOS" u="1"/>
        <s v="EDWIN BYRON MONTENEGRO MERCHAN" u="1"/>
        <s v="MATERIALES PARA LA CONSTRUCCION CIVISA S .C.C." u="1"/>
        <s v="FERRETERIA BORJA &amp; HIJOS ADJ CIA. LTDA." u="1"/>
        <s v="VINICIO AMABLE CASTELLANO QUEVEDO" u="1"/>
        <s v="ESTELA MARINA ARROBA MOSCOSO" u="1"/>
        <s v="RUBEN DARIO MONCAYO ANDRADE" u="1"/>
        <s v="EDISON ODILIO CALDERON TORRES" u="1"/>
        <s v="RONALD SEGUNDO CAMACHO GOMEZ" u="1"/>
        <s v="GUILLERMO PASQUEL COMPANIA LIMITADA" u="1"/>
        <s v="LIZ TAMARA RAMOS BARRENO" u="1"/>
        <s v="QUIMPAC ECUADOR S.A QUIMPACSA" u="1"/>
        <s v="JARDINES DE LAS ACACIAS S.A.S." u="1"/>
        <s v="IPDEACERO IDEAS Y PRODUCTOS DE ACERO CIA. LTDA." u="1"/>
        <s v="CONSTRUCTORA CONALBA S.A." u="1"/>
        <s v="PROVEEDORES DE MATERIALES DE CONSTRUCCIÓN PROMACONS CIA LTDA" u="1"/>
        <s v="VICENTE JONY RODRIGUEZ PAILACHO" u="1"/>
        <s v="CECILIA CATALINA CARPIO CORNEJO" u="1"/>
        <s v="ARACELY DEL PILAR ARANA SANGACHA" u="1"/>
        <s v="ANIBAL ANTONIO ALEJANDRO CEVALLOS" u="1"/>
        <s v="RAQUEL ANDREA RODRIGUEZ MENESES" u="1"/>
        <s v="BRAYAN OMAR GARCIA ORDOÑEZ" u="1"/>
        <s v="LUIS ALBERTO MOSCOSO LOAIZA" u="1"/>
        <s v="INMOKENT S.A." u="1"/>
        <s v="LAJIFER CIA. LTDA." u="1"/>
        <s v="INDUSTRIA ACEROS MONTECRISTI IACERMONT SOCIEDAD ANÓNIMA" u="1"/>
        <s v="MARIA VICENTA VERA MARIN" u="1"/>
        <s v="JONNY RUPERTO CEDEÑO CUENCA" u="1"/>
        <s v="ACCIONADISA CONSTRUCTORES S.A." u="1"/>
        <s v="LUZ  AMADA LOJA RAMON" u="1"/>
        <s v="CONSTRUCTORA TRAMO S.A." u="1"/>
        <s v="ENRIQUE RICARDO MOLINA PICHUCHO" u="1"/>
        <s v="ELENA NATHALY REA VACA" u="1"/>
        <s v="PATRICIA VIVIANA CONTRERAS GALLARDO" u="1"/>
        <s v="ACERO COMERCIAL ECUATORIANO S.A." u="1"/>
        <s v="SEVILLA Y MARTINEZ INGENIEROS CA SEMAICA" u="1"/>
        <s v="FABRICIO JOSUE GAVILANES QUEZADA" u="1"/>
        <s v="JAIME FABIAN VILLAVICENCIO FREIRE" u="1"/>
        <s v="MACOA &amp; FERRETERÍA CIA.LTDA." u="1"/>
        <s v="OSMANY FRANCISCO PEÑA CHAVEZ" u="1"/>
        <s v="DAVID ELOY PANTOJA AGUACONDO" u="1"/>
        <s v="FRANCO MAXIMILIANO HERRERA HERRERA" u="1"/>
        <s v="CENTRO TECNICO DE CONSTRUCCIONES" u="1"/>
        <s v="PASEO DEL SUR" u="1"/>
        <s v="DISACEROS" u="1"/>
        <s v="DIEGO ROLANDO TAMAYO ERAZO" u="1"/>
        <s v="SEGUNDO MANUEL VULGARIN MORA" u="1"/>
        <s v="MARIA MAGDALENA POZO VILLAFUERTE" u="1"/>
        <s v="CONSTRUCTORA FISCALIZACIONES Y CONSTRUCCIONES FISYCON CIA. LTDA." u="1"/>
        <s v="JORGE ALEJANDRO JIMENEZ LARRIVA" u="1"/>
        <s v="AVIPECHICHAL S.A." u="1"/>
        <s v="MARIA TERESA TRAVEZ ORTIZ" u="1"/>
        <s v="MACROSUR S.A.S" u="1"/>
        <s v="MATUCORRSA S.A." u="1"/>
        <s v="LEYDI TATIANA BURNEO CELI" u="1"/>
        <s v="ECUHOUSE S.A." u="1"/>
        <s v="SERVICIOS MISCELANEOS E  GONZALEZ SEMEG CIA. LTDA." u="1"/>
        <s v="IDG INICIATIVA DE DESARROLLO GUBERNAMENT AL" u="1"/>
        <s v="FABIAN TRAJANO MOLINA IZQUIERDO" u="1"/>
        <s v="CESAR AUGUSTO VILLAO DELGADO" u="1"/>
        <s v="ARKITRUST S.A." u="1"/>
        <s v="JOSE CARRERA VINUEZA E HIJOS CIA. LTDA." u="1"/>
        <s v="DALMITA LISBETH CAMPOVERDE JUMBO" u="1"/>
        <s v="NIRSA S.A." u="1"/>
        <s v="JOSE CARLOS MARCILLO CAICEDO" u="1"/>
        <s v="ANGELA LEONOR GAIBOR CHUQUIAN" u="1"/>
        <s v="MANUEL ADALBERTO GONZALEZ REYES" u="1"/>
        <s v="INMETSUR INDUSTRIA METALMECANICA S.A." u="1"/>
        <s v="OPALO CONSTRUCTORA CIA. LTDA." u="1"/>
        <s v="MARITZA SILVANA PAREDES HERVAS" u="1"/>
        <s v="MARTHA CECILIA MONTACHANA ROJAS" u="1"/>
        <s v="PROVEEDORA VILLAFUERTE DE ACEROS CIA LTD A" u="1"/>
        <s v="MAGALY MARIBEL GUERRERO ALDAS" u="1"/>
        <s v="FERRETERIA EL CARACOL FERRECARACOL CIA. LTDA." u="1"/>
        <s v="DEMACO, DISTRIBUIDORA DE EQUIPOS Y MATER IALES DE CONSTRUCCION GOMEZ C LTDA" u="1"/>
        <s v="VERONICA NARCISA BRIONES ZAMBRANO" u="1"/>
        <s v="MEGABYCACE CENTROS FERRETEROS S.A." u="1"/>
        <s v="FEHIERRO S.A." u="1"/>
        <s v="LAUTARO MARCELO SANDOVAL GONZALEZ" u="1"/>
        <s v="MEGA MADERAS BRITO LOPEZ S.A." u="1"/>
        <s v="FERROCON MATERIALES  DE CONSTRUCCION Y SERVICIOS" u="1"/>
        <s v="W.S.&amp; A CIA. LTDA." u="1"/>
        <s v="FERREPROCT CIA LTDA." u="1"/>
        <s v="ALLY CAUSAY CONSTRUCCIONES" u="1"/>
        <s v="CONSTRUCTORA INMOBILIARIA LA CUSPIDE S.A . CUSPISA" u="1"/>
        <s v="GRANJAS MARINAS DOBLE A GRAMADA S.A." u="1"/>
        <s v="ELMEQUIP CIA. LTDA." u="1"/>
        <s v="JUANITA HERADIA GONZAGA RIOS" u="1"/>
        <s v="ONEGLOBAL S.A." u="1"/>
        <s v="ROMMEL BYRON ARROYO ROMERO" u="1"/>
        <s v="VIVIANA CECIBEL PALMA MENA" u="1"/>
        <s v="JOFFRE OLEGARY CEDEÑO MUÑOZ" u="1"/>
        <s v="ANDESUPPLY S.A." u="1"/>
        <s v="ZURIDIST CIA. LTDA." u="1"/>
        <s v="REFRACTARIOS MAGNESITA COLOMBIA S.A.S." u="1"/>
        <s v="PATRICIO ROBERTO CHAGUAMATE GUANOQUIZA" u="1"/>
        <s v="COMERCIAL MODICO C.LTDA" u="1"/>
        <s v="CONSTRUCTORA CIUDAD RODRIGO S.A." u="1"/>
        <s v="MULTICENTRO-FERRETERO S.A." u="1"/>
        <s v="INCUBADORA ANDINA INCUBANDINA SOCIEDAD A NONIMA." u="1"/>
        <s v="KATTY PAULINA MORENO VASQUEZ" u="1"/>
        <s v="JUAN CARLOS ANCHUNDIA VINCES" u="1"/>
        <s v="SIDERTECH S. A." u="1"/>
        <s v="DISTRIBUIDORA TOUMA S.A. DITOSA" u="1"/>
        <s v="GRUPO ACERCONS CIA. LTDA." u="1"/>
        <s v="MAURICIO XAVIER FRANCO MERA" u="1"/>
        <s v="IDEAL ALAMBREC S.A." u="1"/>
        <s v="RIPCONCIV CONSTRUCCIONES CIVILES CIA. LT DA." u="1"/>
        <s v="GONZALO IVAN CEPEDA AVENDAÑO" u="1"/>
        <s v="DISTRIBUIDORA Y COMERCIALIZADORA DE HIERRO DICOHIERRO CIA. LTDA." u="1"/>
        <s v="JUAN SANTIAGO CHIMBO GUAMBUGUETE" u="1"/>
        <s v="LUIS ENRIQUE RIVERA ESPINOZA" u="1"/>
        <s v="MANUEL SALVADOR PULLAGUARI PULLAGUARI" u="1"/>
        <s v="BECDACH DIEGO PATRICIO DEL CASTILLO" u="1"/>
        <s v="JORGE FERNANDO GUERRA MENESES" u="1"/>
        <s v="DISTRIBUIDORA VASQUEZ ORDOÑEZ DISTRIVASOR CIA. LTDA." u="1"/>
        <s v="JULIO PATRICIO RODAS BARZALLO" u="1"/>
        <s v="ANITA  LUCIA AVECILLAS  SERRANO" u="1"/>
        <s v="AMBATOL CIA. LTDA." u="1"/>
        <s v="GABRIEL  RODRIGO AMBROSI  ALCIVAR" u="1"/>
        <s v="PEDRO VIMOS CHIMBO" u="1"/>
        <s v="MARCIA BELEN CORO GUANOLUISA" u="1"/>
        <s v="MARIA CARMITA PINEDA SALINAS" u="1"/>
        <s v="JOSE SALOMON MOLINA TOLEDO" u="1"/>
        <s v="ROSA AYDE RODRIGUEZ CORREA" u="1"/>
        <s v="INMOBILIARIA MERIDIONAL S.A. INMERISA" u="1"/>
        <s v="WAITER CASTILLO CORREA" u="1"/>
        <s v="TRUJILLO DUQUE E HIJOS CIA. LTDA." u="1"/>
        <s v="SANCHEZ BENTIEZ JOSE LUIS" u="1"/>
        <s v="DAVID ALEJANDRO GUERRA MENESES" u="1"/>
        <s v="HORTENCIA ELENA GARCIA TORO" u="1"/>
        <s v="SANTIAGO JAVIER PEREZ FLORES" u="1"/>
        <s v="JOSE GREGORIO BRIONES ZAMBRANO" u="1"/>
        <s v="STEELTOWN S.A.S" u="1"/>
        <s v="JORGE ALEJANDRO MURILLO SEGURA" u="1"/>
        <s v="JULIA GARCIA RAMOS" u="1"/>
        <s v="KARINA JOHANA VITERI CHOEZ" u="1"/>
        <s v="DIEGO FERNANDO MENDOZA LEON" u="1"/>
        <s v="GERMANIA MOREANO SINCHIGUANO" u="1"/>
        <s v="FERRO TOLL" u="1"/>
        <s v="JOSE DAVID QUIZHPI CHUNGATA" u="1"/>
        <s v="ALEXANDRA DEL ROSARIO VERA MORENO" u="1"/>
        <s v="INDUSTRIAS METALICAS VERGARA INDUMEVER C IA. LTDA." u="1"/>
        <s v="FRANK XAVIER SANCHEZ BAJANA" u="1"/>
        <s v="EDISON ROBERTO POZO VILLAFUERTE" u="1"/>
        <s v="FERRICRAFT S.A.S." u="1"/>
        <s v="GONDOLAS Y PERCHAS S.A. GONPERSA" u="1"/>
        <s v="GALO ENRIQUE ORELLANA SISALIMA" u="1"/>
        <s v="JOHANA ELIZABETH CABRERA CARRION" u="1"/>
        <s v="SUCESION INDIVISA ASTUDILLO FEIJOO OSWALDO ARTURO" u="1"/>
        <s v="ELENA CONSUELO RIVERA RIVAS" u="1"/>
        <s v="FREDDY JEOVANI ZAPATA INFANTE" u="1"/>
        <s v="LILIAN SUSANA CHILES VILLARREAL" u="1"/>
        <s v="PROCESADORA POSORJA PROPOSORJA S.A." u="1"/>
        <s v="INDUSTRIA DE SOLDADURAS Y METALES INSOMET CIA LTDA." u="1"/>
        <s v="JUAN CARLOS GUERRA FLORES" u="1"/>
        <s v="MIGUEL MAURICIO ANDRADE VALDIVIESO" u="1"/>
        <s v="CIMETCORP S.A." u="1"/>
        <s v="REIPROACERO S A" u="1"/>
        <s v="EDILMA DEL ROCIO MEJIA MOLINA" u="1"/>
        <s v="ANGEL IVAN AUCANSHALA PILATUÑA" u="1"/>
        <s v="JUAN CARLOS SALDAÑA ALULEMA" u="1"/>
        <s v="PEDRO GIOVANNY ALMEIDA OCHOA" u="1"/>
        <s v="EDWIN PATRICIO RAMOS HERNANDEZ" u="1"/>
        <s v="CEHI MACO CIA.LTDA." u="1"/>
        <s v="MARIA VICTORIA CHANGO GUALOTUÑA" u="1"/>
        <s v="GUILLERMO ARTURO TENORIO ARTEAGA" u="1"/>
        <s v="DIEGO EDUARDO CORDERO DIAZ" u="1"/>
        <s v="COHECO S.A." u="1"/>
        <s v="CONSTRUCCIONES CRANBEGAL COMPAÑIA LIMITA DA" u="1"/>
        <s v="MARLON FERNANDO COX LOZADA" u="1"/>
        <s v="CARMEN MARIA ROJAS" u="1"/>
        <s v="PORCINOS DEL ECUADOR ECUAPORK S.A." u="1"/>
        <s v="CONAMAZON S.A." u="1"/>
        <s v="INDUSTRIAPC CIA.LTDA" u="1"/>
        <s v="DIEGO VASQUEZ  GUZMAN" u="1"/>
        <s v="BOLIVAR MAURICIO ARIAS CARDENAS" u="1"/>
        <s v="ROQUE FABRICIO RODRIGUEZ NIEVES" u="1"/>
        <s v="MEGAUNIMAC CIA.LTDA." u="1"/>
        <s v="COMTRANSPEPA S.A" u="1"/>
        <s v="PAPELERA NACIONAL S.A." u="1"/>
        <s v="VICENTE LEONARDO TENEMPAGUAY SANGURIMA" u="1"/>
        <s v="MARGARITA DEL TRANSITO NARANJO" u="1"/>
        <s v="MACROHIERRO S.A." u="1"/>
        <s v="CONSTRUOPTIMUS S.A." u="1"/>
        <s v="AMERICA EMPERATRIZ CABRERA GUZMAN" u="1"/>
        <s v="MOHAMED MOHAMED RADY MAHMOUD" u="1"/>
        <s v="LUIS CESAR CHALEN RODRIGUEZ" u="1"/>
        <s v="JAVIER FERNANDO PANGAY CHAMBA" u="1"/>
        <s v="MIGUEL LEONARDO BRAVO BRAVO" u="1"/>
        <s v="KATTY KARINA SALVATIERRA BRAVO" u="1"/>
        <s v="CARLOS DEIFILIO CASTRO CASTRO" u="1"/>
        <s v="ZHANG XUEJUN" u="1"/>
        <s v="DIRECCION DISTRITAL 13D01 - PORTOVIEJO -  MANABI -MTOP" u="1"/>
        <s v="GERMAN GONZALEZ VINTIMILLA" u="1"/>
        <s v="IMACO IMPORTADORA DE MATERIALES DE CONSTRUCCION CIA LTDA" u="1"/>
        <s v="SISTEMAS DE ESTRUCTURAS METALICAS GERMAN  VILLALBA VALLEJO CIA. LTDA" u="1"/>
        <s v="JUAN CARLOS CALVOPIÑA GARCIA" u="1"/>
        <s v="EDMUNDO ELIAS ORELLANA PALOMEQUE" u="1"/>
        <s v="SEDEMI SERVICIOS DE MECANICA INDUSTRIAL DISENO CONSTRUCCION Y MONTAJE S.C.C." u="1"/>
        <s v="UNACEM ECUADOR S A" u="1"/>
        <s v="MARIA LEONOR VILLAVICENCIO PASTRANO" u="1"/>
        <s v="CECILIA ALEXANDRA CASTILLO TORRES" u="1"/>
        <s v="ANGEL POLIBIO SUQUILANDA LIMA" u="1"/>
        <s v="MEGAPROFER S.A" u="1"/>
        <s v="CONSTRUCCIONES Y PRESTACIONES PETROLERAS  S.A. CPP" u="1"/>
        <s v="ARACELY VICENTA JAIME GIL" u="1"/>
        <s v="DANIEL SIGUENZA RIVERA S.A." u="1"/>
        <s v="COMISARIATO DEL CONSTRUCTOR S.A. COMITRUCTOR" u="1"/>
        <s v="DISEÑOS, CONSTRUCCIONES Y MONTAJES S.A. DICOMONSA" u="1"/>
        <s v="SILVIO RAFAEL BRITO GAVILANES" u="1"/>
        <s v="SUMINISTROS INDUSTRIALES &amp; PETROLEROS SUMINPETRO CIA.LTDA" u="1"/>
        <s v="PUBLIMAGIC S.A." u="1"/>
        <s v="SILVIA KARINA PASQUEL PANCHI" u="1"/>
        <s v="MULTI&amp;FERRY S.A." u="1"/>
        <s v="ACERIA DEL ECUADOR C. A. ADELCA" u="1"/>
        <s v="KLEVER JAIME CALDERON APOLO" u="1"/>
        <s v="ECUAFERRI S.A. ECUAFERRI S.A." u="1"/>
        <s v="CENTRO FERRETERO SAN AGUSTIN SOCIEDAD CI VIL" u="1"/>
        <s v="MAQHAYES S.A." u="1"/>
        <s v="CONSORCIO CHINCHIPE." u="1"/>
        <s v="MATERIALES DE CONSTRUCCION CEREZO OROZCO CEOMACON S.A.S" u="1"/>
        <s v="JOSE PATRICIO ZAMBRANO ORQUERA" u="1"/>
        <s v="JORGE OSWALDO MALDONADO FIALLO" u="1"/>
        <s v="ANGEL DESIDERIO VISCAINO TUCTO" u="1"/>
        <s v="PROCESADORA NACIONAL DE ALIMENTOS C.A. P RONACA" u="1"/>
        <s v="MILTON RAMIRO SINGAUCHO HERRERA" u="1"/>
        <s v="PAUL DAVID ROCA REYNA" u="1"/>
        <s v="OTTO PARTE CIA LTDA." u="1"/>
        <s v="SERVICIOS DE INGENIERIA ESPECIALIZADA SIMOUTECUADOR S.A." u="1"/>
        <s v="ELOT, CONSTRUCCIONES Y SERVICIOS C.LTDA." u="1"/>
        <s v="ESTRUCTURA, CONSTRUCCION E INGENIERIA ES COING CIA. LTDA." u="1"/>
        <s v="LUCAS HERMENEGILDO FAREZ CHUMBI" u="1"/>
        <s v="PEDRO SILVERIO FERNANDEZ ZHAGÑAY" u="1"/>
        <s v="MULTICOMERCIO MATUTE AYLLON MULTIMATUTE S.A." u="1"/>
        <s v="NELVA JACQUELINE TENEZACA BRAVO" u="1"/>
        <s v="JAIME ENRIQUE CANCHIG TOAPANTA" u="1"/>
        <s v="CORPORACION EL ROSADO S.A." u="1"/>
        <s v="MACOFE S.A." u="1"/>
        <s v="GILDA LILIANA RAMON QUEZADA" u="1"/>
        <s v="LUIS GONZALO BENITES GUANIN" u="1"/>
        <s v="JOSE MANUEL SUAREZ MOGRO" u="1"/>
        <s v="MIGUEL ARMANDO VACA ROJAS" u="1"/>
        <s v="LUZ VIVIANA SANCHEZ GUARTAN" u="1"/>
        <s v="FERROMARK COMPAÑIA CUENTAS EN PARTICIPACION" u="1"/>
        <s v="ALEX RENE PATIÑO CEDEÑO" u="1"/>
        <s v="ALEJANDRO ANTONIO HERNANDEZ RIVAS" u="1"/>
        <s v="BOTPINTRANSP S.A." u="1"/>
        <s v="CONSTRUCTORA DEL  PACIFICO S.A." u="1"/>
        <s v="WILLINGTON JAVIER VIMOS CHICAIZA" u="1"/>
        <s v="SILVIA PATRICIA BENAVIDES REVELO" u="1"/>
        <s v="YAVAMAL S.A." u="1"/>
        <s v="SERVIMETAL CIA. LTDA." u="1"/>
        <s v="INMOBILIARIA PIEDRA HUASI S.A" u="1"/>
        <s v="KARINA ALEXANDRA YUQUILIMA UZHCA" u="1"/>
        <s v="INGENIERIA Y CONSTRUCCIÓN VINCO S.A." u="1"/>
        <s v="GALVANIZADORA DEL AUSTRO GALVAUSTRO CIA. LTDA." u="1"/>
        <s v="PAULINA MERCEDES PUCO TOAPANTA" u="1"/>
        <s v="PATRICIA FERNANDA REQUELME ROSARIO" u="1"/>
        <s v="FERVA S.A.S." u="1"/>
        <s v="MEGA-GENERAL S.A. MEGAGENERALSA" u="1"/>
        <s v="ALVIAL-CORP S.A.S" u="1"/>
        <s v="ANDREW LEONARDO LOPEZ GIBBS" u="1"/>
        <s v="CONSTRUCTORA GEOVILOBRAS CIA.LTDA." u="1"/>
        <s v="CRISTIAN FERNANDO SANTO MISE" u="1"/>
        <s v="DARWIN JACKSON AGUIRRE PALACIOS" u="1"/>
        <s v="PTM STUDIO DESIGN S.A." u="1"/>
        <s v="FERRETOL CIA. LTDA." u="1"/>
        <s v="OSPINING S.A." u="1"/>
        <s v="PABLO ANDRES CHASIQUIZA CAMPANA" u="1"/>
        <s v="CONSTRUCTORA STEEL PRIME CONSTRUCTORASTE EL CIA.LTDA." u="1"/>
        <s v="DIANA CAROLINA AMBROSI DOMINGUEZ" u="1"/>
        <s v="NESTOR OLMEDO LEON MOROCHO" u="1"/>
        <s v="MONICA AMPARO MUÑOZ VELASQUEZ" u="1"/>
        <s v="GARDENIA ESTEFANIA TIGRERO BRAVO" u="1"/>
        <s v="MATERIALES DE VIVIENDAS MAVISA S. A." u="1"/>
        <s v="HUMBERTO AMADEO LEON LEON" u="1"/>
        <s v="PROMECONS PRODUCTOS METALICOS DE CONSTRUCCION PMCC" u="1"/>
        <s v="MARIA DEL CARMEN ITURRALDE ARROBO" u="1"/>
        <s v="HERRATEQ CIA. LTDA." u="1"/>
        <s v="LENIN MAURICIO RODAS LEON" u="1"/>
        <s v="HUGO MANUEL PESANTEZ PERALTA" u="1"/>
        <s v="MEGAACEROSOLIS S.A" u="1"/>
        <s v="KLEVER HERNAN VERA VALLADARES" u="1"/>
        <s v="HILDA LORENA JARA DELGADO" u="1"/>
        <s v="PRECISION INDUSTRIAL DEL ECUADOR PREINDE C S.A." u="1"/>
        <s v="CARLOS TOAPANTA COMPANIA DE COMERCIO CIA . LTDA." u="1"/>
        <s v="ALBA MARIA CANO LASTRA" u="1"/>
        <s v="CONSTRUCCION CON METAL ALLMETAL S.A." u="1"/>
        <s v="JOSE ANTONIO SAENZ RONQUILLO" u="1"/>
        <s v="MISHELL FATIMA TANA GRANIZO" u="1"/>
        <s v="MARUJA NOEMI GONZALEZ GONZALEZ" u="1"/>
        <s v="CARLOS ALBERTO OCHOA NAVARRO" u="1"/>
        <s v="TERESA ELIZABETH VIVAR MACAS" u="1"/>
        <s v="GLADYS JACQUELINE MEDRANDA LOOR" u="1"/>
        <s v="AGUILAR OROZCO SANTOS EULIDIO" u="1"/>
        <s v="METALICAS ELECTRICAS MACIAS &amp; PARRA METALECTRI CIA. LTDA." u="1"/>
        <s v="WILBER RAUL MEJIA BARONA" u="1"/>
        <s v="VICTOR OSWALDO FREIRE DIAZ" u="1"/>
        <s v="SILVIO YOVANI ALVARADO HURTADO" u="1"/>
        <s v="TABACAFI TABACALERA CAPA FINA S.A." u="1"/>
        <s v="CONSORCIO L.A.N. LATACUNGA ACCESO  NORTE" u="1"/>
        <s v="COMPAÑIA VERDU SOCIEDAD ANONIMA" u="1"/>
        <s v="WANERGE RODRIGO ARRICIAGA ALVARADO" u="1"/>
        <s v="IMPORDYCOM S.A." u="1"/>
        <s v="ANGEL NOLBERTO CHASI PASTO" u="1"/>
        <s v="MARCO VINICIO QUIÑONEZ QUIÑONEZ" u="1"/>
        <s v="CARLOS ARCENIO HUERA" u="1"/>
        <s v="CHILLO CLUB CAMPESTRE S.A." u="1"/>
        <s v="ESTRUCTURAS DE HIERRO EDEHSA S.A." u="1"/>
        <s v="ENRRY NIBALDO SARANGO CORREA" u="1"/>
        <s v="COMPAÑIA DE CONSTRUCCION VIALCE S.A." u="1"/>
        <s v="GALO JAVIER BELTRAN RIVERA" u="1"/>
        <s v="FORAS S.A.S." u="1"/>
        <s v="PLADECO S.A." u="1"/>
        <s v="EDWIN SANTIAGO VACA ARCENTALES" u="1"/>
        <s v="JOSE NOLASCO PERERO VILLON" u="1"/>
        <s v="SERTECPET S.A" u="1"/>
        <s v="FULLCONSTRU S.A." u="1"/>
        <s v="TODD GERARD SMITH" u="1"/>
        <s v="MARIA GABRIELA TORRES MORALES" u="1"/>
        <s v="JESSY LORENA VILLAFUERTE MASABANDA" u="1"/>
        <s v="NORMA FABIOLA ESPINEL PALLO" u="1"/>
        <s v="LUIS SANTIAGO CAGUANA CORDERO" u="1"/>
        <s v="SANTIAGO JAVIER SOLIS CRIOLLO" u="1"/>
        <s v="CONSTRUCTORA DAOBANG S.A. CONDAO" u="1"/>
        <s v="PREDIAL, AGRICOLA E INDUSTRIAL RIELBAS S" u="1"/>
        <s v="VLADIMIR IGNACIO VITERI POLIT" u="1"/>
        <s v="MAC REPRESENTACIONES S.C.C" u="1"/>
        <s v="EDINSON EDUARDO ROBLES MARTINEZ" u="1"/>
        <s v="ACEVIL S.A." u="1"/>
        <s v="HIEDISEÑO S.A." u="1"/>
        <s v="MARCELO GUILLERMO GUAMAN BACUILIMA" u="1"/>
        <s v="SERVICIOS &amp; MATERIALES DE CONSTRUCCION- SEDIMACOM CIA.LTDA." u="1"/>
        <s v="MARCO VINICIO MENA ESTRELLA" u="1"/>
        <s v="SANDRA EULALIA SARMIENTO SARMIENTO" u="1"/>
        <s v="DISEÑO Y CONSTRUCCIONES HIDROSANITARIAS S.A. DICONHISA" u="1"/>
        <s v="CONSTRUCTORA GALILEA CONSGALILEA S.A" u="1"/>
        <s v="PROMACONS COMPAÑIA CUENTAS EN PARTICIPACION" u="1"/>
        <s v="DISTRIBUIDORA DEL CAJAS SA" u="1"/>
        <s v="COMERCIAL CANO LASTRA COMPAÑIA LIMITADA" u="1"/>
        <s v="FERRETERIAS FERRIGONZ S.A." u="1"/>
        <s v="MARIA GERMANIA VERA INTRIAGO" u="1"/>
        <s v="COMPAÑIA CONSTRUCTORA CONSDECALA CIA. LT DA." u="1"/>
        <s v="OLGA JANET ELINAN MOREIRA" u="1"/>
        <s v="HERMAPROVE, HERRAMIENTAS, MATERIALES Y P ROVEDURIA S.A." u="1"/>
        <s v="ANGEL FILIMON CASCO MARIÑO" u="1"/>
        <s v="SANTAMARIA EXPRESS SANEX S.A.S." u="1"/>
        <s v="MANTSOLUTION SAS" u="1"/>
        <s v="FANNY ROSA BEATRIZ URRESTA BURBANO" u="1"/>
        <s v="VANFERRYCORD FERRETERIA E INDUSTRIA CIA. LTDA." u="1"/>
        <s v="WILMA ETELVINA PLACES TENEDA" u="1"/>
        <s v="FESURCAP CIA. LTDA." u="1"/>
        <s v="EXPORTQUILSA &amp; PRODUCTORES ASOCIADOS S.A." u="1"/>
        <s v="CONSTRUCTORA BOTAREL CIA LTDA" u="1"/>
        <s v="FERROCARRERA CIA.LTDA." u="1"/>
        <s v="INTEGRADORA TECNOLOGICA DE SOLUCIONES , SOCIEDAD ANONIMA" u="1"/>
        <s v="IMPORTADORA ORTEGA CIA. LTDA." u="1"/>
        <s v="ELSA PAULINA NEGRETE MORALES" u="1"/>
        <s v="METROCUADRADO COMPANIA LIMITADA" u="1"/>
        <s v="SOFIA ISABEL ESCANDON VALDEZ" u="1"/>
        <s v="ARNULFO RUPERTO PATIÑO CARRION" u="1"/>
        <s v="DIOGENES GEOVANNY MERA VILLAVICENCIO" u="1"/>
        <s v="OFISNA CIA. LTDA" u="1"/>
        <s v="ROLANDO GUSTAVO ORTEGA CANDO" u="1"/>
        <s v="MAIRA ROCIO TUAREZ COBEÑA" u="1"/>
        <s v="JORGE FERNANDO LEON RIZZO" u="1"/>
        <s v="EQUIPOS Y TRANSPORTES S.A. EQUITRANSA" u="1"/>
        <s v="PROMACONS S.C" u="1"/>
        <s v="MARTHA PIEDAD PILA CENTENO" u="1"/>
        <s v="EDUARDO EFREN CASTILLO BARAHONA" u="1"/>
        <s v="MARTHA LEONOR SANCHEZ QUILAMBAQUI" u="1"/>
        <s v="DIANA ROCIO VELEZ MONTES" u="1"/>
        <s v="LANDCO CONSTRUCTORS S.A." u="1"/>
        <s v="GUSTAVO ADOLFO CASTELLANOS BARRERA" u="1"/>
        <s v="HYPERCONS S.C.C." u="1"/>
        <s v="PILAR ASUNCION ZAMBRANO GANCHOZO" u="1"/>
        <s v="ALEXANDRA ELIZABETH CONTRERAS GALLARDO" u="1"/>
        <s v="JUAN CARLOS TAPIA MOROCHO" u="1"/>
        <s v="JAVIER ALFONSO JACOME MONCAYO" u="1"/>
        <s v="DIMENSIONS S.A." u="1"/>
        <s v="ANGEL GIOVANNI TAPIA MANOTOA" u="1"/>
        <s v="JOSE EDUARDO ULCUANGO QUIMBIAMBA" u="1"/>
        <s v="GONZALO FERNANDO ERAZO CELI" u="1"/>
        <s v="MACROSUR S.A.S." u="1"/>
        <s v="JULIO OSWALDO LUDEÑA NAVARRETE" u="1"/>
        <s v="MATERIALES DE CONSTRUCCION MACON S.A." u="1"/>
        <s v="ACERCONS-QUITO CIA. LTDA." u="1"/>
        <s v="SISTEMAS ARQUITECTONICOS ARKILIT S.A." u="1"/>
        <s v="FERSAMAX S.A." u="1"/>
        <s v="PAULINO EPIFANIO SEME CALDERON" u="1"/>
        <s v="DIEGO FERNANDO VERGARA AMAYA" u="1"/>
        <s v="TUNDRA S.A" u="1"/>
        <s v="SERVICIO DE HIERROS HERAS &amp; HERAS  SERVIHIERROS S.A" u="1"/>
        <s v="UMBRELLA-CONS S.A.S" u="1"/>
        <s v="CESAR PAQUITO ROMERO PINARGOTE" u="1"/>
        <s v="LUIS ALFREDO SANCHEZ ENDARA" u="1"/>
        <s v="HIDALGO E HIDALGO S.A" u="1"/>
        <s v="INDUSTRIA MCMGRINEC S.A." u="1"/>
        <s v="CORPORACION JAVE S.A." u="1"/>
        <s v="QUELI MARCELA AGUILAR VIVANCO" u="1"/>
        <s v="GALJOSA S.A" u="1"/>
        <s v="ADHEPLAST S.A." u="1"/>
        <s v="MEGAMETALES S.A." u="1"/>
        <s v="METALES INYECTADOS METAIN S.A." u="1"/>
        <s v="RAMON LEONIDAS HIDALGO ZAMBRANO" u="1"/>
        <s v="GERONIMO ONETO GERONETO S.A." u="1"/>
        <s v="VICTOR MANUEL GARCIA SAMANIEGO" u="1"/>
        <s v="DERMIGON DERIVADOS DE HORMIGON S.A." u="1"/>
        <s v="DIEGO BLADIMIR MEDINA TERAN" u="1"/>
        <s v="CONSTRUCTORA CONTRERAS HERMANOS CONTREHNOS CIA. LTDA." u="1"/>
        <s v="LEONIDAS COFRE CHILUISA" u="1"/>
        <s v="LILIANA CATALINA CALLE JARA" u="1"/>
        <s v="GAFCA INGENIERIA, INSPECCION Y AMBIENTE" u="1"/>
        <s v="PATRICIO JAVIER MATOVELLE LASO" u="1"/>
        <s v="COMPAÑIA BELTRAN OVIEDO CIABELTRO S.A.S." u="1"/>
        <s v="POSTESAD PREFABRICADOS DE HORMIGON CIA.L TDA." u="1"/>
        <s v="MEGAFERRACONS S.A." u="1"/>
        <s v="ASTRID DEYANIRA LEON CASTRO" u="1"/>
        <s v="GLORIA ESTHELA ORDOÑEZ MURILLO" u="1"/>
        <s v="PROYECTOS OSIN BYRON S. ANTAMBA COMPAÑIA  ANÓNIMA" u="1"/>
        <s v="PABLO HERNAN BETANCOURT SANCHEZ" u="1"/>
        <s v="CHRISTIAN ANDRES COBOS NUÑEZ" u="1"/>
        <s v="PIEDAD GUADALUPE FIERRO ANDRADE" u="1"/>
        <s v="SERVICIOS METALURGICOS S.A SERMET" u="1"/>
        <s v="TRANSPORTES DEL RIO DE COTOPAXI TRANSRIOCOT S.A." u="1"/>
        <s v="DIANA CAROLINA AGUIAR ALVAREZ" u="1"/>
        <s v="FERNANDA ELIZABETH ALARCON CORREA" u="1"/>
        <s v="DISTRIBUIDORA DEL NORTE S.A. DISTRANORTS" u="1"/>
        <s v="ARCHITEKTON S.A." u="1"/>
        <s v="JAIME ENRIQUE CUCALON YCAZA" u="1"/>
        <s v="MARCO VINICIO CHASI YANCHAGUANO" u="1"/>
        <s v="MARCO ANTONIO PUCO BUENAÑO" u="1"/>
        <s v="DEPODECON S.A." u="1"/>
        <s v="METALAUSTROFERRETERIA CIA. LTDA." u="1"/>
        <s v="MONICA BEATRIZ ROBLES GARCIA" u="1"/>
        <s v="FAUSTO ANTONIO MENA ZAPATA" u="1"/>
        <s v="PATRICIO GRANDA GONZALEZ" u="1"/>
        <s v="CLARA NARCIZA SANTILLAN CARGUA" u="1"/>
        <s v="FERRETERIA ANDRADE#1 S.A.S." u="1"/>
        <s v="DANIEL EDUARDO ILLINGWORTH CHAVEZ" u="1"/>
        <s v="VICENTE KARIM MANSSUR FERNANDEZ" u="1"/>
        <s v="SELENA ANGELA LINO TUMBACO" u="1"/>
        <s v="WILMAN REMBERTO ALVARIO BUSTAMANTE" u="1"/>
        <s v="MAXIMO EDGAR QUEZADA VILLAVICENCIO" u="1"/>
        <s v="CONSTRUFERIAS S.A." u="1"/>
        <s v="MARCO ANTONIO PINOS MONTENEGRO" u="1"/>
        <s v="FABRICACION Y DISTRIBUCION DE HERRAJES E LECTRICOS - FADHELEC CIA. LTDA." u="1"/>
        <s v="HILANTEX S.A." u="1"/>
        <s v="JUAN IVAN VILLACIS SAA" u="1"/>
        <s v="VINICIO HERNAN SORIA VARGAS" u="1"/>
        <s v="METALMARK SA." u="1"/>
        <s v="CONSTRUCTORA SERRANO-DIAZ SEDICA CIA.LTD" u="1"/>
        <s v="AVICOLA SAN ISIDRO S.A. AVISID" u="1"/>
        <s v="ESLIVE S.A" u="1"/>
        <s v="SANDOVAL BUILDING DESING &amp; CONSTRUCTION SBDC CIA.LTDA." u="1"/>
        <s v="ERIKA GABRIELA ALVARADO CRESPO" u="1"/>
        <s v="PROACERO S.C.C. PROVEEDORES DE ACERO SOCIEDAD CIVIL COMERCIAL" u="1"/>
        <s v="HACIENDA OLONCHE FINCASOLON S. A." u="1"/>
        <s v="INDUSTRIAL PESQUERA SANTA PRISCILA S.A." u="1"/>
        <s v="INVERSIONES INMOBILIARIAS GUAYAQUIL IGSA  S.A." u="1"/>
        <s v="FREDDY LEONCIO LLAMBA CEVALLOS" u="1"/>
        <s v="HECTOR OSWALDO ROSADO BRAVO" u="1"/>
        <s v="ANGEL WASHINGTON ROMERO ZUMBA" u="1"/>
        <s v="PMJ ARQUITECTOS CIA. LTDA." u="1"/>
        <s v="CONSORCIO COPANEC Y ROMERO ASOCIADOS" u="1"/>
        <s v="MARIELA MARIA BADILLO VERGARA" u="1"/>
        <s v="CONSORCIO VIRGEN DE LA NUBE" u="1"/>
        <s v="JOSE RICARDO GUATIBONZA SUAREZ" u="1"/>
        <s v="BETTY MAGALY VEGA AVEROS" u="1"/>
        <s v="RAFAEL HUMBERTO SORIA AVELLAN" u="1"/>
        <s v="LUIS ALBERTO ORTEGA NEIRA" u="1"/>
        <s v="INMOMARIUXI C.A." u="1"/>
        <s v="RIMA ACEROS Y ACABADOS PARA LA CONSTRUCCION" u="1"/>
        <s v="ILIANA BELGICA LOZANO GONGORA" u="1"/>
        <s v="ELECTNER S.A." u="1"/>
        <s v="ELBA FANNI CARDENAS DIAZ" u="1"/>
        <s v="CESAR VALENTIN ROGEL JARA" u="1"/>
        <s v="MARIA CONSOLACION LEMA CARRASCO" u="1"/>
        <s v="DAVID ALEXANDER SILVA MERA" u="1"/>
        <s v="BIGPOSTE C.A." u="1"/>
        <s v="BERTHA AMARILES ESCOBAR ARGUERO" u="1"/>
        <s v="COMERCIALIZADORA IMPORTADORA FERROMAX" u="1"/>
        <s v="MARCO AUGUSTO GONZAGA LOAIZA" u="1"/>
        <s v="YASMINA MAXCENY RODRIGUEZ BRAVO" u="1"/>
        <s v="MARIA FERNANDA MANOSALVAS MENDOZA" u="1"/>
        <s v="PROINDUPET CIA. LTDA." u="1"/>
        <s v="ANGEL VINICIO TEJEDOR ERRAEZ" u="1"/>
        <s v="VICTOR SANTIAGO AMAÑA PAUZHI" u="1"/>
        <s v="OBRACIV CIA. LTDA." u="1"/>
        <s v="SOLUCIONES INDUSTRIALES Y PETROLERAS SOLINDPETROL CIA.LTDA" u="1"/>
        <s v="MIGUEL ANGEL ORTEGA LARREA" u="1"/>
        <s v="JESSICA MARISOL CABASCANGO VINUEZA" u="1"/>
        <s v="HUGO PATRICIO CANDO AREQUIPA" u="1"/>
        <s v="PEDRO ADAN LIBERIO SUAREZ" u="1"/>
        <s v="CONSORCIO AGUAS DE BALZAR" u="1"/>
        <s v="NAVALECZA S.A." u="1"/>
        <s v="DORIS PRICILA PACHECO NIVICELA" u="1"/>
        <s v="ARMO SOCIEDAD CIVIL COMERCIAL S.C.C" u="1"/>
        <s v="CHRISTIAN ALEJANDRO BONILLA PILATAXI" u="1"/>
        <s v="IZAFELIX S.A.S" u="1"/>
        <s v="EDITRAX S.A." u="1"/>
        <s v="CASA FERRETERIA FONG S.A. FERREFONG" u="1"/>
        <s v="CONSTRUDISMAT S.A." u="1"/>
        <s v="EDGAR FABIAN PAUTA PULLAGUARI" u="1"/>
        <s v="OMAR LEONARDO PANAMITO BUSTAMANTE" u="1"/>
        <s v="MIGUEL ANGEL MURILLO MAYORGA" u="1"/>
        <s v="LEONARDO VICENTE ERAZO MONTERO" u="1"/>
        <s v="MARCOS RAMIRO CAICEDO CABEZAS" u="1"/>
        <s v="MARIO RODRIGO CARRION BUELE" u="1"/>
        <s v="ORIENFLUVIAL SA" u="1"/>
        <s v="IMPROACERO IMPORTADORA DE PRODUCTOS DE ACERO C LTDA" u="1"/>
        <s v="BINICIO MORENO MARCO" u="1"/>
        <s v="FERRETERIA TABLEROS HERRAJES &amp; AFINES MULTITABLEROS&amp;HERRAJES S.A." u="1"/>
        <s v="DISTRIBUCIONES Y COMERCIO OCHOA AVILA DISCOA C. LTDA." u="1"/>
        <s v="MARCOS EDUARDO CANDO YUMBULEMA" u="1"/>
        <s v="TERESA DE JESUS CONTRERAS LOJANO" u="1"/>
        <s v="FRT CONSTRUCTORES" u="1"/>
        <s v="RUTH ROSALIA VELEZ ABARCA" u="1"/>
        <s v="JORGE RAMIRO SOCASI PACHACAMA" u="1"/>
        <s v="RASCHEL CAROLINA RODRIGUEZ LOZANO" u="1"/>
        <s v="HUGO ALBERTO YANEZ LLAMBA" u="1"/>
        <s v="CARLOS ALBERTO VEGA MARTINEZ" u="1"/>
        <s v="PROVEEDORA DE ACEROS PROACEROS S.A" u="1"/>
        <s v="CIRA CARLOTA ALCIVAR ALCIVAR" u="1"/>
        <s v="COMERCIAL MENDIETA-MUÑOZ S.A.S." u="1"/>
        <s v="ERNESTO GERMANICO VIZUETE MEDINA" u="1"/>
        <s v="SISTEMAS CONSTRULIVIANOS CIA LTDA" u="1"/>
        <s v="CONSORCIO CHACAYACU" u="1"/>
        <s v="LISBETH GEOVANNA SIBRI ROMERO" u="1"/>
        <s v="Viviana Cumanda Celi Teran" u="1"/>
        <s v="GERARDO ORTIZ E  HIJOS CIA. LTDA" u="1"/>
        <s v="MARIA ISABEL GARCIA YEPEZ" u="1"/>
        <s v="EDWIN EFRAIN CASTILLO GARCES" u="1"/>
        <s v="KLEVER FERNANDO PUEBLA GONZALEZ" u="1"/>
        <s v="DARIO RENAN GUEVARA LOPEZ" u="1"/>
        <s v="LUIS JAVIER SOTOMAYOR ORTIZ" u="1"/>
        <s v="GLOBALROMINGENIERIA CORPORACION SKYROM SOLUTIONS S.A." u="1"/>
        <s v="CONSULTORIA Y CONSTRUCCION ICORP INGENIERIA ICORPC S.A." u="1"/>
        <s v="FRANKLIN ILLAPA MOROCHO" u="1"/>
        <s v="PABLO XAVIER CARANGUI LEMA" u="1"/>
        <s v="JUAN PABLO JARA DELGADO" u="1"/>
        <s v="GRANADO ORDOÑEZ VICTOR MANUEL" u="1"/>
        <s v="COMPAÑIA FERRISARIATO AZOGUES FERRIAZOGU ES CIA. LTDA." u="1"/>
        <s v="ILDA ESPERANZA PADILLA GUAMBAÑA" u="1"/>
        <s v="PALACIOSHIDALGO S.A.S" u="1"/>
        <s v="CONSTRUBENTHO CONSTRUCCIONES S.A" u="1"/>
        <s v="ALEX JAVIER RUIZ TINIZARAY" u="1"/>
        <s v="MEGAPRODUCTOS S.A." u="1"/>
        <s v="Geovanna Paola Caiza Tipán" u="1"/>
        <s v="IPAC S.A." u="1"/>
        <s v="MARIA ESTHER ALUISA MALDONADO" u="1"/>
        <s v="ANGEL HERNAN FRANCISCO GALARZA TORRES" u="1"/>
        <s v="COMERCIAL SAN FRANCISCO COMSAFRAN CIA LTDA" u="1"/>
        <s v="SIDERMET SIDERURGICA Y METALES S.A." u="1"/>
        <s v="RONAL SILVERIO DUCHITANGA MOROCHO" u="1"/>
        <s v="MARCIA DUVID JUNTA SIZA" u="1"/>
        <s v="SOCIEDAD CIVIL Y COMERCIAL FERRYBLOQ COT OPAXI SCC" u="1"/>
        <s v="JANETH MARGOTH CANDO PICHUCHO" u="1"/>
        <s v="DIPAC MANTA S.A." u="1"/>
        <s v="ROMEL RENE URIBE LOPEZ" u="1"/>
        <s v="MONICA PATRICIA PAEZ MENA" u="1"/>
        <s v="HENRY EFRAIN QUITO MUYULEMA" u="1"/>
        <s v="JORGE VICENTE SALAZAR SANCHEZ" u="1"/>
        <s v="GLORIA BETTY ALCIVAR CEVALLOS" u="1"/>
        <s v="JORGE RODOLFO DELGADO COPPIANO" u="1"/>
        <s v="SERRESA S.A" u="1"/>
        <s v="GALVANICA CIA. LTDA." u="1"/>
        <s v="NERY STEVEN DIAZ DIAZ" u="1"/>
        <s v="CONSTRUCTORA LEOLFSA S.A." u="1"/>
        <s v="FERNANDA JACQUELINE MOREANO CULQUI" u="1"/>
        <s v="COELSA CIA LTDA" u="1"/>
        <s v="JAVIER ENRIQUE JARAMILLO ARGANDOÑA" u="1"/>
        <s v="METAL MECANICA Y CONSTRUCCIONES ZAMBRANO  METALZAM S.A." u="1"/>
        <s v="MIRYAM EUGENIA SUQUILLO SUAREZ" u="1"/>
        <s v="CARLOS PATRICIO CIFUENTES LOMAS" u="1"/>
        <s v="EDGAR FABIAN LLIVICHUSCA CHACHA" u="1"/>
        <s v="HIERROS DEL ECUADOR HIDELEC S.A." u="1"/>
        <s v="ALVARADO-ORTIZ CONSTRUCTORES CIA. LTDA." u="1"/>
        <s v="MARLON PETER MATUTE JIMENEZ" u="1"/>
        <s v="JOSE MANUEL GONZALEZ CARVACA" u="1"/>
        <s v="GERZAPOSTE S.A." u="1"/>
        <s v="SANTA BARBARA EP" u="1"/>
        <s v="MANUEL GILBERT GARNICA CUEVA" u="1"/>
        <s v="CARLOS WILFRIDO ROMERO NACIPUCHA" u="1"/>
        <s v="MAFRICO S.A." u="1"/>
        <s v="JOSE MANUEL LLUMIQUINGA SUNTAXI" u="1"/>
        <s v="ZHENY ALEXANDRA CORDERO PIEDRA" u="1"/>
        <s v="ARMANDO EFREN CARVAJAL RUIZ" u="1"/>
        <s v="VERONICA LUCILA AMBROSI ALCIVAR" u="1"/>
        <s v="SERMANTI  S.A." u="1"/>
        <s v="ABEL FAUSTO PALACIOS PUCO" u="1"/>
        <s v="MAX FABIAN GUERRA BRAVO" u="1"/>
        <s v="CONDUTO ECUADOR S.A." u="1"/>
        <s v="CESAR OCTAVIO CALLE CALLE" u="1"/>
        <s v="PROCOPET PROYECTOS Y CONSTRUCCIONES PETR OLERAS S.A." u="1"/>
        <s v="MARISIDRA PILAR TUMBACO PONCE" u="1"/>
        <s v="ANGEL GABRIEL QUISHPE ROLDAN" u="1"/>
        <s v="DISPOSTES CIA.LTDA" u="1"/>
        <s v="BERTHA FABIOLA MOLINA HERRERRA" u="1"/>
        <s v="FERRYHOME FERRETERIA Y HOGAR" u="1"/>
        <s v="ROBERTO AGUIRRE HERRERA" u="1"/>
        <s v="MARTIN JOEL LLANOS SARANGO" u="1"/>
        <s v="LUIS ALBERTO  BAQUE CHOEZ" u="1"/>
        <s v="ROBERTA KARINA LOZADA CABRERA" u="1"/>
        <s v="CESAR ANTONIO RIVERA MANCHENO" u="1"/>
        <s v="EDGAR ELADIO JADAN SOLIS" u="1"/>
        <s v="TECNOVOLADURAS S.A." u="1"/>
        <s v="COMERCIAL ZONAMETAL CIA LTDA." u="1"/>
        <s v="MARIA FERNANDA CALLE MACAS" u="1"/>
        <s v="INMOECUADOR S.A." u="1"/>
        <s v="FREDDY GONZALO ERAZO AGUIRRE" u="1"/>
        <s v="METALHIERRO S.A." u="1"/>
        <s v="MARIO IVAN UNUZUNGO CUN" u="1"/>
        <s v="TUVAL S.A." u="1"/>
        <s v="JULIO CESAR MORA UZHCA" u="1"/>
        <s v="LUZ MARINA YUNGASACA ARMIJOS" u="1"/>
        <s v="STOCK - HC CIA LTDA" u="1"/>
        <s v="COMPAÑIA ANONIMA MORETRAN" u="1"/>
        <s v="UNION CEMENTERA NACIONAL UCEM S.A." u="1"/>
        <s v="IVAN MEJIA MARCOS" u="1"/>
        <s v="ASTRID CAROLINA CARANGUI HIDALGO" u="1"/>
        <s v="GEORGE PAUL CACERES ENCALADA" u="1"/>
        <s v="GINSBERG ECUADOR S.A." u="1"/>
        <s v="CARLOS FRANCISCO PEÑA OCHOA" u="1"/>
        <s v="JORGE RAMON ROSADO CEVALLOS" u="1"/>
        <s v="FERRETERIA NACIONAL SAN VICENTE S.A. FERRENSA" u="1"/>
        <s v="WASHMART C. LTDA" u="1"/>
        <s v="MARIA FELICIDAD PESANTEZ GAVILANES" u="1"/>
        <s v="CONSORCIO INMOBILIARIO VELASCO S.A.CONVE L" u="1"/>
        <s v="MERCADONA S.A." u="1"/>
        <s v="DAVID ALEJANDRO DELGADO CASTILLO" u="1"/>
        <s v="EDITH AURORA BAÑO GARCIA" u="1"/>
        <s v="CARLOS STALIN TORO LEON" u="1"/>
        <s v="JULIO CESAR GUACHO LOYA" u="1"/>
        <s v="ANGEL BORIS TRAVEZ RENTERIA" u="1"/>
        <s v="CLARA MARGARITA ALCIVAR CEDEÑO" u="1"/>
        <s v="ALLAN FRANCISCO ILLINGWORTH VILLA" u="1"/>
        <s v="DISTRIBUIDORA COMERCIAL PILA DISMACOPILA  S.A." u="1"/>
        <s v="SILVERSEA S.A." u="1"/>
        <s v="LUIS ALBERTO MOROCHO UZHO" u="1"/>
        <s v="DISPROVIAL S.R.L." u="1"/>
        <s v="FERRETERIA ANDRADE S.A.S." u="1"/>
        <s v="JUAN CARLOS SARMIENTO SARMIENTO" u="1"/>
        <s v="WAGNER PATRICIO ERAZO ESPINOSA" u="1"/>
        <s v="JOSE QUINATOA PISUÑA" u="1"/>
        <s v="DANIEL ELIAS SIGUENZA RIVERA" u="1"/>
        <s v="SALVACERO CIA. LTDA." u="1"/>
        <s v="RVH CONSTRUCTORES DISEÑO CONSTRUCCION Y COMERCIO S.A." u="1"/>
        <s v="COMPAÑIA GUERRERO CONSTRUCCIONES S.A. GUECONSTRUSA" u="1"/>
        <s v="TOTTECCONS CIA LTDA." u="1"/>
        <s v="FERRECONST S.H." u="1"/>
        <s v="MARTIN VALDEZ TASAMBAY" u="1"/>
        <s v="REPAI S.A. REPARACION AGRICOLA INDUSTRIAL" u="1"/>
        <s v="IDMACERO IMPORTADORA DE MATERIALES DE AC ERO CIA. LTDA." u="1"/>
        <s v="RENE DAVID QUEZADA CARCHI" u="1"/>
        <s v="IMPORTADORA - IMPORMEL S.A." u="1"/>
        <s v="MARCO GEOVANNY COFRE YANEZ" u="1"/>
        <s v="FERRETERIA EL REY" u="1"/>
        <s v="HORMICORP S. A. HORMIGONES Y PREFABRICAD OS" u="1"/>
        <s v="MB MAYFLOWER BUFFALOS S.A." u="1"/>
        <s v="ESTRUCTURAS DE ACERO ESACERO S.A." u="1"/>
        <s v="3D-CAPITAL S.A.S." u="1"/>
      </sharedItems>
    </cacheField>
    <cacheField name="Identificación cliente" numFmtId="49">
      <sharedItems containsNonDate="0" containsString="0" containsBlank="1"/>
    </cacheField>
    <cacheField name="Clase de documento" numFmtId="0">
      <sharedItems containsNonDate="0" containsString="0" containsBlank="1"/>
    </cacheField>
    <cacheField name="Numero de referencia" numFmtId="0">
      <sharedItems containsNonDate="0" containsString="0" containsBlank="1"/>
    </cacheField>
    <cacheField name="Texto" numFmtId="14">
      <sharedItems containsNonDate="0" containsString="0" containsBlank="1"/>
    </cacheField>
    <cacheField name="Indicador CME" numFmtId="0">
      <sharedItems containsNonDate="0" containsString="0" containsBlank="1"/>
    </cacheField>
    <cacheField name="Documento financiero" numFmtId="166">
      <sharedItems containsNonDate="0" containsString="0" containsBlank="1"/>
    </cacheField>
    <cacheField name="Fecha de emisión" numFmtId="168">
      <sharedItems containsNonDate="0" containsString="0" containsBlank="1"/>
    </cacheField>
    <cacheField name="Fecha de vencimiento" numFmtId="168">
      <sharedItems containsNonDate="0" containsString="0" containsBlank="1"/>
    </cacheField>
    <cacheField name="Valor inicial" numFmtId="166">
      <sharedItems containsNonDate="0" containsString="0" containsBlank="1"/>
    </cacheField>
    <cacheField name="Por cobrar" numFmtId="166">
      <sharedItems containsNonDate="0" containsString="0" containsBlank="1"/>
    </cacheField>
    <cacheField name="1" numFmtId="0">
      <sharedItems containsNonDate="0" containsString="0" containsBlank="1"/>
    </cacheField>
    <cacheField name="Antigüedad de saldos" numFmtId="2">
      <sharedItems/>
    </cacheField>
    <cacheField name="Agrupación" numFmtId="167">
      <sharedItems containsMixedTypes="1" containsNumber="1" containsInteger="1" minValue="-7" maxValue="-1" count="8">
        <e v="#VALUE!"/>
        <n v="-7" u="1"/>
        <n v="-1" u="1"/>
        <n v="-3" u="1"/>
        <n v="-4" u="1"/>
        <n v="-5" u="1"/>
        <n v="-2" u="1"/>
        <n v="-6" u="1"/>
      </sharedItems>
    </cacheField>
    <cacheField name="Años" numFmtId="1">
      <sharedItems containsSemiMixedTypes="0" containsString="0" containsNumber="1" containsInteger="1" minValue="1900" maxValue="2024" count="10">
        <n v="1900"/>
        <n v="2022" u="1"/>
        <n v="2020" u="1"/>
        <n v="2018" u="1"/>
        <n v="2023" u="1"/>
        <n v="2016" u="1"/>
        <n v="2021" u="1"/>
        <n v="2019" u="1"/>
        <n v="2024" u="1"/>
        <n v="2017"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m/>
    <m/>
    <m/>
    <m/>
    <m/>
    <m/>
    <m/>
    <m/>
    <m/>
    <m/>
    <m/>
    <m/>
    <m/>
    <m/>
    <m/>
    <m/>
    <m/>
    <e v="#VALUE!"/>
    <x v="0"/>
    <n v="1900"/>
  </r>
  <r>
    <x v="0"/>
    <x v="0"/>
    <m/>
    <m/>
    <m/>
    <m/>
    <m/>
    <m/>
    <m/>
    <m/>
    <m/>
    <m/>
    <m/>
    <m/>
    <m/>
    <m/>
    <m/>
    <m/>
    <m/>
    <e v="#VALUE!"/>
    <x v="0"/>
    <n v="1900"/>
  </r>
  <r>
    <x v="0"/>
    <x v="0"/>
    <m/>
    <m/>
    <m/>
    <m/>
    <m/>
    <m/>
    <m/>
    <m/>
    <m/>
    <m/>
    <m/>
    <m/>
    <m/>
    <m/>
    <m/>
    <m/>
    <m/>
    <e v="#VALUE!"/>
    <x v="0"/>
    <n v="1900"/>
  </r>
  <r>
    <x v="1"/>
    <x v="0"/>
    <m/>
    <m/>
    <m/>
    <m/>
    <m/>
    <m/>
    <m/>
    <m/>
    <m/>
    <m/>
    <m/>
    <m/>
    <m/>
    <m/>
    <m/>
    <m/>
    <m/>
    <e v="#VALUE!"/>
    <x v="0"/>
    <n v="1900"/>
  </r>
  <r>
    <x v="0"/>
    <x v="0"/>
    <m/>
    <m/>
    <m/>
    <m/>
    <m/>
    <m/>
    <m/>
    <m/>
    <m/>
    <m/>
    <m/>
    <m/>
    <m/>
    <m/>
    <m/>
    <m/>
    <m/>
    <e v="#VALUE!"/>
    <x v="0"/>
    <n v="1900"/>
  </r>
  <r>
    <x v="0"/>
    <x v="0"/>
    <m/>
    <m/>
    <m/>
    <m/>
    <m/>
    <m/>
    <m/>
    <m/>
    <m/>
    <m/>
    <m/>
    <m/>
    <m/>
    <m/>
    <m/>
    <m/>
    <m/>
    <e v="#VALUE!"/>
    <x v="0"/>
    <n v="1900"/>
  </r>
  <r>
    <x v="0"/>
    <x v="0"/>
    <m/>
    <m/>
    <m/>
    <m/>
    <m/>
    <m/>
    <m/>
    <m/>
    <m/>
    <m/>
    <m/>
    <m/>
    <m/>
    <m/>
    <m/>
    <m/>
    <m/>
    <e v="#VALUE!"/>
    <x v="0"/>
    <n v="1900"/>
  </r>
  <r>
    <x v="0"/>
    <x v="0"/>
    <m/>
    <m/>
    <m/>
    <m/>
    <m/>
    <m/>
    <m/>
    <m/>
    <m/>
    <m/>
    <m/>
    <m/>
    <m/>
    <m/>
    <m/>
    <m/>
    <m/>
    <e v="#VALUE!"/>
    <x v="0"/>
    <n v="1900"/>
  </r>
  <r>
    <x v="0"/>
    <x v="0"/>
    <m/>
    <m/>
    <m/>
    <m/>
    <m/>
    <m/>
    <m/>
    <m/>
    <m/>
    <m/>
    <m/>
    <m/>
    <m/>
    <m/>
    <m/>
    <m/>
    <m/>
    <e v="#VALUE!"/>
    <x v="0"/>
    <n v="1900"/>
  </r>
  <r>
    <x v="0"/>
    <x v="0"/>
    <m/>
    <m/>
    <m/>
    <m/>
    <m/>
    <m/>
    <m/>
    <m/>
    <m/>
    <m/>
    <m/>
    <m/>
    <m/>
    <m/>
    <m/>
    <m/>
    <m/>
    <e v="#VALUE!"/>
    <x v="0"/>
    <n v="1900"/>
  </r>
  <r>
    <x v="0"/>
    <x v="0"/>
    <m/>
    <m/>
    <m/>
    <m/>
    <m/>
    <m/>
    <m/>
    <m/>
    <m/>
    <m/>
    <m/>
    <m/>
    <m/>
    <m/>
    <m/>
    <m/>
    <m/>
    <e v="#VALUE!"/>
    <x v="0"/>
    <n v="1900"/>
  </r>
  <r>
    <x v="0"/>
    <x v="0"/>
    <m/>
    <m/>
    <m/>
    <m/>
    <m/>
    <m/>
    <m/>
    <m/>
    <m/>
    <m/>
    <m/>
    <m/>
    <m/>
    <m/>
    <m/>
    <m/>
    <m/>
    <e v="#VALUE!"/>
    <x v="0"/>
    <n v="19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m/>
    <m/>
    <m/>
    <m/>
    <m/>
    <x v="0"/>
    <m/>
    <m/>
    <m/>
    <m/>
    <m/>
    <m/>
    <m/>
    <m/>
    <m/>
    <m/>
    <m/>
    <e v="#VALUE!"/>
    <x v="0"/>
    <x v="0"/>
  </r>
  <r>
    <m/>
    <m/>
    <m/>
    <m/>
    <m/>
    <x v="0"/>
    <m/>
    <m/>
    <m/>
    <m/>
    <m/>
    <m/>
    <m/>
    <m/>
    <m/>
    <m/>
    <m/>
    <e v="#VALUE!"/>
    <x v="0"/>
    <x v="0"/>
  </r>
  <r>
    <m/>
    <m/>
    <m/>
    <m/>
    <m/>
    <x v="0"/>
    <m/>
    <m/>
    <m/>
    <m/>
    <m/>
    <m/>
    <m/>
    <m/>
    <m/>
    <m/>
    <m/>
    <e v="#VALUE!"/>
    <x v="0"/>
    <x v="0"/>
  </r>
  <r>
    <m/>
    <m/>
    <m/>
    <m/>
    <m/>
    <x v="0"/>
    <m/>
    <m/>
    <m/>
    <m/>
    <m/>
    <m/>
    <m/>
    <m/>
    <m/>
    <m/>
    <m/>
    <e v="#VALUE!"/>
    <x v="0"/>
    <x v="0"/>
  </r>
  <r>
    <m/>
    <m/>
    <m/>
    <m/>
    <m/>
    <x v="0"/>
    <m/>
    <m/>
    <m/>
    <m/>
    <m/>
    <m/>
    <m/>
    <m/>
    <m/>
    <m/>
    <m/>
    <e v="#VALUE!"/>
    <x v="0"/>
    <x v="0"/>
  </r>
  <r>
    <m/>
    <m/>
    <m/>
    <m/>
    <m/>
    <x v="0"/>
    <m/>
    <m/>
    <m/>
    <m/>
    <m/>
    <m/>
    <m/>
    <m/>
    <m/>
    <m/>
    <m/>
    <e v="#VALUE!"/>
    <x v="0"/>
    <x v="0"/>
  </r>
  <r>
    <m/>
    <m/>
    <m/>
    <m/>
    <m/>
    <x v="0"/>
    <m/>
    <m/>
    <m/>
    <m/>
    <m/>
    <m/>
    <m/>
    <m/>
    <m/>
    <m/>
    <m/>
    <e v="#VALUE!"/>
    <x v="0"/>
    <x v="0"/>
  </r>
  <r>
    <m/>
    <m/>
    <m/>
    <m/>
    <m/>
    <x v="0"/>
    <m/>
    <m/>
    <m/>
    <m/>
    <m/>
    <m/>
    <m/>
    <m/>
    <m/>
    <m/>
    <m/>
    <e v="#VALUE!"/>
    <x v="0"/>
    <x v="0"/>
  </r>
  <r>
    <m/>
    <m/>
    <m/>
    <m/>
    <m/>
    <x v="0"/>
    <m/>
    <m/>
    <m/>
    <m/>
    <m/>
    <m/>
    <m/>
    <m/>
    <m/>
    <m/>
    <m/>
    <e v="#VALUE!"/>
    <x v="0"/>
    <x v="0"/>
  </r>
  <r>
    <m/>
    <m/>
    <m/>
    <m/>
    <m/>
    <x v="0"/>
    <m/>
    <m/>
    <m/>
    <m/>
    <m/>
    <m/>
    <m/>
    <m/>
    <m/>
    <m/>
    <m/>
    <e v="#VALUE!"/>
    <x v="0"/>
    <x v="0"/>
  </r>
  <r>
    <m/>
    <m/>
    <m/>
    <m/>
    <m/>
    <x v="0"/>
    <m/>
    <m/>
    <m/>
    <m/>
    <m/>
    <m/>
    <m/>
    <m/>
    <m/>
    <m/>
    <m/>
    <e v="#VALUE!"/>
    <x v="0"/>
    <x v="0"/>
  </r>
  <r>
    <m/>
    <m/>
    <m/>
    <m/>
    <m/>
    <x v="0"/>
    <m/>
    <m/>
    <m/>
    <m/>
    <m/>
    <m/>
    <m/>
    <m/>
    <m/>
    <m/>
    <m/>
    <e v="#VALUE!"/>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F3D27A-B4F5-48B6-AFC8-3B08D3F85998}" name="TablaDinámica6" cacheId="29" applyNumberFormats="0" applyBorderFormats="0" applyFontFormats="0" applyPatternFormats="0" applyAlignmentFormats="0" applyWidthHeightFormats="1" dataCaption="Valores" grandTotalCaption="  " updatedVersion="7" minRefreshableVersion="3" itemPrintTitles="1" createdVersion="7" indent="0" compact="0" compactData="0" multipleFieldFilters="0">
  <location ref="R61:S62" firstHeaderRow="1" firstDataRow="1" firstDataCol="1" rowPageCount="1" colPageCount="1"/>
  <pivotFields count="2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descending" defaultSubtotal="0">
      <items count="866">
        <item m="1" x="865"/>
        <item m="1" x="794"/>
        <item m="1" x="231"/>
        <item m="1" x="201"/>
        <item m="1" x="590"/>
        <item m="1" x="418"/>
        <item m="1" x="237"/>
        <item m="1" x="161"/>
        <item m="1" x="41"/>
        <item m="1" x="6"/>
        <item m="1" x="533"/>
        <item m="1" x="605"/>
        <item m="1" x="85"/>
        <item m="1" x="55"/>
        <item m="1" x="146"/>
        <item m="1" x="498"/>
        <item m="1" x="490"/>
        <item m="1" x="108"/>
        <item m="1" x="449"/>
        <item m="1" x="104"/>
        <item m="1" x="750"/>
        <item m="1" x="111"/>
        <item m="1" x="448"/>
        <item m="1" x="344"/>
        <item m="1" x="580"/>
        <item m="1" x="98"/>
        <item m="1" x="840"/>
        <item m="1" x="286"/>
        <item m="1" x="18"/>
        <item m="1" x="781"/>
        <item m="1" x="464"/>
        <item m="1" x="321"/>
        <item m="1" x="388"/>
        <item m="1" x="295"/>
        <item m="1" x="465"/>
        <item m="1" x="107"/>
        <item m="1" x="838"/>
        <item m="1" x="427"/>
        <item m="1" x="549"/>
        <item m="1" x="800"/>
        <item m="1" x="584"/>
        <item m="1" x="755"/>
        <item m="1" x="363"/>
        <item m="1" x="508"/>
        <item m="1" x="74"/>
        <item m="1" x="406"/>
        <item m="1" x="78"/>
        <item m="1" x="690"/>
        <item m="1" x="666"/>
        <item m="1" x="268"/>
        <item m="1" x="222"/>
        <item m="1" x="320"/>
        <item m="1" x="75"/>
        <item m="1" x="221"/>
        <item m="1" x="409"/>
        <item m="1" x="632"/>
        <item m="1" x="263"/>
        <item m="1" x="791"/>
        <item m="1" x="701"/>
        <item m="1" x="564"/>
        <item m="1" x="9"/>
        <item m="1" x="824"/>
        <item m="1" x="621"/>
        <item m="1" x="656"/>
        <item m="1" x="253"/>
        <item m="1" x="316"/>
        <item m="1" x="684"/>
        <item m="1" x="802"/>
        <item m="1" x="672"/>
        <item m="1" x="683"/>
        <item m="1" x="715"/>
        <item m="1" x="379"/>
        <item m="1" x="450"/>
        <item m="1" x="224"/>
        <item m="1" x="495"/>
        <item m="1" x="725"/>
        <item m="1" x="510"/>
        <item m="1" x="394"/>
        <item m="1" x="827"/>
        <item m="1" x="778"/>
        <item m="1" x="130"/>
        <item m="1" x="836"/>
        <item m="1" x="489"/>
        <item m="1" x="787"/>
        <item m="1" x="374"/>
        <item m="1" x="180"/>
        <item m="1" x="705"/>
        <item m="1" x="190"/>
        <item m="1" x="405"/>
        <item m="1" x="220"/>
        <item m="1" x="367"/>
        <item m="1" x="120"/>
        <item m="1" x="202"/>
        <item m="1" x="421"/>
        <item m="1" x="245"/>
        <item m="1" x="808"/>
        <item m="1" x="262"/>
        <item m="1" x="797"/>
        <item m="1" x="598"/>
        <item m="1" x="680"/>
        <item m="1" x="52"/>
        <item m="1" x="511"/>
        <item m="1" x="702"/>
        <item m="1" x="625"/>
        <item m="1" x="186"/>
        <item m="1" x="360"/>
        <item m="1" x="727"/>
        <item m="1" x="839"/>
        <item m="1" x="641"/>
        <item m="1" x="151"/>
        <item m="1" x="191"/>
        <item m="1" x="774"/>
        <item m="1" x="371"/>
        <item m="1" x="17"/>
        <item m="1" x="543"/>
        <item m="1" x="96"/>
        <item m="1" x="10"/>
        <item m="1" x="728"/>
        <item m="1" x="21"/>
        <item m="1" x="299"/>
        <item m="1" x="28"/>
        <item m="1" x="756"/>
        <item m="1" x="50"/>
        <item m="1" x="811"/>
        <item m="1" x="685"/>
        <item m="1" x="2"/>
        <item m="1" x="7"/>
        <item m="1" x="411"/>
        <item m="1" x="821"/>
        <item m="1" x="618"/>
        <item m="1" x="546"/>
        <item m="1" x="514"/>
        <item m="1" x="746"/>
        <item m="1" x="852"/>
        <item m="1" x="505"/>
        <item m="1" x="382"/>
        <item m="1" x="376"/>
        <item m="1" x="796"/>
        <item m="1" x="698"/>
        <item m="1" x="731"/>
        <item m="1" x="423"/>
        <item m="1" x="668"/>
        <item m="1" x="832"/>
        <item m="1" x="504"/>
        <item m="1" x="133"/>
        <item m="1" x="56"/>
        <item m="1" x="35"/>
        <item m="1" x="670"/>
        <item m="1" x="749"/>
        <item m="1" x="491"/>
        <item m="1" x="372"/>
        <item m="1" x="58"/>
        <item m="1" x="408"/>
        <item m="1" x="557"/>
        <item m="1" x="300"/>
        <item m="1" x="217"/>
        <item m="1" x="613"/>
        <item m="1" x="528"/>
        <item m="1" x="451"/>
        <item m="1" x="251"/>
        <item m="1" x="540"/>
        <item m="1" x="466"/>
        <item m="1" x="31"/>
        <item m="1" x="287"/>
        <item m="1" x="772"/>
        <item m="1" x="175"/>
        <item m="1" x="19"/>
        <item m="1" x="655"/>
        <item m="1" x="473"/>
        <item m="1" x="233"/>
        <item m="1" x="706"/>
        <item m="1" x="648"/>
        <item m="1" x="387"/>
        <item m="1" x="741"/>
        <item m="1" x="164"/>
        <item m="1" x="65"/>
        <item m="1" x="440"/>
        <item m="1" x="602"/>
        <item m="1" x="93"/>
        <item m="1" x="135"/>
        <item m="1" x="467"/>
        <item m="1" x="128"/>
        <item m="1" x="265"/>
        <item m="1" x="147"/>
        <item m="1" x="643"/>
        <item m="1" x="849"/>
        <item m="1" x="410"/>
        <item m="1" x="738"/>
        <item m="1" x="468"/>
        <item m="1" x="834"/>
        <item m="1" x="332"/>
        <item m="1" x="682"/>
        <item m="1" x="243"/>
        <item m="1" x="155"/>
        <item m="1" x="105"/>
        <item m="1" x="277"/>
        <item m="1" x="636"/>
        <item m="1" x="611"/>
        <item m="1" x="629"/>
        <item m="1" x="474"/>
        <item m="1" x="575"/>
        <item m="1" x="77"/>
        <item m="1" x="612"/>
        <item m="1" x="370"/>
        <item m="1" x="340"/>
        <item m="1" x="594"/>
        <item m="1" x="179"/>
        <item m="1" x="12"/>
        <item m="1" x="34"/>
        <item m="1" x="248"/>
        <item m="1" x="378"/>
        <item m="1" x="71"/>
        <item m="1" x="583"/>
        <item m="1" x="565"/>
        <item m="1" x="762"/>
        <item m="1" x="139"/>
        <item m="1" x="396"/>
        <item m="1" x="247"/>
        <item m="1" x="539"/>
        <item m="1" x="412"/>
        <item m="1" x="801"/>
        <item m="1" x="844"/>
        <item m="1" x="717"/>
        <item m="1" x="841"/>
        <item m="1" x="542"/>
        <item m="1" x="631"/>
        <item m="1" x="306"/>
        <item m="1" x="318"/>
        <item m="1" x="312"/>
        <item m="1" x="700"/>
        <item m="1" x="420"/>
        <item m="1" x="258"/>
        <item m="1" x="809"/>
        <item m="1" x="779"/>
        <item m="1" x="707"/>
        <item m="1" x="362"/>
        <item m="1" x="532"/>
        <item m="1" x="185"/>
        <item m="1" x="210"/>
        <item m="1" x="347"/>
        <item m="1" x="835"/>
        <item m="1" x="704"/>
        <item m="1" x="401"/>
        <item m="1" x="88"/>
        <item m="1" x="573"/>
        <item m="1" x="204"/>
        <item m="1" x="736"/>
        <item m="1" x="366"/>
        <item m="1" x="518"/>
        <item m="1" x="173"/>
        <item m="1" x="679"/>
        <item m="1" x="678"/>
        <item m="1" x="353"/>
        <item m="1" x="235"/>
        <item m="1" x="289"/>
        <item m="1" x="433"/>
        <item m="1" x="561"/>
        <item m="1" x="234"/>
        <item m="1" x="513"/>
        <item m="1" x="570"/>
        <item m="1" x="659"/>
        <item m="1" x="134"/>
        <item m="1" x="729"/>
        <item m="1" x="657"/>
        <item m="1" x="208"/>
        <item m="1" x="434"/>
        <item m="1" x="864"/>
        <item m="1" x="512"/>
        <item m="1" x="556"/>
        <item m="1" x="261"/>
        <item m="1" x="650"/>
        <item m="1" x="239"/>
        <item m="1" x="552"/>
        <item m="1" x="639"/>
        <item m="1" x="280"/>
        <item m="1" x="630"/>
        <item m="1" x="773"/>
        <item m="1" x="854"/>
        <item m="1" x="285"/>
        <item m="1" x="845"/>
        <item m="1" x="642"/>
        <item m="1" x="206"/>
        <item m="1" x="276"/>
        <item m="1" x="861"/>
        <item m="1" x="200"/>
        <item m="1" x="47"/>
        <item m="1" x="829"/>
        <item m="1" x="716"/>
        <item m="1" x="132"/>
        <item m="1" x="544"/>
        <item m="1" x="470"/>
        <item m="1" x="70"/>
        <item m="1" x="348"/>
        <item m="1" x="342"/>
        <item m="1" x="558"/>
        <item m="1" x="54"/>
        <item m="1" x="283"/>
        <item m="1" x="447"/>
        <item m="1" x="803"/>
        <item m="1" x="592"/>
        <item m="1" x="462"/>
        <item m="1" x="555"/>
        <item m="1" x="177"/>
        <item m="1" x="516"/>
        <item m="1" x="244"/>
        <item m="1" x="182"/>
        <item m="1" x="346"/>
        <item m="1" x="742"/>
        <item m="1" x="193"/>
        <item m="1" x="814"/>
        <item m="1" x="354"/>
        <item m="1" x="664"/>
        <item m="1" x="203"/>
        <item m="1" x="720"/>
        <item m="1" x="521"/>
        <item m="1" x="322"/>
        <item m="1" x="616"/>
        <item m="1" x="604"/>
        <item m="1" x="350"/>
        <item m="1" x="515"/>
        <item m="1" x="46"/>
        <item m="1" x="770"/>
        <item m="1" x="459"/>
        <item m="1" x="477"/>
        <item m="1" x="198"/>
        <item m="1" x="825"/>
        <item m="1" x="752"/>
        <item m="1" x="734"/>
        <item m="1" x="397"/>
        <item m="1" x="341"/>
        <item m="1" x="609"/>
        <item m="1" x="784"/>
        <item m="1" x="442"/>
        <item m="1" x="169"/>
        <item m="1" x="826"/>
        <item m="1" x="497"/>
        <item m="1" x="740"/>
        <item m="1" x="767"/>
        <item m="1" x="622"/>
        <item m="1" x="349"/>
        <item m="1" x="102"/>
        <item m="1" x="586"/>
        <item m="1" x="311"/>
        <item m="1" x="84"/>
        <item m="1" x="129"/>
        <item m="1" x="745"/>
        <item m="1" x="288"/>
        <item m="1" x="307"/>
        <item m="1" x="369"/>
        <item m="1" x="212"/>
        <item m="1" x="577"/>
        <item m="1" x="89"/>
        <item m="1" x="661"/>
        <item m="1" x="665"/>
        <item m="1" x="765"/>
        <item m="1" x="548"/>
        <item m="1" x="482"/>
        <item m="1" x="600"/>
        <item m="1" x="534"/>
        <item m="1" x="780"/>
        <item m="1" x="651"/>
        <item m="1" x="487"/>
        <item m="1" x="189"/>
        <item m="1" x="862"/>
        <item m="1" x="45"/>
        <item m="1" x="333"/>
        <item m="1" x="724"/>
        <item m="1" x="484"/>
        <item m="1" x="696"/>
        <item m="1" x="479"/>
        <item m="1" x="578"/>
        <item m="1" x="309"/>
        <item m="1" x="260"/>
        <item m="1" x="857"/>
        <item m="1" x="188"/>
        <item m="1" x="747"/>
        <item m="1" x="677"/>
        <item m="1" x="398"/>
        <item m="1" x="507"/>
        <item m="1" x="137"/>
        <item m="1" x="153"/>
        <item m="1" x="68"/>
        <item m="1" x="859"/>
        <item m="1" x="560"/>
        <item m="1" x="714"/>
        <item m="1" x="302"/>
        <item m="1" x="228"/>
        <item m="1" x="357"/>
        <item m="1" x="601"/>
        <item m="1" x="662"/>
        <item m="1" x="377"/>
        <item m="1" x="138"/>
        <item m="1" x="345"/>
        <item m="1" x="458"/>
        <item m="1" x="62"/>
        <item m="1" x="270"/>
        <item m="1" x="36"/>
        <item m="1" x="181"/>
        <item m="1" x="328"/>
        <item m="1" x="456"/>
        <item m="1" x="813"/>
        <item m="1" x="226"/>
        <item m="1" x="675"/>
        <item m="1" x="127"/>
        <item m="1" x="154"/>
        <item m="1" x="112"/>
        <item m="1" x="559"/>
        <item m="1" x="199"/>
        <item m="1" x="663"/>
        <item m="1" x="753"/>
        <item m="1" x="216"/>
        <item m="1" x="125"/>
        <item m="1" x="72"/>
        <item m="1" x="823"/>
        <item m="1" x="703"/>
        <item m="1" x="439"/>
        <item m="1" x="633"/>
        <item m="1" x="240"/>
        <item m="1" x="761"/>
        <item m="1" x="114"/>
        <item m="1" x="174"/>
        <item m="1" x="215"/>
        <item m="1" x="582"/>
        <item m="1" x="94"/>
        <item m="1" x="775"/>
        <item m="1" x="391"/>
        <item m="1" x="14"/>
        <item m="1" x="25"/>
        <item m="1" x="156"/>
        <item m="1" x="695"/>
        <item m="1" x="524"/>
        <item m="1" x="157"/>
        <item m="1" x="294"/>
        <item m="1" x="351"/>
        <item m="1" x="230"/>
        <item m="1" x="252"/>
        <item m="1" x="337"/>
        <item m="1" x="317"/>
        <item m="1" x="569"/>
        <item m="1" x="57"/>
        <item m="1" x="426"/>
        <item m="1" x="722"/>
        <item m="1" x="828"/>
        <item m="1" x="768"/>
        <item m="1" x="766"/>
        <item m="1" x="143"/>
        <item m="1" x="492"/>
        <item m="1" x="267"/>
        <item m="1" x="264"/>
        <item m="1" x="343"/>
        <item m="1" x="585"/>
        <item m="1" x="335"/>
        <item m="1" x="783"/>
        <item m="1" x="789"/>
        <item m="1" x="444"/>
        <item m="1" x="519"/>
        <item m="1" x="425"/>
        <item m="1" x="848"/>
        <item m="1" x="671"/>
        <item m="1" x="326"/>
        <item m="1" x="172"/>
        <item m="1" x="81"/>
        <item m="1" x="29"/>
        <item m="1" x="304"/>
        <item m="1" x="400"/>
        <item m="1" x="358"/>
        <item m="1" x="364"/>
        <item m="1" x="846"/>
        <item m="1" x="581"/>
        <item m="1" x="48"/>
        <item m="1" x="652"/>
        <item m="1" x="92"/>
        <item m="1" x="195"/>
        <item m="1" x="744"/>
        <item m="1" x="123"/>
        <item m="1" x="313"/>
        <item m="1" x="290"/>
        <item m="1" x="144"/>
        <item m="1" x="338"/>
        <item m="1" x="117"/>
        <item m="1" x="837"/>
        <item m="1" x="818"/>
        <item m="1" x="22"/>
        <item m="1" x="168"/>
        <item m="1" x="588"/>
        <item m="1" x="319"/>
        <item m="1" x="457"/>
        <item m="1" x="339"/>
        <item m="1" x="393"/>
        <item m="1" x="303"/>
        <item m="1" x="737"/>
        <item m="1" x="486"/>
        <item m="1" x="419"/>
        <item m="1" x="192"/>
        <item m="1" x="109"/>
        <item m="1" x="227"/>
        <item m="1" x="576"/>
        <item m="1" x="171"/>
        <item m="1" x="281"/>
        <item m="1" x="483"/>
        <item m="1" x="710"/>
        <item m="1" x="614"/>
        <item m="1" x="257"/>
        <item m="1" x="91"/>
        <item m="1" x="355"/>
        <item m="1" x="615"/>
        <item m="1" x="106"/>
        <item m="1" x="732"/>
        <item m="1" x="213"/>
        <item m="1" x="118"/>
        <item m="1" x="178"/>
        <item m="1" x="435"/>
        <item m="1" x="806"/>
        <item m="1" x="843"/>
        <item m="1" x="225"/>
        <item m="1" x="674"/>
        <item m="1" x="165"/>
        <item m="1" x="150"/>
        <item m="1" x="599"/>
        <item m="1" x="390"/>
        <item m="1" x="136"/>
        <item m="1" x="314"/>
        <item m="1" x="443"/>
        <item m="1" x="26"/>
        <item m="1" x="739"/>
        <item m="1" x="76"/>
        <item m="1" x="526"/>
        <item m="1" x="232"/>
        <item m="1" x="819"/>
        <item m="1" x="446"/>
        <item m="1" x="531"/>
        <item m="1" x="241"/>
        <item m="1" x="441"/>
        <item m="1" x="386"/>
        <item m="1" x="255"/>
        <item m="1" x="587"/>
        <item m="1" x="788"/>
        <item m="1" x="61"/>
        <item m="1" x="275"/>
        <item m="1" x="568"/>
        <item m="1" x="90"/>
        <item m="1" x="551"/>
        <item m="1" x="269"/>
        <item m="1" x="786"/>
        <item m="1" x="69"/>
        <item m="1" x="315"/>
        <item m="1" x="422"/>
        <item m="1" x="535"/>
        <item m="1" x="324"/>
        <item m="1" x="759"/>
        <item m="1" x="170"/>
        <item m="1" x="5"/>
        <item m="1" x="649"/>
        <item m="1" x="635"/>
        <item m="1" x="686"/>
        <item m="1" x="860"/>
        <item m="1" x="634"/>
        <item m="1" x="184"/>
        <item m="1" x="537"/>
        <item m="1" x="509"/>
        <item m="1" x="718"/>
        <item m="1" x="711"/>
        <item m="1" x="124"/>
        <item m="1" x="385"/>
        <item m="1" x="325"/>
        <item m="1" x="681"/>
        <item m="1" x="101"/>
        <item m="1" x="481"/>
        <item m="1" x="166"/>
        <item m="1" x="754"/>
        <item m="1" x="831"/>
        <item m="1" x="812"/>
        <item m="1" x="688"/>
        <item m="1" x="196"/>
        <item m="1" x="167"/>
        <item m="1" x="30"/>
        <item m="1" x="523"/>
        <item m="1" x="545"/>
        <item m="1" x="735"/>
        <item m="1" x="158"/>
        <item m="1" x="116"/>
        <item m="1" x="404"/>
        <item m="1" x="250"/>
        <item m="1" x="60"/>
        <item m="1" x="254"/>
        <item m="1" x="229"/>
        <item m="1" x="368"/>
        <item m="1" x="140"/>
        <item m="1" x="669"/>
        <item m="1" x="816"/>
        <item m="1" x="712"/>
        <item m="1" x="799"/>
        <item m="1" x="272"/>
        <item m="1" x="103"/>
        <item m="1" x="373"/>
        <item m="1" x="782"/>
        <item m="1" x="141"/>
        <item m="1" x="273"/>
        <item m="1" x="574"/>
        <item m="1" x="572"/>
        <item m="1" x="805"/>
        <item m="1" x="855"/>
        <item m="1" x="494"/>
        <item m="1" x="424"/>
        <item m="1" x="589"/>
        <item m="1" x="478"/>
        <item m="1" x="205"/>
        <item m="1" x="256"/>
        <item m="1" x="308"/>
        <item m="1" x="795"/>
        <item m="1" x="1"/>
        <item m="1" x="647"/>
        <item m="1" x="13"/>
        <item m="1" x="863"/>
        <item m="1" x="282"/>
        <item m="1" x="485"/>
        <item m="1" x="279"/>
        <item m="1" x="4"/>
        <item m="1" x="620"/>
        <item m="1" x="463"/>
        <item m="1" x="606"/>
        <item m="1" x="751"/>
        <item m="1" x="407"/>
        <item m="1" x="11"/>
        <item m="1" x="381"/>
        <item m="1" x="80"/>
        <item m="1" x="833"/>
        <item m="1" x="148"/>
        <item m="1" x="39"/>
        <item m="1" x="776"/>
        <item m="1" x="637"/>
        <item m="1" x="607"/>
        <item m="1" x="815"/>
        <item m="1" x="499"/>
        <item m="1" x="654"/>
        <item m="1" x="562"/>
        <item m="1" x="20"/>
        <item m="1" x="709"/>
        <item m="1" x="694"/>
        <item m="1" x="113"/>
        <item m="1" x="49"/>
        <item m="1" x="445"/>
        <item m="1" x="392"/>
        <item m="1" x="359"/>
        <item m="1" x="149"/>
        <item m="1" x="429"/>
        <item m="1" x="176"/>
        <item m="1" x="32"/>
        <item m="1" x="64"/>
        <item m="1" x="99"/>
        <item m="1" x="79"/>
        <item m="1" x="777"/>
        <item m="1" x="493"/>
        <item m="1" x="389"/>
        <item m="1" x="100"/>
        <item m="1" x="476"/>
        <item m="1" x="638"/>
        <item m="1" x="44"/>
        <item m="1" x="764"/>
        <item m="1" x="417"/>
        <item m="1" x="301"/>
        <item m="1" x="437"/>
        <item m="1" x="16"/>
        <item m="1" x="163"/>
        <item m="1" x="699"/>
        <item m="1" x="197"/>
        <item m="1" x="38"/>
        <item m="1" x="438"/>
        <item m="1" x="771"/>
        <item m="1" x="475"/>
        <item m="1" x="266"/>
        <item m="1" x="86"/>
        <item m="1" x="525"/>
        <item m="1" x="692"/>
        <item m="1" x="566"/>
        <item m="1" x="547"/>
        <item m="1" x="708"/>
        <item m="1" x="152"/>
        <item m="1" x="291"/>
        <item m="1" x="271"/>
        <item m="1" x="713"/>
        <item m="1" x="187"/>
        <item m="1" x="242"/>
        <item m="1" x="471"/>
        <item m="1" x="122"/>
        <item m="1" x="119"/>
        <item m="1" x="431"/>
        <item m="1" x="472"/>
        <item m="1" x="33"/>
        <item m="1" x="624"/>
        <item m="1" x="743"/>
        <item m="1" x="748"/>
        <item m="1" x="67"/>
        <item m="1" x="383"/>
        <item m="1" x="145"/>
        <item m="1" x="246"/>
        <item m="1" x="461"/>
        <item m="1" x="37"/>
        <item m="1" x="236"/>
        <item m="1" x="640"/>
        <item m="1" x="617"/>
        <item m="1" x="298"/>
        <item m="1" x="430"/>
        <item m="1" x="460"/>
        <item m="1" x="593"/>
        <item m="1" x="63"/>
        <item m="1" x="697"/>
        <item m="1" x="159"/>
        <item m="1" x="365"/>
        <item m="1" x="436"/>
        <item m="1" x="323"/>
        <item m="1" x="626"/>
        <item m="1" x="579"/>
        <item m="1" x="517"/>
        <item m="1" x="667"/>
        <item m="1" x="375"/>
        <item m="1" x="619"/>
        <item m="1" x="488"/>
        <item m="1" x="529"/>
        <item m="1" x="23"/>
        <item m="1" x="660"/>
        <item m="1" x="428"/>
        <item m="1" x="356"/>
        <item m="1" x="131"/>
        <item m="1" x="798"/>
        <item m="1" x="126"/>
        <item m="1" x="689"/>
        <item m="1" x="541"/>
        <item m="1" x="571"/>
        <item m="1" x="24"/>
        <item m="1" x="480"/>
        <item m="1" x="726"/>
        <item m="1" x="274"/>
        <item m="1" x="218"/>
        <item m="1" x="623"/>
        <item m="1" x="469"/>
        <item m="1" x="415"/>
        <item m="1" x="110"/>
        <item m="1" x="603"/>
        <item m="1" x="214"/>
        <item m="1" x="673"/>
        <item m="1" x="608"/>
        <item m="1" x="223"/>
        <item m="1" x="723"/>
        <item m="1" x="3"/>
        <item m="1" x="297"/>
        <item m="1" x="361"/>
        <item m="1" x="858"/>
        <item m="1" x="856"/>
        <item m="1" x="87"/>
        <item m="1" x="27"/>
        <item m="1" x="676"/>
        <item m="1" x="310"/>
        <item m="1" x="807"/>
        <item m="1" x="804"/>
        <item m="1" x="73"/>
        <item m="1" x="567"/>
        <item m="1" x="763"/>
        <item m="1" x="292"/>
        <item m="1" x="758"/>
        <item m="1" x="211"/>
        <item m="1" x="380"/>
        <item m="1" x="327"/>
        <item m="1" x="209"/>
        <item m="1" x="82"/>
        <item m="1" x="721"/>
        <item m="1" x="851"/>
        <item m="1" x="95"/>
        <item m="1" x="850"/>
        <item m="1" x="331"/>
        <item m="1" x="658"/>
        <item m="1" x="538"/>
        <item m="1" x="785"/>
        <item m="1" x="550"/>
        <item m="1" x="51"/>
        <item m="1" x="334"/>
        <item m="1" x="527"/>
        <item m="1" x="43"/>
        <item m="1" x="402"/>
        <item m="1" x="249"/>
        <item m="1" x="15"/>
        <item m="1" x="121"/>
        <item m="1" x="645"/>
        <item m="1" x="793"/>
        <item m="1" x="769"/>
        <item m="1" x="520"/>
        <item m="1" x="596"/>
        <item m="1" x="536"/>
        <item m="1" x="432"/>
        <item m="1" x="627"/>
        <item m="1" x="259"/>
        <item m="1" x="455"/>
        <item m="1" x="238"/>
        <item m="1" x="757"/>
        <item m="1" x="305"/>
        <item m="1" x="97"/>
        <item m="1" x="842"/>
        <item m="1" x="416"/>
        <item m="1" x="453"/>
        <item m="1" x="413"/>
        <item m="1" x="502"/>
        <item m="1" x="591"/>
        <item m="1" x="730"/>
        <item m="1" x="399"/>
        <item m="1" x="760"/>
        <item m="1" x="563"/>
        <item m="1" x="693"/>
        <item m="1" x="115"/>
        <item m="1" x="8"/>
        <item m="1" x="336"/>
        <item m="1" x="820"/>
        <item m="1" x="352"/>
        <item m="1" x="53"/>
        <item m="1" x="414"/>
        <item m="1" x="503"/>
        <item m="1" x="810"/>
        <item m="1" x="719"/>
        <item m="1" x="496"/>
        <item m="1" x="522"/>
        <item m="1" x="853"/>
        <item m="1" x="628"/>
        <item m="1" x="183"/>
        <item m="1" x="330"/>
        <item m="1" x="595"/>
        <item m="1" x="817"/>
        <item m="1" x="597"/>
        <item m="1" x="403"/>
        <item m="1" x="142"/>
        <item m="1" x="822"/>
        <item m="1" x="40"/>
        <item m="1" x="553"/>
        <item m="1" x="792"/>
        <item m="1" x="278"/>
        <item m="1" x="219"/>
        <item m="1" x="644"/>
        <item m="1" x="384"/>
        <item m="1" x="610"/>
        <item m="1" x="501"/>
        <item m="1" x="691"/>
        <item m="1" x="207"/>
        <item m="1" x="653"/>
        <item m="1" x="293"/>
        <item m="1" x="733"/>
        <item m="1" x="530"/>
        <item m="1" x="284"/>
        <item m="1" x="847"/>
        <item m="1" x="329"/>
        <item m="1" x="83"/>
        <item m="1" x="506"/>
        <item m="1" x="830"/>
        <item m="1" x="160"/>
        <item m="1" x="500"/>
        <item m="1" x="66"/>
        <item m="1" x="42"/>
        <item m="1" x="452"/>
        <item m="1" x="554"/>
        <item m="1" x="646"/>
        <item m="1" x="59"/>
        <item m="1" x="194"/>
        <item m="1" x="687"/>
        <item m="1" x="454"/>
        <item m="1" x="395"/>
        <item m="1" x="790"/>
        <item m="1" x="162"/>
        <item m="1" x="296"/>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8" outline="0" subtotalTop="0" showAll="0" defaultSubtotal="0"/>
    <pivotField compact="0" outline="0" subtotalTop="0" showAll="0" defaultSubtotal="0"/>
    <pivotField compact="0" numFmtId="166" outline="0" subtotalTop="0" showAll="0" defaultSubtotal="0"/>
    <pivotField dataField="1" compact="0" numFmtId="166" outline="0" subtotalTop="0" showAll="0" defaultSubtotal="0"/>
    <pivotField compact="0" outline="0" subtotalTop="0" showAll="0" defaultSubtotal="0"/>
    <pivotField compact="0" numFmtId="2" outline="0" subtotalTop="0" showAll="0" defaultSubtotal="0"/>
    <pivotField axis="axisPage" compact="0" outline="0" subtotalTop="0" multipleItemSelectionAllowed="1" showAll="0" defaultSubtotal="0">
      <items count="8">
        <item h="1" m="1" x="7"/>
        <item h="1" m="1" x="5"/>
        <item h="1" m="1" x="4"/>
        <item h="1" m="1" x="3"/>
        <item h="1" m="1" x="6"/>
        <item h="1" m="1" x="2"/>
        <item m="1" x="1"/>
        <item h="1" x="0"/>
      </items>
    </pivotField>
    <pivotField compact="0" outline="0" subtotalTop="0" showAll="0" defaultSubtotal="0"/>
  </pivotFields>
  <rowFields count="1">
    <field x="5"/>
  </rowFields>
  <rowItems count="1">
    <i t="grand">
      <x/>
    </i>
  </rowItems>
  <colItems count="1">
    <i/>
  </colItems>
  <pageFields count="1">
    <pageField fld="18" hier="-1"/>
  </pageFields>
  <dataFields count="1">
    <dataField name="Suma de Por Cobrar" fld="15" baseField="0" baseItem="0"/>
  </dataFields>
  <formats count="42">
    <format dxfId="41">
      <pivotArea type="all" dataOnly="0" outline="0"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grandRow="1" outline="0" fieldPosition="0"/>
    </format>
    <format dxfId="29">
      <pivotArea dataOnly="0" labelOnly="1" outline="0" axis="axisValues" fieldPosition="0"/>
    </format>
    <format dxfId="28">
      <pivotArea dataOnly="0" labelOnly="1" outline="0" axis="axisValues" fieldPosition="0"/>
    </format>
    <format dxfId="27">
      <pivotArea dataOnly="0" labelOnly="1" outline="0" axis="axisValues" fieldPosition="0"/>
    </format>
    <format dxfId="26">
      <pivotArea dataOnly="0" labelOnly="1" outline="0" axis="axisValues"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grandRow="1" outline="0" fieldPosition="0"/>
    </format>
    <format dxfId="21">
      <pivotArea dataOnly="0" labelOnly="1" outline="0" axis="axisValues" fieldPosition="0"/>
    </format>
    <format dxfId="20">
      <pivotArea dataOnly="0" labelOnly="1" grandRow="1" outline="0" offset="A256" fieldPosition="0"/>
    </format>
    <format dxfId="19">
      <pivotArea field="5" type="button" dataOnly="0" labelOnly="1" outline="0" axis="axisRow" fieldPosition="0"/>
    </format>
    <format dxfId="18">
      <pivotArea dataOnly="0" labelOnly="1" outline="0" axis="axisValues" fieldPosition="0"/>
    </format>
    <format dxfId="17">
      <pivotArea field="5" type="button" dataOnly="0" labelOnly="1" outline="0" axis="axisRow"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5" type="button" dataOnly="0" labelOnly="1" outline="0" axis="axisRow" fieldPosition="0"/>
    </format>
    <format dxfId="12">
      <pivotArea dataOnly="0" labelOnly="1" outline="0" fieldPosition="0">
        <references count="1">
          <reference field="5" count="50">
            <x v="7"/>
            <x v="27"/>
            <x v="33"/>
            <x v="42"/>
            <x v="64"/>
            <x v="65"/>
            <x v="72"/>
            <x v="80"/>
            <x v="81"/>
            <x v="98"/>
            <x v="101"/>
            <x v="107"/>
            <x v="123"/>
            <x v="131"/>
            <x v="136"/>
            <x v="139"/>
            <x v="143"/>
            <x v="144"/>
            <x v="147"/>
            <x v="149"/>
            <x v="158"/>
            <x v="164"/>
            <x v="165"/>
            <x v="182"/>
            <x v="190"/>
            <x v="192"/>
            <x v="198"/>
            <x v="216"/>
            <x v="218"/>
            <x v="219"/>
            <x v="225"/>
            <x v="226"/>
            <x v="232"/>
            <x v="247"/>
            <x v="248"/>
            <x v="249"/>
            <x v="263"/>
            <x v="265"/>
            <x v="275"/>
            <x v="314"/>
            <x v="324"/>
            <x v="334"/>
            <x v="337"/>
            <x v="351"/>
            <x v="353"/>
            <x v="361"/>
            <x v="366"/>
            <x v="376"/>
            <x v="388"/>
            <x v="400"/>
          </reference>
        </references>
      </pivotArea>
    </format>
    <format dxfId="11">
      <pivotArea dataOnly="0" labelOnly="1" outline="0" fieldPosition="0">
        <references count="1">
          <reference field="5" count="50">
            <x v="406"/>
            <x v="408"/>
            <x v="415"/>
            <x v="417"/>
            <x v="423"/>
            <x v="424"/>
            <x v="428"/>
            <x v="431"/>
            <x v="434"/>
            <x v="437"/>
            <x v="440"/>
            <x v="443"/>
            <x v="447"/>
            <x v="450"/>
            <x v="455"/>
            <x v="462"/>
            <x v="473"/>
            <x v="483"/>
            <x v="490"/>
            <x v="499"/>
            <x v="508"/>
            <x v="517"/>
            <x v="542"/>
            <x v="556"/>
            <x v="558"/>
            <x v="564"/>
            <x v="579"/>
            <x v="580"/>
            <x v="584"/>
            <x v="616"/>
            <x v="618"/>
            <x v="619"/>
            <x v="629"/>
            <x v="635"/>
            <x v="648"/>
            <x v="658"/>
            <x v="664"/>
            <x v="678"/>
            <x v="683"/>
            <x v="689"/>
            <x v="695"/>
            <x v="701"/>
            <x v="702"/>
            <x v="706"/>
            <x v="708"/>
            <x v="734"/>
            <x v="735"/>
            <x v="743"/>
            <x v="744"/>
            <x v="748"/>
          </reference>
        </references>
      </pivotArea>
    </format>
    <format dxfId="10">
      <pivotArea dataOnly="0" labelOnly="1" outline="0" fieldPosition="0">
        <references count="1">
          <reference field="5" count="16">
            <x v="749"/>
            <x v="767"/>
            <x v="776"/>
            <x v="782"/>
            <x v="783"/>
            <x v="784"/>
            <x v="788"/>
            <x v="790"/>
            <x v="792"/>
            <x v="803"/>
            <x v="807"/>
            <x v="809"/>
            <x v="818"/>
            <x v="834"/>
            <x v="843"/>
            <x v="853"/>
          </reference>
        </references>
      </pivotArea>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5" type="button" dataOnly="0" labelOnly="1" outline="0" axis="axisRow" fieldPosition="0"/>
    </format>
    <format dxfId="4">
      <pivotArea dataOnly="0" labelOnly="1" outline="0" fieldPosition="0">
        <references count="1">
          <reference field="5" count="50">
            <x v="7"/>
            <x v="33"/>
            <x v="65"/>
            <x v="98"/>
            <x v="123"/>
            <x v="131"/>
            <x v="139"/>
            <x v="143"/>
            <x v="144"/>
            <x v="147"/>
            <x v="149"/>
            <x v="158"/>
            <x v="165"/>
            <x v="182"/>
            <x v="226"/>
            <x v="247"/>
            <x v="248"/>
            <x v="314"/>
            <x v="324"/>
            <x v="334"/>
            <x v="351"/>
            <x v="361"/>
            <x v="366"/>
            <x v="400"/>
            <x v="406"/>
            <x v="408"/>
            <x v="415"/>
            <x v="417"/>
            <x v="423"/>
            <x v="431"/>
            <x v="440"/>
            <x v="443"/>
            <x v="450"/>
            <x v="473"/>
            <x v="483"/>
            <x v="508"/>
            <x v="558"/>
            <x v="619"/>
            <x v="629"/>
            <x v="635"/>
            <x v="678"/>
            <x v="701"/>
            <x v="749"/>
            <x v="767"/>
            <x v="776"/>
            <x v="782"/>
            <x v="784"/>
            <x v="790"/>
            <x v="792"/>
            <x v="803"/>
          </reference>
        </references>
      </pivotArea>
    </format>
    <format dxfId="3">
      <pivotArea dataOnly="0" labelOnly="1" outline="0" fieldPosition="0">
        <references count="1">
          <reference field="5" count="50">
            <x v="27"/>
            <x v="80"/>
            <x v="81"/>
            <x v="101"/>
            <x v="107"/>
            <x v="190"/>
            <x v="192"/>
            <x v="198"/>
            <x v="216"/>
            <x v="218"/>
            <x v="219"/>
            <x v="225"/>
            <x v="232"/>
            <x v="249"/>
            <x v="265"/>
            <x v="275"/>
            <x v="337"/>
            <x v="353"/>
            <x v="388"/>
            <x v="424"/>
            <x v="428"/>
            <x v="437"/>
            <x v="447"/>
            <x v="455"/>
            <x v="462"/>
            <x v="490"/>
            <x v="499"/>
            <x v="517"/>
            <x v="542"/>
            <x v="556"/>
            <x v="579"/>
            <x v="584"/>
            <x v="616"/>
            <x v="618"/>
            <x v="648"/>
            <x v="658"/>
            <x v="664"/>
            <x v="683"/>
            <x v="695"/>
            <x v="706"/>
            <x v="708"/>
            <x v="734"/>
            <x v="735"/>
            <x v="748"/>
            <x v="788"/>
            <x v="807"/>
            <x v="818"/>
            <x v="834"/>
            <x v="843"/>
            <x v="853"/>
          </reference>
        </references>
      </pivotArea>
    </format>
    <format dxfId="2">
      <pivotArea dataOnly="0" labelOnly="1" outline="0" fieldPosition="0">
        <references count="1">
          <reference field="5" count="16">
            <x v="42"/>
            <x v="64"/>
            <x v="72"/>
            <x v="136"/>
            <x v="164"/>
            <x v="263"/>
            <x v="376"/>
            <x v="434"/>
            <x v="564"/>
            <x v="580"/>
            <x v="689"/>
            <x v="702"/>
            <x v="743"/>
            <x v="744"/>
            <x v="783"/>
            <x v="809"/>
          </reference>
        </references>
      </pivotArea>
    </format>
    <format dxfId="1">
      <pivotArea dataOnly="0" labelOnly="1" grandRow="1" outline="0" fieldPosition="0"/>
    </format>
    <format dxfId="0">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A806F4-060B-42E3-A243-9372CC542764}" name="TablaDinámica5" cacheId="29" applyNumberFormats="0" applyBorderFormats="0" applyFontFormats="0" applyPatternFormats="0" applyAlignmentFormats="0" applyWidthHeightFormats="1" dataCaption="Valores" updatedVersion="7" minRefreshableVersion="3" itemPrintTitles="1" createdVersion="7" indent="0" compact="0" compactData="0" multipleFieldFilters="0">
  <location ref="M61:N62" firstHeaderRow="1" firstDataRow="1" firstDataCol="1" rowPageCount="1" colPageCount="1"/>
  <pivotFields count="2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8" outline="0" subtotalTop="0" showAll="0" defaultSubtotal="0"/>
    <pivotField compact="0" outline="0" showAll="0" defaultSubtotal="0"/>
    <pivotField compact="0" numFmtId="166" outline="0" subtotalTop="0" showAll="0" defaultSubtotal="0"/>
    <pivotField dataField="1" compact="0" numFmtId="166" outline="0" subtotalTop="0" showAll="0" defaultSubtotal="0"/>
    <pivotField compact="0" outline="0" subtotalTop="0" showAll="0" defaultSubtotal="0"/>
    <pivotField compact="0" numFmtId="2" outline="0" subtotalTop="0" showAll="0" defaultSubtotal="0"/>
    <pivotField axis="axisPage" compact="0" outline="0" subtotalTop="0" multipleItemSelectionAllowed="1" showAll="0" defaultSubtotal="0">
      <items count="8">
        <item h="1" m="1" x="6"/>
        <item h="1" m="1" x="2"/>
        <item h="1" m="1" x="7"/>
        <item h="1" m="1" x="3"/>
        <item h="1" m="1" x="5"/>
        <item h="1" m="1" x="4"/>
        <item m="1" x="1"/>
        <item h="1" x="0"/>
      </items>
    </pivotField>
    <pivotField axis="axisRow" compact="0" numFmtId="166" outline="0" subtotalTop="0" showAll="0" defaultSubtotal="0">
      <items count="10">
        <item x="0"/>
        <item m="1" x="4"/>
        <item m="1" x="6"/>
        <item m="1" x="2"/>
        <item m="1" x="7"/>
        <item m="1" x="1"/>
        <item m="1" x="9"/>
        <item m="1" x="3"/>
        <item m="1" x="8"/>
        <item m="1" x="5"/>
      </items>
    </pivotField>
  </pivotFields>
  <rowFields count="1">
    <field x="19"/>
  </rowFields>
  <rowItems count="1">
    <i t="grand">
      <x/>
    </i>
  </rowItems>
  <colItems count="1">
    <i/>
  </colItems>
  <pageFields count="1">
    <pageField fld="18" hier="-1"/>
  </pageFields>
  <dataFields count="1">
    <dataField name="Suma de Por Cobrar" fld="15" baseField="0" baseItem="0"/>
  </dataFields>
  <formats count="41">
    <format dxfId="82">
      <pivotArea type="all" dataOnly="0" outline="0" fieldPosition="0"/>
    </format>
    <format dxfId="81">
      <pivotArea outline="0" collapsedLevelsAreSubtotals="1" fieldPosition="0"/>
    </format>
    <format dxfId="80">
      <pivotArea type="all" dataOnly="0" outline="0" fieldPosition="0"/>
    </format>
    <format dxfId="79">
      <pivotArea outline="0" collapsedLevelsAreSubtotals="1" fieldPosition="0"/>
    </format>
    <format dxfId="78">
      <pivotArea outline="0" collapsedLevelsAreSubtotals="1" fieldPosition="0"/>
    </format>
    <format dxfId="77">
      <pivotArea type="all" dataOnly="0" outline="0" fieldPosition="0"/>
    </format>
    <format dxfId="76">
      <pivotArea outline="0" collapsedLevelsAreSubtotals="1" fieldPosition="0"/>
    </format>
    <format dxfId="75">
      <pivotArea field="19" type="button" dataOnly="0" labelOnly="1" outline="0" axis="axisRow" fieldPosition="0"/>
    </format>
    <format dxfId="74">
      <pivotArea dataOnly="0" labelOnly="1" outline="0" fieldPosition="0">
        <references count="1">
          <reference field="19"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19" type="button" dataOnly="0" labelOnly="1" outline="0" axis="axisRow" fieldPosition="0"/>
    </format>
    <format dxfId="68">
      <pivotArea dataOnly="0" labelOnly="1" outline="0" fieldPosition="0">
        <references count="1">
          <reference field="19" count="0"/>
        </references>
      </pivotArea>
    </format>
    <format dxfId="67">
      <pivotArea dataOnly="0" labelOnly="1" grandRow="1" outline="0" fieldPosition="0"/>
    </format>
    <format dxfId="66">
      <pivotArea dataOnly="0" labelOnly="1" outline="0" axis="axisValues" fieldPosition="0"/>
    </format>
    <format dxfId="65">
      <pivotArea field="19" type="button" dataOnly="0" labelOnly="1" outline="0" axis="axisRow" fieldPosition="0"/>
    </format>
    <format dxfId="64">
      <pivotArea dataOnly="0" labelOnly="1" outline="0" axis="axisValues" fieldPosition="0"/>
    </format>
    <format dxfId="63">
      <pivotArea field="19" type="button" dataOnly="0" labelOnly="1" outline="0" axis="axisRow" fieldPosition="0"/>
    </format>
    <format dxfId="62">
      <pivotArea dataOnly="0" labelOnly="1" outline="0" axis="axisValues" fieldPosition="0"/>
    </format>
    <format dxfId="61">
      <pivotArea field="19" type="button" dataOnly="0" labelOnly="1" outline="0" axis="axisRow" fieldPosition="0"/>
    </format>
    <format dxfId="60">
      <pivotArea dataOnly="0" labelOnly="1" outline="0" axis="axisValues" fieldPosition="0"/>
    </format>
    <format dxfId="59">
      <pivotArea field="19" type="button" dataOnly="0" labelOnly="1" outline="0" axis="axisRow"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19" type="button" dataOnly="0" labelOnly="1" outline="0" axis="axisRow" fieldPosition="0"/>
    </format>
    <format dxfId="54">
      <pivotArea dataOnly="0" labelOnly="1" outline="0" fieldPosition="0">
        <references count="1">
          <reference field="19" count="0"/>
        </references>
      </pivotArea>
    </format>
    <format dxfId="53">
      <pivotArea dataOnly="0" labelOnly="1" grandRow="1" outline="0" fieldPosition="0"/>
    </format>
    <format dxfId="52">
      <pivotArea dataOnly="0" labelOnly="1" outline="0" axis="axisValues" fieldPosition="0"/>
    </format>
    <format dxfId="51">
      <pivotArea field="19" type="button" dataOnly="0" labelOnly="1" outline="0" axis="axisRow" fieldPosition="0"/>
    </format>
    <format dxfId="50">
      <pivotArea dataOnly="0" labelOnly="1" outline="0" axis="axisValues" fieldPosition="0"/>
    </format>
    <format dxfId="49">
      <pivotArea dataOnly="0" labelOnly="1" outline="0" fieldPosition="0">
        <references count="1">
          <reference field="19" count="0"/>
        </references>
      </pivotArea>
    </format>
    <format dxfId="48">
      <pivotArea dataOnly="0" labelOnly="1" grandRow="1" outline="0" fieldPosition="0"/>
    </format>
    <format dxfId="47">
      <pivotArea type="all" dataOnly="0" outline="0" fieldPosition="0"/>
    </format>
    <format dxfId="46">
      <pivotArea outline="0" collapsedLevelsAreSubtotals="1" fieldPosition="0"/>
    </format>
    <format dxfId="45">
      <pivotArea field="19" type="button" dataOnly="0" labelOnly="1" outline="0" axis="axisRow" fieldPosition="0"/>
    </format>
    <format dxfId="44">
      <pivotArea dataOnly="0" labelOnly="1" outline="0" fieldPosition="0">
        <references count="1">
          <reference field="19" count="7">
            <x v="2"/>
            <x v="3"/>
            <x v="4"/>
            <x v="5"/>
            <x v="6"/>
            <x v="7"/>
            <x v="9"/>
          </reference>
        </references>
      </pivotArea>
    </format>
    <format dxfId="43">
      <pivotArea dataOnly="0" labelOnly="1" grandRow="1" outline="0" fieldPosition="0"/>
    </format>
    <format dxfId="42">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177C94-9CFE-4450-8F85-71F7CFD900B7}" name="TablaDinámica4" cacheId="28" applyNumberFormats="0" applyBorderFormats="0" applyFontFormats="0" applyPatternFormats="0" applyAlignmentFormats="0" applyWidthHeightFormats="1" dataCaption="Valores" grandTotalCaption="  " updatedVersion="7" minRefreshableVersion="3" itemPrintTitles="1" createdVersion="7" indent="0" compact="0" compactData="0" multipleFieldFilters="0">
  <location ref="G61:I62" firstHeaderRow="1" firstDataRow="1" firstDataCol="2" rowPageCount="1" colPageCount="1"/>
  <pivotFields count="22">
    <pivotField axis="axisRow" compact="0" outline="0" subtotalTop="0" showAll="0" defaultSubtotal="0">
      <items count="6">
        <item m="1" x="3"/>
        <item m="1" x="2"/>
        <item m="1" x="5"/>
        <item m="1" x="4"/>
        <item x="0"/>
        <item x="1"/>
      </items>
    </pivotField>
    <pivotField axis="axisRow" compact="0" outline="0" subtotalTop="0" showAll="0" defaultSubtotal="0">
      <items count="5">
        <item m="1" x="2"/>
        <item m="1" x="4"/>
        <item m="1" x="1"/>
        <item m="1" x="3"/>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8" outline="0" subtotalTop="0" showAll="0" defaultSubtotal="0"/>
    <pivotField compact="0" outline="0" showAll="0" defaultSubtotal="0"/>
    <pivotField compact="0" numFmtId="166" outline="0" subtotalTop="0" showAll="0" defaultSubtotal="0"/>
    <pivotField dataField="1" compact="0" numFmtId="166" outline="0" subtotalTop="0" showAll="0" defaultSubtotal="0"/>
    <pivotField compact="0" outline="0" subtotalTop="0" showAll="0" defaultSubtotal="0"/>
    <pivotField compact="0" numFmtId="2" outline="0" subtotalTop="0" showAll="0" defaultSubtotal="0"/>
    <pivotField axis="axisPage" compact="0" outline="0" subtotalTop="0" multipleItemSelectionAllowed="1" showAll="0" defaultSubtotal="0">
      <items count="8">
        <item h="1" m="1" x="5"/>
        <item h="1" m="1" x="4"/>
        <item h="1" m="1" x="1"/>
        <item h="1" m="1" x="6"/>
        <item h="1" m="1" x="2"/>
        <item h="1" m="1" x="3"/>
        <item m="1" x="7"/>
        <item h="1" x="0"/>
      </items>
    </pivotField>
    <pivotField compact="0" numFmtId="166" outline="0" subtotalTop="0" showAll="0" defaultSubtotal="0"/>
  </pivotFields>
  <rowFields count="2">
    <field x="0"/>
    <field x="1"/>
  </rowFields>
  <rowItems count="1">
    <i t="grand">
      <x/>
    </i>
  </rowItems>
  <colItems count="1">
    <i/>
  </colItems>
  <pageFields count="1">
    <pageField fld="20" hier="-1"/>
  </pageFields>
  <dataFields count="1">
    <dataField name="Suma de Por Cobrar" fld="17" baseField="0" baseItem="0"/>
  </dataFields>
  <formats count="84">
    <format dxfId="166">
      <pivotArea type="all" dataOnly="0" outline="0" fieldPosition="0"/>
    </format>
    <format dxfId="165">
      <pivotArea outline="0" collapsedLevelsAreSubtotals="1" fieldPosition="0"/>
    </format>
    <format dxfId="164">
      <pivotArea type="all" dataOnly="0" outline="0" fieldPosition="0"/>
    </format>
    <format dxfId="163">
      <pivotArea outline="0" collapsedLevelsAreSubtotals="1" fieldPosition="0"/>
    </format>
    <format dxfId="162">
      <pivotArea outline="0" collapsedLevelsAreSubtotals="1" fieldPosition="0"/>
    </format>
    <format dxfId="161">
      <pivotArea type="all" dataOnly="0" outline="0" fieldPosition="0"/>
    </format>
    <format dxfId="160">
      <pivotArea dataOnly="0" labelOnly="1" outline="0" axis="axisValues" fieldPosition="0"/>
    </format>
    <format dxfId="159">
      <pivotArea type="all" dataOnly="0" outline="0" fieldPosition="0"/>
    </format>
    <format dxfId="158">
      <pivotArea dataOnly="0" labelOnly="1" outline="0" axis="axisValues" fieldPosition="0"/>
    </format>
    <format dxfId="157">
      <pivotArea dataOnly="0" labelOnly="1" outline="0" axis="axisValues" fieldPosition="0"/>
    </format>
    <format dxfId="156">
      <pivotArea type="all" dataOnly="0" outline="0" fieldPosition="0"/>
    </format>
    <format dxfId="155">
      <pivotArea outline="0" collapsedLevelsAreSubtotals="1" fieldPosition="0"/>
    </format>
    <format dxfId="154">
      <pivotArea dataOnly="0" labelOnly="1" grandRow="1" outline="0" fieldPosition="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dataOnly="0" labelOnly="1" grandRow="1" outline="0" fieldPosition="0"/>
    </format>
    <format dxfId="149">
      <pivotArea dataOnly="0" labelOnly="1" outline="0" axis="axisValues" fieldPosition="0"/>
    </format>
    <format dxfId="148">
      <pivotArea dataOnly="0" labelOnly="1" outline="0" axis="axisValues" fieldPosition="0"/>
    </format>
    <format dxfId="147">
      <pivotArea dataOnly="0" labelOnly="1" outline="0" axis="axisValues" fieldPosition="0"/>
    </format>
    <format dxfId="146">
      <pivotArea dataOnly="0" labelOnly="1" outline="0" axis="axisValues" fieldPosition="0"/>
    </format>
    <format dxfId="145">
      <pivotArea dataOnly="0" labelOnly="1" outline="0" axis="axisValues" fieldPosition="0"/>
    </format>
    <format dxfId="144">
      <pivotArea dataOnly="0" labelOnly="1" outline="0" axis="axisValues" fieldPosition="0"/>
    </format>
    <format dxfId="143">
      <pivotArea dataOnly="0" labelOnly="1" outline="0" axis="axisValues" fieldPosition="0"/>
    </format>
    <format dxfId="142">
      <pivotArea grandRow="1" outline="0" collapsedLevelsAreSubtotals="1" fieldPosition="0"/>
    </format>
    <format dxfId="141">
      <pivotArea dataOnly="0" labelOnly="1" grandRow="1" outline="0" fieldPosition="0"/>
    </format>
    <format dxfId="140">
      <pivotArea outline="0" collapsedLevelsAreSubtotals="1" fieldPosition="0"/>
    </format>
    <format dxfId="139">
      <pivotArea dataOnly="0" labelOnly="1" grandRow="1" outline="0" fieldPosition="0"/>
    </format>
    <format dxfId="138">
      <pivotArea type="all" dataOnly="0" outline="0" fieldPosition="0"/>
    </format>
    <format dxfId="137">
      <pivotArea outline="0" collapsedLevelsAreSubtotals="1" fieldPosition="0"/>
    </format>
    <format dxfId="136">
      <pivotArea field="0" type="button" dataOnly="0" labelOnly="1" outline="0" axis="axisRow" fieldPosition="0"/>
    </format>
    <format dxfId="135">
      <pivotArea field="1" type="button" dataOnly="0" labelOnly="1" outline="0" axis="axisRow" fieldPosition="1"/>
    </format>
    <format dxfId="134">
      <pivotArea dataOnly="0" labelOnly="1" outline="0" fieldPosition="0">
        <references count="1">
          <reference field="0" count="0"/>
        </references>
      </pivotArea>
    </format>
    <format dxfId="133">
      <pivotArea dataOnly="0" labelOnly="1" grandRow="1" outline="0" fieldPosition="0"/>
    </format>
    <format dxfId="132">
      <pivotArea dataOnly="0" labelOnly="1" outline="0" fieldPosition="0">
        <references count="2">
          <reference field="0" count="1" selected="0">
            <x v="0"/>
          </reference>
          <reference field="1" count="1">
            <x v="1"/>
          </reference>
        </references>
      </pivotArea>
    </format>
    <format dxfId="131">
      <pivotArea dataOnly="0" labelOnly="1" outline="0" fieldPosition="0">
        <references count="2">
          <reference field="0" count="1" selected="0">
            <x v="1"/>
          </reference>
          <reference field="1" count="1">
            <x v="0"/>
          </reference>
        </references>
      </pivotArea>
    </format>
    <format dxfId="130">
      <pivotArea dataOnly="0" labelOnly="1" outline="0" fieldPosition="0">
        <references count="2">
          <reference field="0" count="1" selected="0">
            <x v="2"/>
          </reference>
          <reference field="1" count="1">
            <x v="3"/>
          </reference>
        </references>
      </pivotArea>
    </format>
    <format dxfId="129">
      <pivotArea dataOnly="0" labelOnly="1" outline="0" fieldPosition="0">
        <references count="2">
          <reference field="0" count="1" selected="0">
            <x v="3"/>
          </reference>
          <reference field="1" count="1">
            <x v="2"/>
          </reference>
        </references>
      </pivotArea>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0" type="button" dataOnly="0" labelOnly="1" outline="0" axis="axisRow" fieldPosition="0"/>
    </format>
    <format dxfId="124">
      <pivotArea field="1" type="button" dataOnly="0" labelOnly="1" outline="0" axis="axisRow" fieldPosition="1"/>
    </format>
    <format dxfId="123">
      <pivotArea dataOnly="0" labelOnly="1" outline="0" fieldPosition="0">
        <references count="1">
          <reference field="0" count="0"/>
        </references>
      </pivotArea>
    </format>
    <format dxfId="122">
      <pivotArea dataOnly="0" labelOnly="1" outline="0" fieldPosition="0">
        <references count="2">
          <reference field="0" count="1" selected="0">
            <x v="0"/>
          </reference>
          <reference field="1" count="1">
            <x v="1"/>
          </reference>
        </references>
      </pivotArea>
    </format>
    <format dxfId="121">
      <pivotArea dataOnly="0" labelOnly="1" outline="0" fieldPosition="0">
        <references count="2">
          <reference field="0" count="1" selected="0">
            <x v="1"/>
          </reference>
          <reference field="1" count="1">
            <x v="0"/>
          </reference>
        </references>
      </pivotArea>
    </format>
    <format dxfId="120">
      <pivotArea dataOnly="0" labelOnly="1" outline="0" fieldPosition="0">
        <references count="2">
          <reference field="0" count="1" selected="0">
            <x v="2"/>
          </reference>
          <reference field="1" count="1">
            <x v="3"/>
          </reference>
        </references>
      </pivotArea>
    </format>
    <format dxfId="119">
      <pivotArea dataOnly="0" labelOnly="1" outline="0" fieldPosition="0">
        <references count="2">
          <reference field="0" count="1" selected="0">
            <x v="3"/>
          </reference>
          <reference field="1" count="1">
            <x v="2"/>
          </reference>
        </references>
      </pivotArea>
    </format>
    <format dxfId="118">
      <pivotArea dataOnly="0" labelOnly="1" outline="0" axis="axisValues" fieldPosition="0"/>
    </format>
    <format dxfId="117">
      <pivotArea field="0" type="button" dataOnly="0" labelOnly="1" outline="0" axis="axisRow" fieldPosition="0"/>
    </format>
    <format dxfId="116">
      <pivotArea field="1" type="button" dataOnly="0" labelOnly="1" outline="0" axis="axisRow" fieldPosition="1"/>
    </format>
    <format dxfId="115">
      <pivotArea dataOnly="0" labelOnly="1" outline="0" axis="axisValues" fieldPosition="0"/>
    </format>
    <format dxfId="114">
      <pivotArea field="0" type="button" dataOnly="0" labelOnly="1" outline="0" axis="axisRow" fieldPosition="0"/>
    </format>
    <format dxfId="113">
      <pivotArea field="1" type="button" dataOnly="0" labelOnly="1" outline="0" axis="axisRow" fieldPosition="1"/>
    </format>
    <format dxfId="112">
      <pivotArea dataOnly="0" labelOnly="1" outline="0" axis="axisValues" fieldPosition="0"/>
    </format>
    <format dxfId="111">
      <pivotArea field="0" type="button" dataOnly="0" labelOnly="1" outline="0" axis="axisRow" fieldPosition="0"/>
    </format>
    <format dxfId="110">
      <pivotArea field="1" type="button" dataOnly="0" labelOnly="1" outline="0" axis="axisRow" fieldPosition="1"/>
    </format>
    <format dxfId="109">
      <pivotArea dataOnly="0" labelOnly="1" outline="0" axis="axisValues" fieldPosition="0"/>
    </format>
    <format dxfId="108">
      <pivotArea field="0" type="button" dataOnly="0" labelOnly="1" outline="0" axis="axisRow" fieldPosition="0"/>
    </format>
    <format dxfId="107">
      <pivotArea field="1" type="button" dataOnly="0" labelOnly="1" outline="0" axis="axisRow" fieldPosition="1"/>
    </format>
    <format dxfId="106">
      <pivotArea dataOnly="0" labelOnly="1" outline="0" axis="axisValues" fieldPosition="0"/>
    </format>
    <format dxfId="105">
      <pivotArea dataOnly="0" labelOnly="1" grandRow="1" outline="0" fieldPosition="0"/>
    </format>
    <format dxfId="104">
      <pivotArea type="all" dataOnly="0" outline="0" fieldPosition="0"/>
    </format>
    <format dxfId="103">
      <pivotArea outline="0" collapsedLevelsAreSubtotals="1" fieldPosition="0"/>
    </format>
    <format dxfId="102">
      <pivotArea field="0" type="button" dataOnly="0" labelOnly="1" outline="0" axis="axisRow" fieldPosition="0"/>
    </format>
    <format dxfId="101">
      <pivotArea field="1" type="button" dataOnly="0" labelOnly="1" outline="0" axis="axisRow" fieldPosition="1"/>
    </format>
    <format dxfId="100">
      <pivotArea dataOnly="0" labelOnly="1" outline="0" fieldPosition="0">
        <references count="1">
          <reference field="0" count="0"/>
        </references>
      </pivotArea>
    </format>
    <format dxfId="99">
      <pivotArea dataOnly="0" labelOnly="1" grandRow="1" outline="0" fieldPosition="0"/>
    </format>
    <format dxfId="98">
      <pivotArea dataOnly="0" labelOnly="1" outline="0" fieldPosition="0">
        <references count="2">
          <reference field="0" count="1" selected="0">
            <x v="0"/>
          </reference>
          <reference field="1" count="1">
            <x v="1"/>
          </reference>
        </references>
      </pivotArea>
    </format>
    <format dxfId="97">
      <pivotArea dataOnly="0" labelOnly="1" outline="0" fieldPosition="0">
        <references count="2">
          <reference field="0" count="1" selected="0">
            <x v="1"/>
          </reference>
          <reference field="1" count="1">
            <x v="0"/>
          </reference>
        </references>
      </pivotArea>
    </format>
    <format dxfId="96">
      <pivotArea dataOnly="0" labelOnly="1" outline="0" fieldPosition="0">
        <references count="2">
          <reference field="0" count="1" selected="0">
            <x v="2"/>
          </reference>
          <reference field="1" count="1">
            <x v="3"/>
          </reference>
        </references>
      </pivotArea>
    </format>
    <format dxfId="95">
      <pivotArea dataOnly="0" labelOnly="1" outline="0" fieldPosition="0">
        <references count="2">
          <reference field="0" count="1" selected="0">
            <x v="3"/>
          </reference>
          <reference field="1" count="1">
            <x v="2"/>
          </reference>
        </references>
      </pivotArea>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field="1" type="button" dataOnly="0" labelOnly="1" outline="0" axis="axisRow" fieldPosition="1"/>
    </format>
    <format dxfId="89">
      <pivotArea dataOnly="0" labelOnly="1" outline="0" fieldPosition="0">
        <references count="1">
          <reference field="0" count="0"/>
        </references>
      </pivotArea>
    </format>
    <format dxfId="88">
      <pivotArea dataOnly="0" labelOnly="1" grandRow="1" outline="0" fieldPosition="0"/>
    </format>
    <format dxfId="87">
      <pivotArea dataOnly="0" labelOnly="1" outline="0" fieldPosition="0">
        <references count="2">
          <reference field="0" count="1" selected="0">
            <x v="0"/>
          </reference>
          <reference field="1" count="1">
            <x v="1"/>
          </reference>
        </references>
      </pivotArea>
    </format>
    <format dxfId="86">
      <pivotArea dataOnly="0" labelOnly="1" outline="0" fieldPosition="0">
        <references count="2">
          <reference field="0" count="1" selected="0">
            <x v="1"/>
          </reference>
          <reference field="1" count="1">
            <x v="0"/>
          </reference>
        </references>
      </pivotArea>
    </format>
    <format dxfId="85">
      <pivotArea dataOnly="0" labelOnly="1" outline="0" fieldPosition="0">
        <references count="2">
          <reference field="0" count="1" selected="0">
            <x v="2"/>
          </reference>
          <reference field="1" count="1">
            <x v="3"/>
          </reference>
        </references>
      </pivotArea>
    </format>
    <format dxfId="84">
      <pivotArea dataOnly="0" labelOnly="1" outline="0" fieldPosition="0">
        <references count="2">
          <reference field="0" count="1" selected="0">
            <x v="3"/>
          </reference>
          <reference field="1" count="1">
            <x v="2"/>
          </reference>
        </references>
      </pivotArea>
    </format>
    <format dxfId="83">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316AC-7609-47C6-AA7B-FF6E21BDBCE4}">
  <dimension ref="A1:E33"/>
  <sheetViews>
    <sheetView zoomScale="80" zoomScaleNormal="80" workbookViewId="0">
      <selection activeCell="C5" sqref="C5"/>
    </sheetView>
  </sheetViews>
  <sheetFormatPr baseColWidth="10" defaultColWidth="11.453125" defaultRowHeight="12.5" x14ac:dyDescent="0.35"/>
  <cols>
    <col min="1" max="1" width="4.1796875" style="49" customWidth="1"/>
    <col min="2" max="2" width="67.453125" style="49" customWidth="1"/>
    <col min="3" max="3" width="16.453125" style="60" customWidth="1"/>
    <col min="4" max="4" width="18.81640625" style="49" bestFit="1" customWidth="1"/>
    <col min="5" max="5" width="20.81640625" style="49" customWidth="1"/>
    <col min="6" max="16384" width="11.453125" style="49"/>
  </cols>
  <sheetData>
    <row r="1" spans="1:5" x14ac:dyDescent="0.35">
      <c r="C1" s="49"/>
    </row>
    <row r="2" spans="1:5" x14ac:dyDescent="0.35">
      <c r="C2" s="49"/>
    </row>
    <row r="3" spans="1:5" x14ac:dyDescent="0.35">
      <c r="C3" s="49"/>
    </row>
    <row r="4" spans="1:5" x14ac:dyDescent="0.35">
      <c r="C4" s="49"/>
    </row>
    <row r="5" spans="1:5" x14ac:dyDescent="0.35">
      <c r="C5" s="49"/>
    </row>
    <row r="6" spans="1:5" x14ac:dyDescent="0.35">
      <c r="C6" s="49"/>
    </row>
    <row r="7" spans="1:5" x14ac:dyDescent="0.35">
      <c r="B7" s="50" t="s">
        <v>3</v>
      </c>
      <c r="C7" s="51" t="s">
        <v>0</v>
      </c>
      <c r="D7" s="51" t="s">
        <v>1</v>
      </c>
      <c r="E7" s="51" t="s">
        <v>35</v>
      </c>
    </row>
    <row r="8" spans="1:5" x14ac:dyDescent="0.35">
      <c r="B8" s="52" t="s">
        <v>51</v>
      </c>
      <c r="C8" s="180" t="s">
        <v>50</v>
      </c>
      <c r="D8" s="180" t="s">
        <v>36</v>
      </c>
      <c r="E8" s="182">
        <v>130</v>
      </c>
    </row>
    <row r="9" spans="1:5" ht="15" customHeight="1" x14ac:dyDescent="0.35">
      <c r="B9" s="184" t="s">
        <v>72</v>
      </c>
      <c r="C9" s="181"/>
      <c r="D9" s="181"/>
      <c r="E9" s="183"/>
    </row>
    <row r="10" spans="1:5" ht="15" customHeight="1" x14ac:dyDescent="0.35">
      <c r="B10" s="184"/>
      <c r="C10" s="53"/>
      <c r="D10" s="53"/>
      <c r="E10" s="54"/>
    </row>
    <row r="11" spans="1:5" ht="15" customHeight="1" x14ac:dyDescent="0.35">
      <c r="B11" s="52"/>
      <c r="C11" s="52"/>
      <c r="D11" s="55"/>
      <c r="E11" s="56"/>
    </row>
    <row r="12" spans="1:5" ht="18" customHeight="1" thickBot="1" x14ac:dyDescent="0.4">
      <c r="B12" s="57" t="s">
        <v>37</v>
      </c>
      <c r="C12" s="58"/>
      <c r="D12" s="57" t="s">
        <v>38</v>
      </c>
      <c r="E12" s="57" t="s">
        <v>39</v>
      </c>
    </row>
    <row r="13" spans="1:5" x14ac:dyDescent="0.35">
      <c r="B13" s="59"/>
      <c r="D13" s="61"/>
      <c r="E13" s="62"/>
    </row>
    <row r="14" spans="1:5" x14ac:dyDescent="0.35">
      <c r="A14" s="62">
        <v>1</v>
      </c>
      <c r="B14" s="61" t="s">
        <v>54</v>
      </c>
      <c r="D14" s="61"/>
      <c r="E14" s="62"/>
    </row>
    <row r="15" spans="1:5" ht="62.5" x14ac:dyDescent="0.35">
      <c r="B15" s="68" t="s">
        <v>55</v>
      </c>
      <c r="D15" s="67" t="s">
        <v>50</v>
      </c>
      <c r="E15" s="66" t="s">
        <v>78</v>
      </c>
    </row>
    <row r="16" spans="1:5" x14ac:dyDescent="0.35">
      <c r="B16" s="59"/>
      <c r="D16" s="61"/>
      <c r="E16" s="62"/>
    </row>
    <row r="17" spans="1:5" x14ac:dyDescent="0.35">
      <c r="A17" s="62">
        <v>2</v>
      </c>
      <c r="B17" s="61" t="s">
        <v>40</v>
      </c>
      <c r="D17" s="61"/>
      <c r="E17" s="62"/>
    </row>
    <row r="18" spans="1:5" ht="125" x14ac:dyDescent="0.35">
      <c r="A18" s="63"/>
      <c r="B18" s="64" t="s">
        <v>41</v>
      </c>
      <c r="D18" s="65"/>
      <c r="E18" s="66" t="s">
        <v>52</v>
      </c>
    </row>
    <row r="19" spans="1:5" x14ac:dyDescent="0.35">
      <c r="A19" s="67"/>
      <c r="B19" s="59"/>
      <c r="D19" s="62"/>
      <c r="E19" s="66"/>
    </row>
    <row r="20" spans="1:5" x14ac:dyDescent="0.35">
      <c r="A20" s="62">
        <v>3</v>
      </c>
      <c r="B20" s="61" t="s">
        <v>42</v>
      </c>
    </row>
    <row r="21" spans="1:5" ht="129" customHeight="1" x14ac:dyDescent="0.35">
      <c r="A21" s="67"/>
      <c r="B21" s="64" t="s">
        <v>43</v>
      </c>
      <c r="D21" s="65" t="s">
        <v>50</v>
      </c>
      <c r="E21" s="74" t="s">
        <v>71</v>
      </c>
    </row>
    <row r="22" spans="1:5" x14ac:dyDescent="0.35">
      <c r="A22" s="67"/>
      <c r="B22" s="59"/>
      <c r="D22" s="62"/>
      <c r="E22" s="66"/>
    </row>
    <row r="23" spans="1:5" x14ac:dyDescent="0.35">
      <c r="A23" s="62">
        <v>4</v>
      </c>
      <c r="B23" s="61" t="s">
        <v>44</v>
      </c>
      <c r="D23" s="62"/>
      <c r="E23" s="66"/>
    </row>
    <row r="24" spans="1:5" ht="117.15" customHeight="1" x14ac:dyDescent="0.35">
      <c r="A24" s="67"/>
      <c r="B24" s="64" t="s">
        <v>45</v>
      </c>
      <c r="D24" s="65"/>
      <c r="E24" s="66" t="s">
        <v>53</v>
      </c>
    </row>
    <row r="25" spans="1:5" ht="10.5" customHeight="1" x14ac:dyDescent="0.35">
      <c r="A25" s="67"/>
      <c r="B25" s="59"/>
      <c r="D25" s="67"/>
      <c r="E25" s="66"/>
    </row>
    <row r="26" spans="1:5" ht="10.5" customHeight="1" x14ac:dyDescent="0.35">
      <c r="A26" s="62">
        <v>5</v>
      </c>
      <c r="B26" s="61" t="s">
        <v>46</v>
      </c>
      <c r="D26" s="67"/>
      <c r="E26" s="66"/>
    </row>
    <row r="27" spans="1:5" ht="142.65" customHeight="1" x14ac:dyDescent="0.35">
      <c r="A27" s="67"/>
      <c r="B27" s="64" t="s">
        <v>47</v>
      </c>
      <c r="D27" s="65"/>
      <c r="E27" s="66" t="s">
        <v>53</v>
      </c>
    </row>
    <row r="28" spans="1:5" ht="10.5" customHeight="1" x14ac:dyDescent="0.35">
      <c r="A28" s="67"/>
      <c r="B28" s="59"/>
      <c r="D28" s="67"/>
      <c r="E28" s="66"/>
    </row>
    <row r="29" spans="1:5" ht="12.9" customHeight="1" x14ac:dyDescent="0.35">
      <c r="A29" s="62">
        <v>6</v>
      </c>
      <c r="B29" s="61" t="s">
        <v>48</v>
      </c>
      <c r="D29" s="67"/>
      <c r="E29" s="66"/>
    </row>
    <row r="30" spans="1:5" ht="138" customHeight="1" x14ac:dyDescent="0.35">
      <c r="B30" s="64" t="s">
        <v>49</v>
      </c>
      <c r="D30" s="65"/>
      <c r="E30" s="66" t="s">
        <v>53</v>
      </c>
    </row>
    <row r="31" spans="1:5" ht="11.25" customHeight="1" x14ac:dyDescent="0.35">
      <c r="B31" s="59"/>
      <c r="D31" s="67"/>
      <c r="E31" s="66"/>
    </row>
    <row r="32" spans="1:5" x14ac:dyDescent="0.35">
      <c r="A32" s="62">
        <v>7</v>
      </c>
      <c r="B32" s="91" t="s">
        <v>76</v>
      </c>
    </row>
    <row r="33" spans="2:5" ht="50" x14ac:dyDescent="0.35">
      <c r="B33" s="92" t="s">
        <v>77</v>
      </c>
      <c r="D33" s="65" t="s">
        <v>50</v>
      </c>
      <c r="E33" s="74" t="s">
        <v>79</v>
      </c>
    </row>
  </sheetData>
  <mergeCells count="4">
    <mergeCell ref="C8:C9"/>
    <mergeCell ref="D8:D9"/>
    <mergeCell ref="E8:E9"/>
    <mergeCell ref="B9:B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2745B-06F8-44CC-AE03-EC5032E77E9E}">
  <sheetPr>
    <pageSetUpPr fitToPage="1"/>
  </sheetPr>
  <dimension ref="A2:I117"/>
  <sheetViews>
    <sheetView showGridLines="0" topLeftCell="A26" zoomScale="85" zoomScaleNormal="85" workbookViewId="0">
      <selection activeCell="C16" sqref="C16"/>
    </sheetView>
  </sheetViews>
  <sheetFormatPr baseColWidth="10" defaultColWidth="9.1796875" defaultRowHeight="12.5" x14ac:dyDescent="0.25"/>
  <cols>
    <col min="1" max="1" width="4.81640625" style="20" customWidth="1"/>
    <col min="2" max="2" width="14.1796875" style="71" customWidth="1"/>
    <col min="3" max="3" width="57.1796875" style="71" customWidth="1"/>
    <col min="4" max="4" width="16.453125" style="71" customWidth="1"/>
    <col min="5" max="6" width="14.81640625" style="20" customWidth="1"/>
    <col min="7" max="7" width="14.81640625" style="20" bestFit="1" customWidth="1"/>
    <col min="8" max="8" width="15.81640625" style="20" customWidth="1"/>
    <col min="9" max="9" width="15" style="20" customWidth="1"/>
    <col min="10" max="10" width="15.81640625" style="20" customWidth="1"/>
    <col min="11" max="16384" width="9.1796875" style="20"/>
  </cols>
  <sheetData>
    <row r="2" spans="2:9" x14ac:dyDescent="0.25">
      <c r="G2" s="3" t="s">
        <v>0</v>
      </c>
      <c r="H2" s="3" t="s">
        <v>1</v>
      </c>
      <c r="I2" s="3" t="s">
        <v>2</v>
      </c>
    </row>
    <row r="3" spans="2:9" x14ac:dyDescent="0.25">
      <c r="B3" s="46"/>
      <c r="C3" s="46"/>
      <c r="D3" s="46"/>
      <c r="G3" s="69" t="s">
        <v>50</v>
      </c>
      <c r="H3" s="69" t="s">
        <v>36</v>
      </c>
      <c r="I3" s="2">
        <v>130.01</v>
      </c>
    </row>
    <row r="4" spans="2:9" ht="13" thickBot="1" x14ac:dyDescent="0.3">
      <c r="B4" s="46"/>
      <c r="C4" s="46"/>
      <c r="D4" s="46"/>
      <c r="H4" s="42"/>
      <c r="I4" s="41"/>
    </row>
    <row r="5" spans="2:9" ht="13" thickTop="1" x14ac:dyDescent="0.25">
      <c r="B5" s="4" t="s">
        <v>3</v>
      </c>
      <c r="C5" s="4"/>
      <c r="D5" s="4"/>
      <c r="E5" s="4"/>
      <c r="F5" s="4"/>
      <c r="G5" s="4"/>
      <c r="H5" s="4"/>
      <c r="I5" s="4"/>
    </row>
    <row r="6" spans="2:9" x14ac:dyDescent="0.25">
      <c r="B6" s="5" t="s">
        <v>4</v>
      </c>
      <c r="C6" s="5"/>
      <c r="D6" s="5"/>
      <c r="E6" s="1"/>
      <c r="F6" s="1"/>
      <c r="G6" s="1"/>
      <c r="H6" s="1"/>
      <c r="I6" s="1"/>
    </row>
    <row r="7" spans="2:9" x14ac:dyDescent="0.25">
      <c r="B7" s="9" t="s">
        <v>56</v>
      </c>
      <c r="C7" s="5"/>
      <c r="D7" s="5"/>
      <c r="E7" s="1"/>
      <c r="F7" s="1"/>
      <c r="G7" s="1"/>
      <c r="H7" s="1"/>
      <c r="I7" s="1"/>
    </row>
    <row r="8" spans="2:9" ht="13" thickBot="1" x14ac:dyDescent="0.3">
      <c r="B8" s="6" t="s">
        <v>9</v>
      </c>
      <c r="C8" s="6"/>
      <c r="D8" s="6"/>
      <c r="E8" s="6"/>
      <c r="F8" s="6"/>
      <c r="G8" s="6"/>
      <c r="H8" s="6"/>
      <c r="I8" s="6"/>
    </row>
    <row r="9" spans="2:9" ht="13" thickTop="1" x14ac:dyDescent="0.25">
      <c r="B9" s="9"/>
      <c r="C9" s="9"/>
      <c r="D9" s="9"/>
      <c r="E9" s="9"/>
      <c r="F9" s="9"/>
      <c r="G9" s="9"/>
      <c r="H9" s="9"/>
      <c r="I9" s="9"/>
    </row>
    <row r="10" spans="2:9" x14ac:dyDescent="0.25">
      <c r="B10" s="46"/>
      <c r="C10" s="46"/>
      <c r="D10" s="46"/>
      <c r="E10" s="46"/>
      <c r="F10" s="46"/>
      <c r="G10" s="46"/>
      <c r="H10" s="46"/>
      <c r="I10" s="46"/>
    </row>
    <row r="11" spans="2:9" x14ac:dyDescent="0.25">
      <c r="B11" s="46"/>
      <c r="C11" s="46"/>
      <c r="D11" s="46"/>
      <c r="E11" s="46"/>
      <c r="F11" s="46"/>
      <c r="G11" s="46"/>
      <c r="H11" s="46"/>
      <c r="I11" s="46"/>
    </row>
    <row r="12" spans="2:9" x14ac:dyDescent="0.25">
      <c r="B12" s="72" t="s">
        <v>32</v>
      </c>
      <c r="C12" s="46"/>
      <c r="D12" s="46"/>
      <c r="E12" s="46"/>
      <c r="F12" s="46"/>
      <c r="G12" s="46"/>
      <c r="H12" s="46"/>
      <c r="I12" s="46"/>
    </row>
    <row r="13" spans="2:9" x14ac:dyDescent="0.25">
      <c r="B13" s="7" t="s">
        <v>57</v>
      </c>
      <c r="C13" s="46"/>
      <c r="D13" s="46"/>
      <c r="E13" s="46"/>
      <c r="F13" s="46"/>
      <c r="G13" s="46"/>
      <c r="H13" s="46"/>
      <c r="I13" s="46"/>
    </row>
    <row r="14" spans="2:9" x14ac:dyDescent="0.25">
      <c r="B14" s="7" t="s">
        <v>8</v>
      </c>
      <c r="C14" s="46"/>
      <c r="D14" s="46"/>
      <c r="E14" s="46"/>
      <c r="F14" s="46"/>
      <c r="G14" s="46"/>
      <c r="H14" s="46"/>
      <c r="I14" s="46"/>
    </row>
    <row r="15" spans="2:9" x14ac:dyDescent="0.25">
      <c r="B15" s="7"/>
      <c r="C15" s="46"/>
      <c r="D15" s="46"/>
      <c r="E15" s="46"/>
      <c r="F15" s="46"/>
      <c r="G15" s="46"/>
      <c r="H15" s="46"/>
      <c r="I15" s="46"/>
    </row>
    <row r="16" spans="2:9" x14ac:dyDescent="0.25">
      <c r="B16" s="7"/>
      <c r="C16" s="46"/>
      <c r="D16" s="46"/>
      <c r="E16" s="46"/>
      <c r="F16" s="46"/>
      <c r="G16" s="46"/>
      <c r="H16" s="46"/>
      <c r="I16" s="46"/>
    </row>
    <row r="17" spans="2:9" x14ac:dyDescent="0.25">
      <c r="B17" s="72" t="s">
        <v>33</v>
      </c>
      <c r="C17" s="46"/>
      <c r="D17" s="46"/>
      <c r="E17" s="46"/>
      <c r="F17" s="46"/>
      <c r="G17" s="46"/>
      <c r="H17" s="46"/>
      <c r="I17" s="46"/>
    </row>
    <row r="18" spans="2:9" x14ac:dyDescent="0.25">
      <c r="B18" s="46"/>
      <c r="C18" s="46"/>
      <c r="D18" s="46"/>
      <c r="E18" s="46"/>
      <c r="F18" s="46"/>
      <c r="G18" s="46"/>
      <c r="H18" s="46"/>
      <c r="I18" s="46"/>
    </row>
    <row r="19" spans="2:9" x14ac:dyDescent="0.25">
      <c r="B19" s="8" t="s">
        <v>75</v>
      </c>
      <c r="C19" s="46"/>
      <c r="D19" s="46"/>
      <c r="E19" s="46"/>
      <c r="F19" s="46"/>
      <c r="G19" s="46"/>
      <c r="H19" s="46"/>
      <c r="I19" s="46"/>
    </row>
    <row r="20" spans="2:9" x14ac:dyDescent="0.25">
      <c r="B20" s="8" t="s">
        <v>74</v>
      </c>
      <c r="C20" s="46"/>
      <c r="D20" s="46"/>
      <c r="E20" s="46"/>
      <c r="F20" s="46"/>
      <c r="G20" s="46"/>
      <c r="H20" s="46"/>
      <c r="I20" s="46"/>
    </row>
    <row r="21" spans="2:9" x14ac:dyDescent="0.25">
      <c r="B21" s="46"/>
      <c r="C21" s="46"/>
      <c r="D21" s="46"/>
      <c r="E21" s="46"/>
      <c r="F21" s="46"/>
      <c r="G21" s="46"/>
      <c r="H21" s="46"/>
      <c r="I21" s="46"/>
    </row>
    <row r="22" spans="2:9" x14ac:dyDescent="0.25">
      <c r="B22" s="10" t="s">
        <v>58</v>
      </c>
      <c r="C22" s="46"/>
      <c r="D22" s="46"/>
      <c r="E22" s="46"/>
      <c r="F22" s="46"/>
      <c r="G22" s="46"/>
      <c r="H22" s="46"/>
      <c r="I22" s="46"/>
    </row>
    <row r="23" spans="2:9" x14ac:dyDescent="0.25">
      <c r="B23" s="46"/>
      <c r="C23" s="46"/>
      <c r="D23" s="46"/>
      <c r="E23" s="46"/>
      <c r="F23" s="46"/>
      <c r="G23" s="46"/>
      <c r="H23" s="46"/>
      <c r="I23" s="46"/>
    </row>
    <row r="24" spans="2:9" ht="23.25" customHeight="1" thickBot="1" x14ac:dyDescent="0.3">
      <c r="B24" s="77"/>
      <c r="C24" s="77"/>
      <c r="D24" s="77"/>
      <c r="E24" s="77"/>
      <c r="F24" s="77"/>
      <c r="G24" s="77"/>
      <c r="H24" s="77"/>
      <c r="I24" s="77"/>
    </row>
    <row r="25" spans="2:9" ht="22.5" customHeight="1" x14ac:dyDescent="0.25">
      <c r="B25" s="186" t="s">
        <v>5</v>
      </c>
      <c r="C25" s="192" t="s">
        <v>10</v>
      </c>
      <c r="D25" s="192" t="s">
        <v>11</v>
      </c>
      <c r="E25" s="188" t="s">
        <v>25</v>
      </c>
      <c r="F25" s="188" t="s">
        <v>16</v>
      </c>
      <c r="G25" s="192" t="s">
        <v>73</v>
      </c>
      <c r="H25" s="192"/>
      <c r="I25" s="190" t="s">
        <v>14</v>
      </c>
    </row>
    <row r="26" spans="2:9" ht="15" customHeight="1" thickBot="1" x14ac:dyDescent="0.3">
      <c r="B26" s="187"/>
      <c r="C26" s="193"/>
      <c r="D26" s="193"/>
      <c r="E26" s="189"/>
      <c r="F26" s="189"/>
      <c r="G26" s="75" t="s">
        <v>12</v>
      </c>
      <c r="H26" s="75" t="s">
        <v>13</v>
      </c>
      <c r="I26" s="191"/>
    </row>
    <row r="27" spans="2:9" ht="13" x14ac:dyDescent="0.3">
      <c r="B27" s="78"/>
      <c r="C27" s="20"/>
      <c r="D27" s="20"/>
      <c r="E27" s="26" t="s">
        <v>23</v>
      </c>
      <c r="F27" s="26" t="s">
        <v>22</v>
      </c>
      <c r="G27" s="185" t="s">
        <v>24</v>
      </c>
      <c r="H27" s="185"/>
      <c r="I27" s="79"/>
    </row>
    <row r="28" spans="2:9" x14ac:dyDescent="0.25">
      <c r="B28" s="21"/>
      <c r="C28" s="17" t="s">
        <v>69</v>
      </c>
      <c r="D28" s="11"/>
      <c r="E28" s="19"/>
      <c r="F28" s="22"/>
      <c r="G28" s="22"/>
      <c r="H28" s="22"/>
      <c r="I28" s="79"/>
    </row>
    <row r="29" spans="2:9" x14ac:dyDescent="0.25">
      <c r="B29" s="21">
        <v>101030101</v>
      </c>
      <c r="C29" s="11" t="s">
        <v>7</v>
      </c>
      <c r="D29" s="33" t="s">
        <v>62</v>
      </c>
      <c r="E29" s="22">
        <v>901149.29</v>
      </c>
      <c r="F29" s="22">
        <v>467111.67999999999</v>
      </c>
      <c r="G29" s="22">
        <f>+E29-F29</f>
        <v>434037.61000000004</v>
      </c>
      <c r="H29" s="80">
        <f>+IFERROR(G29/F29,0)</f>
        <v>0.92919451296957523</v>
      </c>
      <c r="I29" s="81">
        <f>+E29/$E$44</f>
        <v>0.34469737512713344</v>
      </c>
    </row>
    <row r="30" spans="2:9" ht="13" thickBot="1" x14ac:dyDescent="0.3">
      <c r="B30" s="21">
        <v>101030105</v>
      </c>
      <c r="C30" s="11" t="s">
        <v>59</v>
      </c>
      <c r="D30" s="33"/>
      <c r="E30" s="23">
        <v>-5643.23</v>
      </c>
      <c r="F30" s="23">
        <v>-5643.23</v>
      </c>
      <c r="G30" s="22">
        <f>+E30-F30</f>
        <v>0</v>
      </c>
      <c r="H30" s="80">
        <f>+IFERROR(G30/F30,0)</f>
        <v>0</v>
      </c>
      <c r="I30" s="81">
        <f>+E30/$E$44</f>
        <v>-2.1585841434094599E-3</v>
      </c>
    </row>
    <row r="31" spans="2:9" x14ac:dyDescent="0.25">
      <c r="B31" s="21"/>
      <c r="C31" s="11"/>
      <c r="D31" s="11"/>
      <c r="E31" s="24">
        <f>SUM(E29:E30)</f>
        <v>895506.06</v>
      </c>
      <c r="F31" s="24">
        <f>SUM(F29:F30)</f>
        <v>461468.45</v>
      </c>
      <c r="G31" s="22"/>
      <c r="H31" s="80"/>
      <c r="I31" s="81">
        <f>+E31/$E$44</f>
        <v>0.34253879098372397</v>
      </c>
    </row>
    <row r="32" spans="2:9" x14ac:dyDescent="0.25">
      <c r="B32" s="21"/>
      <c r="C32" s="11"/>
      <c r="D32" s="11"/>
      <c r="E32" s="22"/>
      <c r="F32" s="22"/>
      <c r="G32" s="22"/>
      <c r="H32" s="80"/>
      <c r="I32" s="81"/>
    </row>
    <row r="33" spans="2:9" x14ac:dyDescent="0.25">
      <c r="B33" s="21"/>
      <c r="C33" s="17" t="s">
        <v>70</v>
      </c>
      <c r="D33" s="11"/>
      <c r="E33" s="22"/>
      <c r="F33" s="22"/>
      <c r="G33" s="22"/>
      <c r="H33" s="80"/>
      <c r="I33" s="81"/>
    </row>
    <row r="34" spans="2:9" x14ac:dyDescent="0.25">
      <c r="B34" s="21">
        <v>101030201</v>
      </c>
      <c r="C34" s="11" t="s">
        <v>15</v>
      </c>
      <c r="D34" s="33" t="s">
        <v>62</v>
      </c>
      <c r="E34" s="22">
        <v>1750202.98</v>
      </c>
      <c r="F34" s="22">
        <v>1008984.8</v>
      </c>
      <c r="G34" s="22">
        <f>+E34-F34</f>
        <v>741218.17999999993</v>
      </c>
      <c r="H34" s="80">
        <f>+IFERROR(G34/F34,0)</f>
        <v>0.73461778611531103</v>
      </c>
      <c r="I34" s="81">
        <f>+E34/$E$44</f>
        <v>0.66946773397079051</v>
      </c>
    </row>
    <row r="35" spans="2:9" x14ac:dyDescent="0.25">
      <c r="B35" s="21">
        <v>101030204</v>
      </c>
      <c r="C35" s="11" t="s">
        <v>60</v>
      </c>
      <c r="D35" s="33"/>
      <c r="E35" s="22">
        <v>-9025.4500000000007</v>
      </c>
      <c r="F35" s="22">
        <v>-9025.4500000000007</v>
      </c>
      <c r="G35" s="22">
        <f>+E35-F35</f>
        <v>0</v>
      </c>
      <c r="H35" s="80">
        <f>+IFERROR(G35/F35,0)</f>
        <v>0</v>
      </c>
      <c r="I35" s="81">
        <f>+E35/$E$44</f>
        <v>-3.4523124623903178E-3</v>
      </c>
    </row>
    <row r="36" spans="2:9" x14ac:dyDescent="0.25">
      <c r="B36" s="21">
        <v>101030206</v>
      </c>
      <c r="C36" s="11" t="s">
        <v>17</v>
      </c>
      <c r="D36" s="20"/>
      <c r="E36" s="22">
        <v>0</v>
      </c>
      <c r="F36" s="27">
        <v>53868.84</v>
      </c>
      <c r="G36" s="22">
        <f>+E36-F36</f>
        <v>-53868.84</v>
      </c>
      <c r="H36" s="80">
        <f>+IFERROR(G36/F36,0)</f>
        <v>-1</v>
      </c>
      <c r="I36" s="81">
        <f>+E36/$E$44</f>
        <v>0</v>
      </c>
    </row>
    <row r="37" spans="2:9" ht="13" thickBot="1" x14ac:dyDescent="0.3">
      <c r="B37" s="21">
        <v>101030207</v>
      </c>
      <c r="C37" s="11" t="s">
        <v>59</v>
      </c>
      <c r="D37" s="20"/>
      <c r="E37" s="23">
        <v>-22363.45</v>
      </c>
      <c r="F37" s="23">
        <v>-22363.45</v>
      </c>
      <c r="G37" s="22">
        <f>+E37-F37</f>
        <v>0</v>
      </c>
      <c r="H37" s="80">
        <f>+IFERROR(G37/F37,0)</f>
        <v>0</v>
      </c>
      <c r="I37" s="81">
        <f>+E37/$E$44</f>
        <v>-8.5542124921242427E-3</v>
      </c>
    </row>
    <row r="38" spans="2:9" x14ac:dyDescent="0.25">
      <c r="B38" s="21"/>
      <c r="C38" s="11"/>
      <c r="D38" s="20"/>
      <c r="E38" s="25">
        <f>+SUM(E34:E37)</f>
        <v>1718814.08</v>
      </c>
      <c r="F38" s="25">
        <f>+SUM(F34:F37)</f>
        <v>1031464.7400000002</v>
      </c>
      <c r="G38" s="22"/>
      <c r="H38" s="80"/>
      <c r="I38" s="81">
        <f>+E38/$E$44</f>
        <v>0.65746120901627603</v>
      </c>
    </row>
    <row r="39" spans="2:9" ht="13.5" thickBot="1" x14ac:dyDescent="0.35">
      <c r="B39" s="82"/>
      <c r="C39" s="83"/>
      <c r="D39" s="83"/>
      <c r="E39" s="37"/>
      <c r="F39" s="37"/>
      <c r="G39" s="37"/>
      <c r="H39" s="37"/>
      <c r="I39" s="84"/>
    </row>
    <row r="40" spans="2:9" ht="13.5" thickBot="1" x14ac:dyDescent="0.35">
      <c r="B40" s="20"/>
      <c r="C40" s="85"/>
      <c r="D40" s="86"/>
    </row>
    <row r="41" spans="2:9" x14ac:dyDescent="0.25">
      <c r="B41" s="87"/>
      <c r="C41" s="34"/>
      <c r="D41" s="20"/>
      <c r="E41" s="12" t="s">
        <v>20</v>
      </c>
      <c r="F41" s="70" t="s">
        <v>61</v>
      </c>
      <c r="G41" s="35" t="s">
        <v>11</v>
      </c>
      <c r="I41" s="18"/>
    </row>
    <row r="42" spans="2:9" x14ac:dyDescent="0.25">
      <c r="B42" s="78"/>
      <c r="C42" s="20" t="s">
        <v>18</v>
      </c>
      <c r="D42" s="20"/>
      <c r="E42" s="18">
        <f>+E31</f>
        <v>895506.06</v>
      </c>
      <c r="F42" s="18">
        <f>+F31</f>
        <v>461468.45</v>
      </c>
      <c r="G42" s="40"/>
      <c r="I42" s="18"/>
    </row>
    <row r="43" spans="2:9" x14ac:dyDescent="0.25">
      <c r="B43" s="78"/>
      <c r="C43" s="20" t="s">
        <v>19</v>
      </c>
      <c r="D43" s="20"/>
      <c r="E43" s="18">
        <f>+E38</f>
        <v>1718814.08</v>
      </c>
      <c r="F43" s="18">
        <f>+F38</f>
        <v>1031464.7400000002</v>
      </c>
      <c r="G43" s="40"/>
      <c r="I43" s="18"/>
    </row>
    <row r="44" spans="2:9" ht="13" thickBot="1" x14ac:dyDescent="0.3">
      <c r="B44" s="78"/>
      <c r="C44" s="20"/>
      <c r="D44" s="15" t="s">
        <v>21</v>
      </c>
      <c r="E44" s="13">
        <f>+SUM(E42:E43)</f>
        <v>2614320.14</v>
      </c>
      <c r="F44" s="13">
        <f>+SUM(F42:F43)</f>
        <v>1492933.1900000002</v>
      </c>
      <c r="G44" s="36"/>
      <c r="I44" s="18"/>
    </row>
    <row r="45" spans="2:9" ht="13.5" thickTop="1" thickBot="1" x14ac:dyDescent="0.3">
      <c r="B45" s="82"/>
      <c r="C45" s="37"/>
      <c r="D45" s="37"/>
      <c r="E45" s="16"/>
      <c r="F45" s="38"/>
      <c r="G45" s="39"/>
      <c r="H45" s="18"/>
      <c r="I45" s="18"/>
    </row>
    <row r="46" spans="2:9" x14ac:dyDescent="0.25">
      <c r="B46" s="20"/>
      <c r="C46" s="20"/>
      <c r="D46" s="11"/>
      <c r="E46" s="88"/>
      <c r="F46" s="88"/>
      <c r="G46" s="18"/>
      <c r="H46" s="18"/>
      <c r="I46" s="18"/>
    </row>
    <row r="47" spans="2:9" x14ac:dyDescent="0.25">
      <c r="B47" s="20"/>
      <c r="C47" s="20"/>
      <c r="D47" s="11"/>
      <c r="E47" s="88"/>
      <c r="F47" s="88"/>
      <c r="G47" s="18"/>
      <c r="H47" s="18"/>
      <c r="I47" s="18"/>
    </row>
    <row r="48" spans="2:9" x14ac:dyDescent="0.25">
      <c r="B48" s="72" t="s">
        <v>26</v>
      </c>
      <c r="C48" s="20"/>
      <c r="D48" s="11"/>
      <c r="E48" s="88"/>
      <c r="F48" s="88"/>
      <c r="G48" s="18"/>
      <c r="H48" s="18"/>
      <c r="I48" s="18"/>
    </row>
    <row r="49" spans="1:9" x14ac:dyDescent="0.25">
      <c r="B49" s="89" t="s">
        <v>64</v>
      </c>
      <c r="C49" s="20"/>
      <c r="D49" s="11"/>
      <c r="E49" s="88"/>
      <c r="F49" s="88"/>
      <c r="G49" s="18"/>
      <c r="H49" s="18"/>
      <c r="I49" s="18"/>
    </row>
    <row r="50" spans="1:9" x14ac:dyDescent="0.25">
      <c r="B50" s="20"/>
      <c r="C50" s="20"/>
      <c r="D50" s="11"/>
      <c r="E50" s="88"/>
      <c r="F50" s="88"/>
      <c r="G50" s="18"/>
      <c r="H50" s="18"/>
      <c r="I50" s="18"/>
    </row>
    <row r="51" spans="1:9" x14ac:dyDescent="0.25">
      <c r="B51" s="20"/>
      <c r="C51" s="20"/>
      <c r="D51" s="11"/>
      <c r="E51" s="88"/>
      <c r="F51" s="88"/>
      <c r="G51" s="18"/>
      <c r="H51" s="18"/>
      <c r="I51" s="18"/>
    </row>
    <row r="52" spans="1:9" x14ac:dyDescent="0.25">
      <c r="B52" s="72" t="s">
        <v>27</v>
      </c>
      <c r="D52" s="7"/>
      <c r="E52" s="11"/>
      <c r="F52" s="90"/>
      <c r="G52" s="90"/>
      <c r="H52" s="90"/>
      <c r="I52" s="90"/>
    </row>
    <row r="53" spans="1:9" ht="13" x14ac:dyDescent="0.3">
      <c r="A53" s="26" t="s">
        <v>23</v>
      </c>
      <c r="B53" s="7" t="s">
        <v>30</v>
      </c>
      <c r="D53" s="11"/>
      <c r="E53" s="11"/>
    </row>
    <row r="54" spans="1:9" ht="13" x14ac:dyDescent="0.3">
      <c r="A54" s="26" t="s">
        <v>22</v>
      </c>
      <c r="B54" s="7" t="s">
        <v>63</v>
      </c>
      <c r="D54" s="11"/>
      <c r="E54" s="11"/>
    </row>
    <row r="55" spans="1:9" ht="13.5" x14ac:dyDescent="0.25">
      <c r="A55" s="29" t="s">
        <v>24</v>
      </c>
      <c r="B55" s="7" t="s">
        <v>29</v>
      </c>
      <c r="D55" s="11"/>
      <c r="E55" s="11"/>
    </row>
    <row r="56" spans="1:9" x14ac:dyDescent="0.25">
      <c r="A56" s="14" t="s">
        <v>21</v>
      </c>
      <c r="B56" s="28" t="s">
        <v>28</v>
      </c>
      <c r="D56" s="11"/>
      <c r="E56" s="11"/>
    </row>
    <row r="57" spans="1:9" x14ac:dyDescent="0.25">
      <c r="B57" s="30"/>
      <c r="C57" s="7"/>
      <c r="D57" s="11"/>
      <c r="E57" s="11"/>
    </row>
    <row r="58" spans="1:9" x14ac:dyDescent="0.25">
      <c r="B58" s="72" t="s">
        <v>65</v>
      </c>
      <c r="D58" s="7"/>
      <c r="E58" s="11"/>
    </row>
    <row r="59" spans="1:9" x14ac:dyDescent="0.25">
      <c r="B59" s="7" t="s">
        <v>31</v>
      </c>
      <c r="D59" s="7"/>
      <c r="E59" s="11"/>
    </row>
    <row r="60" spans="1:9" ht="13" x14ac:dyDescent="0.3">
      <c r="C60" s="85"/>
      <c r="D60" s="85"/>
    </row>
    <row r="61" spans="1:9" ht="13" x14ac:dyDescent="0.3">
      <c r="C61" s="85"/>
      <c r="D61" s="85"/>
    </row>
    <row r="62" spans="1:9" ht="13" x14ac:dyDescent="0.3">
      <c r="C62" s="85"/>
      <c r="D62" s="85"/>
    </row>
    <row r="63" spans="1:9" ht="13" x14ac:dyDescent="0.3">
      <c r="C63" s="85"/>
      <c r="D63" s="85"/>
    </row>
    <row r="64" spans="1:9" ht="13" x14ac:dyDescent="0.3">
      <c r="C64" s="85"/>
      <c r="D64" s="85"/>
    </row>
    <row r="65" spans="3:4" ht="13" x14ac:dyDescent="0.3">
      <c r="C65" s="85"/>
      <c r="D65" s="85"/>
    </row>
    <row r="66" spans="3:4" ht="13" x14ac:dyDescent="0.3">
      <c r="C66" s="85"/>
      <c r="D66" s="85"/>
    </row>
    <row r="67" spans="3:4" ht="13" x14ac:dyDescent="0.3">
      <c r="C67" s="85"/>
      <c r="D67" s="85"/>
    </row>
    <row r="68" spans="3:4" ht="13" x14ac:dyDescent="0.3">
      <c r="C68" s="85"/>
      <c r="D68" s="85"/>
    </row>
    <row r="69" spans="3:4" ht="13" x14ac:dyDescent="0.3">
      <c r="C69" s="85"/>
      <c r="D69" s="85"/>
    </row>
    <row r="70" spans="3:4" ht="13" x14ac:dyDescent="0.3">
      <c r="C70" s="85"/>
      <c r="D70" s="85"/>
    </row>
    <row r="71" spans="3:4" ht="13" x14ac:dyDescent="0.3">
      <c r="C71" s="85"/>
      <c r="D71" s="85"/>
    </row>
    <row r="72" spans="3:4" ht="13" x14ac:dyDescent="0.3">
      <c r="C72" s="85"/>
      <c r="D72" s="85"/>
    </row>
    <row r="73" spans="3:4" ht="13" x14ac:dyDescent="0.3">
      <c r="C73" s="85"/>
      <c r="D73" s="85"/>
    </row>
    <row r="74" spans="3:4" ht="13" x14ac:dyDescent="0.3">
      <c r="C74" s="85"/>
      <c r="D74" s="85"/>
    </row>
    <row r="75" spans="3:4" ht="13" x14ac:dyDescent="0.3">
      <c r="C75" s="85"/>
      <c r="D75" s="85"/>
    </row>
    <row r="76" spans="3:4" ht="13" x14ac:dyDescent="0.3">
      <c r="C76" s="85"/>
      <c r="D76" s="85"/>
    </row>
    <row r="77" spans="3:4" ht="13" x14ac:dyDescent="0.3">
      <c r="C77" s="85"/>
      <c r="D77" s="85"/>
    </row>
    <row r="78" spans="3:4" ht="13" x14ac:dyDescent="0.3">
      <c r="C78" s="85"/>
      <c r="D78" s="85"/>
    </row>
    <row r="79" spans="3:4" ht="13" x14ac:dyDescent="0.3">
      <c r="C79" s="85"/>
      <c r="D79" s="85"/>
    </row>
    <row r="80" spans="3:4" ht="13" x14ac:dyDescent="0.3">
      <c r="C80" s="85"/>
      <c r="D80" s="85"/>
    </row>
    <row r="81" spans="3:4" ht="13" x14ac:dyDescent="0.3">
      <c r="C81" s="85"/>
      <c r="D81" s="85"/>
    </row>
    <row r="82" spans="3:4" ht="13" x14ac:dyDescent="0.3">
      <c r="C82" s="85"/>
      <c r="D82" s="85"/>
    </row>
    <row r="83" spans="3:4" ht="13" x14ac:dyDescent="0.3">
      <c r="C83" s="85"/>
      <c r="D83" s="85"/>
    </row>
    <row r="84" spans="3:4" ht="13" x14ac:dyDescent="0.3">
      <c r="C84" s="85"/>
      <c r="D84" s="85"/>
    </row>
    <row r="85" spans="3:4" ht="13" x14ac:dyDescent="0.3">
      <c r="C85" s="85"/>
      <c r="D85" s="85"/>
    </row>
    <row r="86" spans="3:4" ht="13" x14ac:dyDescent="0.3">
      <c r="C86" s="85"/>
      <c r="D86" s="85"/>
    </row>
    <row r="87" spans="3:4" ht="13" x14ac:dyDescent="0.3">
      <c r="C87" s="85"/>
      <c r="D87" s="85"/>
    </row>
    <row r="88" spans="3:4" ht="13" x14ac:dyDescent="0.3">
      <c r="C88" s="85"/>
      <c r="D88" s="85"/>
    </row>
    <row r="89" spans="3:4" ht="13" x14ac:dyDescent="0.3">
      <c r="C89" s="85"/>
      <c r="D89" s="85"/>
    </row>
    <row r="90" spans="3:4" ht="13" x14ac:dyDescent="0.3">
      <c r="C90" s="85"/>
      <c r="D90" s="85"/>
    </row>
    <row r="91" spans="3:4" ht="13" x14ac:dyDescent="0.3">
      <c r="C91" s="85"/>
      <c r="D91" s="85"/>
    </row>
    <row r="92" spans="3:4" ht="13" x14ac:dyDescent="0.3">
      <c r="C92" s="85"/>
      <c r="D92" s="85"/>
    </row>
    <row r="93" spans="3:4" ht="13" x14ac:dyDescent="0.3">
      <c r="C93" s="85"/>
      <c r="D93" s="85"/>
    </row>
    <row r="94" spans="3:4" ht="13" x14ac:dyDescent="0.3">
      <c r="C94" s="85"/>
      <c r="D94" s="85"/>
    </row>
    <row r="95" spans="3:4" ht="13" x14ac:dyDescent="0.3">
      <c r="C95" s="85"/>
      <c r="D95" s="85"/>
    </row>
    <row r="96" spans="3:4" ht="13" x14ac:dyDescent="0.3">
      <c r="C96" s="85"/>
      <c r="D96" s="85"/>
    </row>
    <row r="97" spans="3:4" ht="13" x14ac:dyDescent="0.3">
      <c r="C97" s="85"/>
      <c r="D97" s="85"/>
    </row>
    <row r="98" spans="3:4" ht="13" x14ac:dyDescent="0.3">
      <c r="C98" s="85"/>
      <c r="D98" s="85"/>
    </row>
    <row r="99" spans="3:4" ht="13" x14ac:dyDescent="0.3">
      <c r="C99" s="85"/>
      <c r="D99" s="85"/>
    </row>
    <row r="100" spans="3:4" ht="13" x14ac:dyDescent="0.3">
      <c r="C100" s="85"/>
      <c r="D100" s="85"/>
    </row>
    <row r="101" spans="3:4" ht="13" x14ac:dyDescent="0.3">
      <c r="C101" s="85"/>
      <c r="D101" s="85"/>
    </row>
    <row r="102" spans="3:4" ht="13" x14ac:dyDescent="0.3">
      <c r="C102" s="85"/>
      <c r="D102" s="85"/>
    </row>
    <row r="103" spans="3:4" ht="13" x14ac:dyDescent="0.3">
      <c r="C103" s="85"/>
      <c r="D103" s="85"/>
    </row>
    <row r="104" spans="3:4" ht="13" x14ac:dyDescent="0.3">
      <c r="C104" s="85"/>
      <c r="D104" s="85"/>
    </row>
    <row r="105" spans="3:4" ht="13" x14ac:dyDescent="0.3">
      <c r="C105" s="85"/>
      <c r="D105" s="85"/>
    </row>
    <row r="106" spans="3:4" ht="13" x14ac:dyDescent="0.3">
      <c r="C106" s="85"/>
      <c r="D106" s="85"/>
    </row>
    <row r="107" spans="3:4" ht="13" x14ac:dyDescent="0.3">
      <c r="C107" s="85"/>
      <c r="D107" s="85"/>
    </row>
    <row r="108" spans="3:4" ht="13" x14ac:dyDescent="0.3">
      <c r="C108" s="85"/>
      <c r="D108" s="85"/>
    </row>
    <row r="109" spans="3:4" ht="13" x14ac:dyDescent="0.3">
      <c r="C109" s="85"/>
      <c r="D109" s="85"/>
    </row>
    <row r="110" spans="3:4" ht="13" x14ac:dyDescent="0.3">
      <c r="C110" s="85"/>
      <c r="D110" s="85"/>
    </row>
    <row r="111" spans="3:4" ht="13" x14ac:dyDescent="0.3">
      <c r="C111" s="85"/>
      <c r="D111" s="85"/>
    </row>
    <row r="112" spans="3:4" ht="13" x14ac:dyDescent="0.3">
      <c r="C112" s="85"/>
      <c r="D112" s="85"/>
    </row>
    <row r="113" spans="3:4" ht="13" x14ac:dyDescent="0.3">
      <c r="C113" s="85"/>
      <c r="D113" s="85"/>
    </row>
    <row r="114" spans="3:4" ht="13" x14ac:dyDescent="0.3">
      <c r="C114" s="85"/>
      <c r="D114" s="85"/>
    </row>
    <row r="115" spans="3:4" ht="13" x14ac:dyDescent="0.3">
      <c r="C115" s="85"/>
      <c r="D115" s="85"/>
    </row>
    <row r="116" spans="3:4" ht="13" x14ac:dyDescent="0.3">
      <c r="C116" s="85"/>
      <c r="D116" s="85"/>
    </row>
    <row r="117" spans="3:4" ht="13" x14ac:dyDescent="0.3">
      <c r="C117" s="85"/>
      <c r="D117" s="85"/>
    </row>
  </sheetData>
  <mergeCells count="8">
    <mergeCell ref="G27:H27"/>
    <mergeCell ref="B25:B26"/>
    <mergeCell ref="F25:F26"/>
    <mergeCell ref="E25:E26"/>
    <mergeCell ref="I25:I26"/>
    <mergeCell ref="G25:H25"/>
    <mergeCell ref="C25:C26"/>
    <mergeCell ref="D25:D26"/>
  </mergeCells>
  <pageMargins left="0" right="0" top="0.75" bottom="0.75" header="0.5" footer="0.5"/>
  <pageSetup scale="72" fitToHeight="0" orientation="landscape" horizontalDpi="4294967293" r:id="rId1"/>
  <headerFooter>
    <oddHeader>&amp;L&amp;16Walkthrough Impuestos</oddHeader>
    <oddFooter>&amp;LEY Form U120A (20 May 2010)&amp;R&amp;P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2FDF5-C725-4021-9C10-49F908ADD90B}">
  <dimension ref="A2:Y172"/>
  <sheetViews>
    <sheetView showGridLines="0" tabSelected="1" zoomScale="80" zoomScaleNormal="80" workbookViewId="0">
      <selection activeCell="E73" sqref="E73"/>
    </sheetView>
  </sheetViews>
  <sheetFormatPr baseColWidth="10" defaultColWidth="10.81640625" defaultRowHeight="12.5" outlineLevelRow="1" x14ac:dyDescent="0.25"/>
  <cols>
    <col min="1" max="1" width="7.36328125" style="95" customWidth="1"/>
    <col min="2" max="2" width="20.26953125" style="95" customWidth="1"/>
    <col min="3" max="3" width="17.36328125" style="95" customWidth="1"/>
    <col min="4" max="4" width="11.7265625" style="95" customWidth="1"/>
    <col min="5" max="5" width="19.81640625" style="95" customWidth="1"/>
    <col min="6" max="6" width="17.81640625" style="95" customWidth="1"/>
    <col min="7" max="7" width="18.81640625" style="95" customWidth="1"/>
    <col min="8" max="8" width="13.6328125" style="95" customWidth="1"/>
    <col min="9" max="9" width="26.81640625" style="95" bestFit="1" customWidth="1"/>
    <col min="10" max="10" width="22.54296875" style="147" bestFit="1" customWidth="1"/>
    <col min="11" max="11" width="16" style="95" customWidth="1"/>
    <col min="12" max="12" width="20.1796875" style="95" customWidth="1"/>
    <col min="13" max="13" width="14.6328125" style="95" bestFit="1" customWidth="1"/>
    <col min="14" max="14" width="17.08984375" style="95" customWidth="1"/>
    <col min="15" max="16" width="17" style="95" customWidth="1"/>
    <col min="17" max="17" width="31.81640625" style="95" customWidth="1"/>
    <col min="18" max="18" width="17" style="95" customWidth="1"/>
    <col min="19" max="19" width="12.08984375" style="95" customWidth="1"/>
    <col min="20" max="20" width="8.1796875" style="95" customWidth="1"/>
    <col min="21" max="22" width="17.81640625" style="95" customWidth="1"/>
    <col min="23" max="23" width="17.26953125" style="95" customWidth="1"/>
    <col min="24" max="24" width="17.36328125" style="95" customWidth="1"/>
    <col min="25" max="25" width="13.90625" style="95" customWidth="1"/>
    <col min="26" max="16384" width="10.81640625" style="95"/>
  </cols>
  <sheetData>
    <row r="2" spans="2:25" x14ac:dyDescent="0.25">
      <c r="C2" s="20"/>
      <c r="D2" s="71"/>
      <c r="E2" s="71"/>
      <c r="F2" s="20"/>
      <c r="G2" s="20"/>
      <c r="H2" s="20"/>
      <c r="I2" s="20"/>
      <c r="J2" s="20"/>
    </row>
    <row r="3" spans="2:25" x14ac:dyDescent="0.25">
      <c r="C3" s="20"/>
      <c r="D3" s="46"/>
      <c r="E3" s="46"/>
      <c r="F3" s="20"/>
      <c r="G3" s="20"/>
      <c r="H3" s="20"/>
      <c r="I3" s="20"/>
      <c r="J3" s="20"/>
      <c r="U3" s="100" t="s">
        <v>0</v>
      </c>
      <c r="V3" s="100" t="s">
        <v>1</v>
      </c>
      <c r="W3" s="101" t="s">
        <v>68</v>
      </c>
    </row>
    <row r="4" spans="2:25" x14ac:dyDescent="0.25">
      <c r="C4" s="20"/>
      <c r="D4" s="46"/>
      <c r="E4" s="46"/>
      <c r="F4" s="20"/>
      <c r="G4" s="20"/>
      <c r="H4" s="20"/>
      <c r="I4" s="20"/>
      <c r="J4" s="20"/>
      <c r="K4" s="47"/>
      <c r="L4" s="48"/>
      <c r="M4" s="20"/>
      <c r="U4" s="124" t="s">
        <v>145</v>
      </c>
      <c r="V4" s="125" t="s">
        <v>145</v>
      </c>
      <c r="W4" s="102">
        <v>130.04</v>
      </c>
    </row>
    <row r="5" spans="2:25" x14ac:dyDescent="0.25">
      <c r="C5" s="20"/>
      <c r="D5" s="46"/>
      <c r="E5" s="46"/>
      <c r="F5" s="20"/>
      <c r="G5" s="20"/>
      <c r="H5" s="20"/>
      <c r="I5" s="20"/>
      <c r="J5" s="20"/>
      <c r="K5" s="47"/>
      <c r="L5" s="48"/>
      <c r="M5" s="20"/>
      <c r="T5" s="116"/>
      <c r="U5" s="117"/>
      <c r="V5" s="118"/>
    </row>
    <row r="6" spans="2:25" x14ac:dyDescent="0.25">
      <c r="B6" s="93" t="s">
        <v>146</v>
      </c>
      <c r="E6" s="1"/>
      <c r="F6" s="1"/>
      <c r="G6" s="1"/>
      <c r="H6" s="1"/>
      <c r="I6" s="1"/>
      <c r="J6" s="1"/>
      <c r="K6" s="1"/>
      <c r="L6" s="1"/>
      <c r="M6" s="1"/>
      <c r="N6" s="1"/>
      <c r="O6" s="1"/>
      <c r="P6" s="1"/>
      <c r="Q6" s="1"/>
      <c r="R6" s="1"/>
      <c r="S6" s="1"/>
      <c r="T6" s="1"/>
      <c r="U6" s="1"/>
      <c r="V6" s="1"/>
      <c r="W6" s="1"/>
    </row>
    <row r="7" spans="2:25" x14ac:dyDescent="0.25">
      <c r="B7" s="93" t="s">
        <v>96</v>
      </c>
      <c r="E7" s="5"/>
      <c r="F7" s="1"/>
      <c r="G7" s="1"/>
      <c r="H7" s="1"/>
      <c r="I7" s="1"/>
      <c r="J7" s="1"/>
      <c r="K7" s="1"/>
      <c r="L7" s="1"/>
      <c r="M7" s="1"/>
      <c r="N7" s="1"/>
      <c r="O7" s="1"/>
      <c r="P7" s="1"/>
      <c r="Q7" s="1"/>
      <c r="R7" s="1"/>
      <c r="S7" s="1"/>
      <c r="T7" s="1"/>
      <c r="U7" s="1"/>
      <c r="V7" s="1"/>
      <c r="W7" s="1"/>
    </row>
    <row r="8" spans="2:25" x14ac:dyDescent="0.25">
      <c r="B8" s="109" t="s">
        <v>147</v>
      </c>
      <c r="E8" s="97"/>
      <c r="F8" s="97"/>
      <c r="G8" s="97"/>
      <c r="H8" s="97"/>
      <c r="I8" s="97"/>
      <c r="J8" s="97"/>
      <c r="K8" s="97"/>
      <c r="L8" s="97"/>
      <c r="M8" s="97"/>
      <c r="N8" s="97"/>
      <c r="O8" s="97"/>
      <c r="P8" s="97"/>
      <c r="Q8" s="97"/>
      <c r="R8" s="97"/>
      <c r="S8" s="97"/>
      <c r="T8" s="97"/>
      <c r="U8" s="97"/>
      <c r="V8" s="97"/>
      <c r="W8" s="97"/>
    </row>
    <row r="9" spans="2:25" x14ac:dyDescent="0.25">
      <c r="B9" s="108" t="s">
        <v>148</v>
      </c>
      <c r="E9" s="97"/>
      <c r="F9" s="97"/>
      <c r="G9" s="97"/>
      <c r="H9" s="97"/>
      <c r="I9" s="97"/>
      <c r="J9" s="97"/>
      <c r="K9" s="97"/>
      <c r="L9" s="97"/>
      <c r="M9" s="97"/>
      <c r="N9" s="97"/>
      <c r="O9" s="97"/>
      <c r="P9" s="97"/>
      <c r="Q9" s="97"/>
      <c r="R9" s="97"/>
      <c r="S9" s="97"/>
      <c r="T9" s="97"/>
      <c r="U9" s="97"/>
      <c r="V9" s="97"/>
      <c r="W9" s="97"/>
    </row>
    <row r="10" spans="2:25" ht="7" customHeight="1" thickBot="1" x14ac:dyDescent="0.4">
      <c r="B10" s="98"/>
      <c r="C10" s="98"/>
      <c r="D10" s="98"/>
      <c r="E10" s="98"/>
      <c r="F10" s="98"/>
      <c r="G10" s="98"/>
      <c r="H10" s="98"/>
      <c r="I10" s="98"/>
      <c r="J10" s="98"/>
      <c r="K10" s="98"/>
      <c r="L10" s="98"/>
      <c r="M10" s="98"/>
      <c r="N10" s="98"/>
      <c r="O10" s="98"/>
      <c r="P10" s="98"/>
      <c r="Q10" s="98"/>
      <c r="R10" s="98"/>
      <c r="S10" s="98"/>
      <c r="T10" s="98"/>
      <c r="U10" s="98"/>
      <c r="V10" s="98"/>
      <c r="W10" s="98"/>
      <c r="X10"/>
      <c r="Y10"/>
    </row>
    <row r="11" spans="2:25" ht="15" thickTop="1" x14ac:dyDescent="0.35">
      <c r="B11" s="99"/>
      <c r="C11" s="99"/>
      <c r="D11" s="99"/>
      <c r="E11" s="99"/>
      <c r="F11" s="99"/>
      <c r="G11" s="99"/>
      <c r="H11" s="99"/>
      <c r="I11" s="99"/>
      <c r="J11" s="99"/>
      <c r="K11" s="99"/>
      <c r="L11" s="99"/>
      <c r="M11" s="99"/>
      <c r="N11" s="99"/>
      <c r="O11" s="99"/>
      <c r="P11" s="99"/>
      <c r="Q11" s="99"/>
      <c r="R11" s="99"/>
      <c r="S11" s="99"/>
      <c r="T11" s="99"/>
      <c r="U11" s="99"/>
      <c r="V11" s="99"/>
      <c r="W11" s="99"/>
      <c r="X11"/>
      <c r="Y11"/>
    </row>
    <row r="12" spans="2:25" x14ac:dyDescent="0.25">
      <c r="B12" s="96" t="s">
        <v>32</v>
      </c>
      <c r="E12" s="28"/>
      <c r="F12" s="46"/>
      <c r="G12" s="46"/>
      <c r="H12" s="46"/>
      <c r="I12" s="46"/>
      <c r="J12" s="46"/>
      <c r="K12" s="46"/>
      <c r="L12" s="46"/>
      <c r="M12" s="46"/>
      <c r="N12" s="46"/>
      <c r="O12" s="46"/>
      <c r="P12" s="46"/>
      <c r="Q12" s="46"/>
      <c r="R12" s="46"/>
      <c r="S12" s="46"/>
    </row>
    <row r="13" spans="2:25" ht="7" customHeight="1" x14ac:dyDescent="0.25">
      <c r="B13" s="96"/>
      <c r="E13" s="28"/>
      <c r="F13" s="46"/>
      <c r="G13" s="46"/>
      <c r="H13" s="46"/>
      <c r="I13" s="46"/>
      <c r="J13" s="46"/>
      <c r="K13" s="46"/>
      <c r="L13" s="46"/>
      <c r="M13" s="46"/>
      <c r="N13" s="46"/>
      <c r="O13" s="46"/>
      <c r="P13" s="46"/>
      <c r="Q13" s="46"/>
      <c r="R13" s="46"/>
      <c r="S13" s="46"/>
    </row>
    <row r="14" spans="2:25" x14ac:dyDescent="0.25">
      <c r="B14" s="95" t="s">
        <v>149</v>
      </c>
      <c r="E14" s="7"/>
      <c r="F14" s="46"/>
      <c r="G14" s="46"/>
      <c r="H14" s="46"/>
      <c r="I14" s="46"/>
      <c r="J14" s="46"/>
      <c r="K14" s="46"/>
      <c r="L14" s="46"/>
      <c r="M14" s="46"/>
      <c r="N14" s="46"/>
      <c r="O14" s="46"/>
      <c r="P14" s="46"/>
      <c r="Q14" s="46"/>
      <c r="R14" s="46"/>
      <c r="S14" s="46"/>
    </row>
    <row r="15" spans="2:25" x14ac:dyDescent="0.25">
      <c r="B15" s="95" t="s">
        <v>150</v>
      </c>
      <c r="E15" s="7"/>
      <c r="F15" s="46"/>
      <c r="G15" s="46"/>
      <c r="H15" s="46"/>
      <c r="I15" s="46"/>
      <c r="J15" s="46"/>
      <c r="K15" s="46"/>
      <c r="L15" s="46"/>
      <c r="M15" s="46"/>
      <c r="N15" s="46"/>
      <c r="O15" s="46"/>
      <c r="P15" s="46"/>
      <c r="Q15" s="46"/>
      <c r="R15" s="46"/>
      <c r="S15" s="46"/>
    </row>
    <row r="16" spans="2:25" x14ac:dyDescent="0.25">
      <c r="C16" s="129"/>
      <c r="E16" s="7"/>
      <c r="F16" s="46"/>
      <c r="G16" s="46"/>
      <c r="H16" s="46"/>
      <c r="I16" s="46"/>
      <c r="J16" s="46"/>
      <c r="K16" s="46"/>
      <c r="L16" s="46"/>
      <c r="M16" s="46"/>
      <c r="N16" s="46"/>
      <c r="O16" s="46"/>
      <c r="P16" s="46"/>
      <c r="Q16" s="46"/>
      <c r="R16" s="46"/>
      <c r="S16" s="46"/>
    </row>
    <row r="17" spans="1:19" x14ac:dyDescent="0.25">
      <c r="B17" s="96" t="s">
        <v>81</v>
      </c>
      <c r="G17" s="46"/>
      <c r="H17" s="46"/>
      <c r="I17" s="46"/>
      <c r="J17" s="46"/>
      <c r="K17" s="46"/>
      <c r="L17" s="46"/>
      <c r="M17" s="46"/>
      <c r="N17" s="46"/>
      <c r="O17" s="46"/>
      <c r="P17" s="46"/>
      <c r="Q17" s="46"/>
      <c r="R17" s="46"/>
      <c r="S17" s="46"/>
    </row>
    <row r="18" spans="1:19" ht="7" customHeight="1" x14ac:dyDescent="0.25">
      <c r="B18" s="96"/>
      <c r="G18" s="46"/>
      <c r="H18" s="46"/>
      <c r="I18" s="46"/>
      <c r="J18" s="46"/>
      <c r="K18" s="46"/>
      <c r="L18" s="46"/>
      <c r="M18" s="46"/>
      <c r="N18" s="46"/>
      <c r="O18" s="46"/>
      <c r="P18" s="46"/>
      <c r="Q18" s="46"/>
      <c r="R18" s="46"/>
      <c r="S18" s="46"/>
    </row>
    <row r="19" spans="1:19" x14ac:dyDescent="0.25">
      <c r="B19" s="120"/>
      <c r="C19" s="121" t="s">
        <v>94</v>
      </c>
      <c r="D19" s="121" t="s">
        <v>53</v>
      </c>
      <c r="G19" s="46"/>
      <c r="H19" s="46"/>
      <c r="I19" s="46"/>
      <c r="J19" s="46"/>
      <c r="K19" s="46"/>
      <c r="L19" s="46"/>
      <c r="M19" s="46"/>
      <c r="N19" s="46"/>
      <c r="O19" s="46"/>
      <c r="P19" s="46"/>
      <c r="Q19" s="46"/>
      <c r="R19" s="46"/>
      <c r="S19" s="46"/>
    </row>
    <row r="20" spans="1:19" x14ac:dyDescent="0.25">
      <c r="B20" s="122" t="s">
        <v>83</v>
      </c>
      <c r="C20" s="157" t="s">
        <v>151</v>
      </c>
      <c r="D20" s="119" t="s">
        <v>151</v>
      </c>
      <c r="G20" s="46"/>
      <c r="H20" s="46"/>
      <c r="I20" s="46"/>
      <c r="J20" s="46"/>
      <c r="K20" s="46"/>
      <c r="L20" s="46"/>
      <c r="M20" s="46"/>
      <c r="N20" s="46"/>
      <c r="O20" s="46"/>
      <c r="P20" s="46"/>
      <c r="Q20" s="46"/>
      <c r="R20" s="46"/>
      <c r="S20" s="46"/>
    </row>
    <row r="21" spans="1:19" x14ac:dyDescent="0.25">
      <c r="B21" s="122" t="s">
        <v>84</v>
      </c>
      <c r="C21" s="157" t="s">
        <v>151</v>
      </c>
      <c r="D21" s="119" t="s">
        <v>151</v>
      </c>
      <c r="G21" s="46"/>
      <c r="H21" s="46"/>
      <c r="I21" s="46"/>
      <c r="J21" s="46"/>
      <c r="K21" s="46"/>
      <c r="L21" s="46"/>
      <c r="M21" s="46"/>
      <c r="N21" s="46"/>
      <c r="O21" s="46"/>
      <c r="P21" s="46"/>
      <c r="Q21" s="46"/>
      <c r="R21" s="46"/>
      <c r="S21" s="46"/>
    </row>
    <row r="22" spans="1:19" x14ac:dyDescent="0.25">
      <c r="B22" s="122" t="s">
        <v>85</v>
      </c>
      <c r="C22" s="157" t="s">
        <v>151</v>
      </c>
      <c r="D22" s="119" t="s">
        <v>151</v>
      </c>
      <c r="G22" s="46"/>
      <c r="H22" s="46"/>
      <c r="I22" s="46"/>
      <c r="J22" s="46"/>
      <c r="K22" s="46"/>
      <c r="L22" s="46"/>
      <c r="M22" s="46"/>
      <c r="N22" s="46"/>
      <c r="O22" s="46"/>
      <c r="P22" s="46"/>
      <c r="Q22" s="46"/>
      <c r="R22" s="46"/>
      <c r="S22" s="46"/>
    </row>
    <row r="23" spans="1:19" x14ac:dyDescent="0.25">
      <c r="C23" s="129"/>
      <c r="D23" s="96"/>
      <c r="E23" s="43"/>
      <c r="F23" s="46"/>
      <c r="G23" s="46"/>
      <c r="H23" s="46"/>
      <c r="I23" s="46"/>
      <c r="J23" s="46"/>
      <c r="K23" s="46"/>
      <c r="L23" s="46"/>
      <c r="M23" s="46"/>
      <c r="N23" s="46"/>
      <c r="O23" s="46"/>
      <c r="P23" s="46"/>
      <c r="Q23" s="46"/>
      <c r="R23" s="46"/>
      <c r="S23" s="46"/>
    </row>
    <row r="24" spans="1:19" x14ac:dyDescent="0.25">
      <c r="A24" s="129"/>
      <c r="B24" s="96" t="s">
        <v>86</v>
      </c>
      <c r="E24" s="28"/>
      <c r="F24" s="46"/>
      <c r="G24" s="46"/>
      <c r="H24" s="46"/>
      <c r="I24" s="46"/>
      <c r="J24" s="46"/>
      <c r="K24" s="46"/>
      <c r="L24" s="46"/>
      <c r="M24" s="46"/>
      <c r="N24" s="46"/>
      <c r="O24" s="46"/>
      <c r="P24" s="46"/>
      <c r="Q24" s="46"/>
      <c r="R24" s="46"/>
      <c r="S24" s="46"/>
    </row>
    <row r="25" spans="1:19" ht="7" customHeight="1" x14ac:dyDescent="0.25">
      <c r="A25" s="129"/>
      <c r="B25" s="96"/>
      <c r="E25" s="28"/>
      <c r="F25" s="46"/>
      <c r="G25" s="46"/>
      <c r="H25" s="46"/>
      <c r="I25" s="46"/>
      <c r="J25" s="46"/>
      <c r="K25" s="46"/>
      <c r="L25" s="46"/>
      <c r="M25" s="46"/>
      <c r="N25" s="46"/>
      <c r="O25" s="46"/>
      <c r="P25" s="46"/>
      <c r="Q25" s="46"/>
      <c r="R25" s="46"/>
      <c r="S25" s="46"/>
    </row>
    <row r="26" spans="1:19" x14ac:dyDescent="0.25">
      <c r="A26" s="129" t="s">
        <v>89</v>
      </c>
      <c r="B26" s="44" t="s">
        <v>152</v>
      </c>
      <c r="E26" s="28"/>
      <c r="F26" s="46"/>
      <c r="G26" s="46"/>
      <c r="H26" s="46"/>
      <c r="I26" s="46"/>
      <c r="J26" s="46"/>
      <c r="K26" s="46"/>
      <c r="L26" s="46"/>
      <c r="M26" s="46"/>
      <c r="N26" s="46"/>
      <c r="O26" s="46"/>
      <c r="P26" s="46"/>
      <c r="Q26" s="46"/>
      <c r="R26" s="46"/>
      <c r="S26" s="46"/>
    </row>
    <row r="27" spans="1:19" x14ac:dyDescent="0.25">
      <c r="A27" s="129" t="s">
        <v>90</v>
      </c>
      <c r="B27" s="44" t="s">
        <v>98</v>
      </c>
      <c r="E27" s="28"/>
      <c r="F27" s="46"/>
      <c r="G27" s="46"/>
      <c r="H27" s="46"/>
      <c r="I27" s="46"/>
      <c r="J27" s="46"/>
      <c r="K27" s="46"/>
      <c r="L27" s="46"/>
      <c r="M27" s="46"/>
      <c r="N27" s="46"/>
      <c r="O27" s="46"/>
      <c r="P27" s="46"/>
      <c r="Q27" s="46"/>
      <c r="R27" s="46"/>
      <c r="S27" s="46"/>
    </row>
    <row r="28" spans="1:19" x14ac:dyDescent="0.25">
      <c r="A28" s="129" t="s">
        <v>91</v>
      </c>
      <c r="B28" s="44" t="s">
        <v>97</v>
      </c>
      <c r="E28" s="28"/>
      <c r="F28" s="46"/>
      <c r="G28" s="46"/>
      <c r="H28" s="46"/>
      <c r="I28" s="46"/>
      <c r="J28" s="46"/>
      <c r="K28" s="46"/>
      <c r="L28" s="46"/>
      <c r="M28" s="46"/>
      <c r="N28" s="46"/>
      <c r="O28" s="46"/>
      <c r="P28" s="46"/>
      <c r="Q28" s="46"/>
      <c r="R28" s="46"/>
      <c r="S28" s="46"/>
    </row>
    <row r="29" spans="1:19" x14ac:dyDescent="0.25">
      <c r="A29" s="129" t="s">
        <v>92</v>
      </c>
      <c r="B29" s="44" t="s">
        <v>100</v>
      </c>
      <c r="E29" s="28"/>
      <c r="F29" s="46"/>
      <c r="G29" s="46"/>
      <c r="I29" s="46"/>
      <c r="J29" s="46"/>
      <c r="K29" s="46"/>
      <c r="L29" s="46"/>
      <c r="M29" s="46"/>
      <c r="N29" s="46"/>
      <c r="O29" s="46"/>
      <c r="P29" s="46"/>
      <c r="Q29" s="46"/>
      <c r="R29" s="46"/>
      <c r="S29" s="46"/>
    </row>
    <row r="30" spans="1:19" x14ac:dyDescent="0.25">
      <c r="A30" s="129" t="s">
        <v>99</v>
      </c>
      <c r="B30" s="44" t="s">
        <v>144</v>
      </c>
      <c r="E30" s="28"/>
      <c r="F30" s="46"/>
      <c r="G30" s="46"/>
      <c r="I30" s="46"/>
      <c r="J30" s="46"/>
      <c r="K30" s="46"/>
      <c r="L30" s="46"/>
      <c r="M30" s="46"/>
      <c r="N30" s="46"/>
      <c r="O30" s="46"/>
      <c r="P30" s="46"/>
      <c r="Q30" s="46"/>
      <c r="R30" s="46"/>
      <c r="S30" s="46"/>
    </row>
    <row r="31" spans="1:19" x14ac:dyDescent="0.25">
      <c r="A31" s="129" t="s">
        <v>143</v>
      </c>
      <c r="B31" s="20" t="s">
        <v>112</v>
      </c>
      <c r="E31" s="45"/>
      <c r="F31" s="46"/>
      <c r="G31" s="46"/>
      <c r="H31" s="46"/>
      <c r="I31" s="46"/>
      <c r="J31" s="46"/>
      <c r="K31" s="46"/>
      <c r="L31" s="46"/>
      <c r="M31" s="46"/>
      <c r="N31" s="46"/>
      <c r="O31" s="46"/>
      <c r="P31" s="46"/>
      <c r="Q31" s="46"/>
      <c r="R31" s="46"/>
      <c r="S31" s="46"/>
    </row>
    <row r="32" spans="1:19" x14ac:dyDescent="0.25">
      <c r="C32" s="20"/>
      <c r="D32" s="20"/>
      <c r="E32" s="20"/>
      <c r="F32" s="46"/>
      <c r="G32" s="46"/>
      <c r="H32" s="46"/>
      <c r="I32" s="46"/>
      <c r="J32" s="46"/>
      <c r="K32" s="46"/>
      <c r="L32" s="46"/>
      <c r="M32" s="46"/>
      <c r="N32" s="46"/>
      <c r="O32" s="46"/>
      <c r="P32" s="46"/>
      <c r="Q32" s="46"/>
      <c r="R32" s="46"/>
      <c r="S32" s="46"/>
    </row>
    <row r="33" spans="2:25" x14ac:dyDescent="0.25">
      <c r="B33" s="96" t="s">
        <v>80</v>
      </c>
      <c r="J33" s="95"/>
      <c r="V33" s="173"/>
      <c r="W33" s="173"/>
    </row>
    <row r="34" spans="2:25" x14ac:dyDescent="0.25">
      <c r="C34" s="20"/>
      <c r="D34" s="96"/>
      <c r="H34" s="126"/>
      <c r="I34" s="137"/>
      <c r="J34" s="137"/>
      <c r="K34" s="137"/>
      <c r="L34" s="137"/>
      <c r="U34" s="103"/>
      <c r="V34" s="173"/>
      <c r="W34" s="173"/>
    </row>
    <row r="35" spans="2:25" x14ac:dyDescent="0.25">
      <c r="C35" s="20"/>
      <c r="D35" s="96"/>
      <c r="J35" s="95"/>
      <c r="U35" s="158" t="s">
        <v>153</v>
      </c>
      <c r="V35" s="174"/>
      <c r="W35" s="174"/>
    </row>
    <row r="36" spans="2:25" x14ac:dyDescent="0.25">
      <c r="D36" s="94"/>
      <c r="E36" s="175"/>
      <c r="F36" s="175"/>
      <c r="G36" s="175"/>
      <c r="H36" s="175"/>
      <c r="I36" s="175"/>
      <c r="J36" s="175"/>
      <c r="K36" s="175"/>
      <c r="L36" s="175"/>
      <c r="M36" s="175"/>
      <c r="N36" s="175"/>
      <c r="O36" s="175"/>
      <c r="P36" s="175"/>
      <c r="Q36" s="175"/>
      <c r="R36" s="175"/>
      <c r="S36" s="175"/>
    </row>
    <row r="37" spans="2:25" s="138" customFormat="1" ht="25" x14ac:dyDescent="0.35">
      <c r="B37" s="110" t="s">
        <v>127</v>
      </c>
      <c r="C37" s="110" t="s">
        <v>128</v>
      </c>
      <c r="D37" s="110" t="s">
        <v>133</v>
      </c>
      <c r="E37" s="110" t="s">
        <v>134</v>
      </c>
      <c r="F37" s="110" t="s">
        <v>135</v>
      </c>
      <c r="G37" s="110" t="s">
        <v>136</v>
      </c>
      <c r="H37" s="110" t="s">
        <v>137</v>
      </c>
      <c r="I37" s="110" t="s">
        <v>115</v>
      </c>
      <c r="J37" s="110" t="s">
        <v>138</v>
      </c>
      <c r="K37" s="110" t="s">
        <v>116</v>
      </c>
      <c r="L37" s="112" t="s">
        <v>117</v>
      </c>
      <c r="M37" s="113" t="s">
        <v>118</v>
      </c>
      <c r="N37" s="114" t="s">
        <v>119</v>
      </c>
      <c r="O37" s="159" t="s">
        <v>139</v>
      </c>
      <c r="P37" s="159" t="s">
        <v>120</v>
      </c>
      <c r="Q37" s="159" t="s">
        <v>6</v>
      </c>
      <c r="R37" s="159" t="s">
        <v>121</v>
      </c>
      <c r="S37" s="159" t="s">
        <v>140</v>
      </c>
      <c r="T37" s="104">
        <v>1</v>
      </c>
      <c r="U37" s="110" t="s">
        <v>66</v>
      </c>
      <c r="V37" s="115" t="s">
        <v>113</v>
      </c>
      <c r="W37" s="115" t="s">
        <v>105</v>
      </c>
      <c r="X37" s="169" t="s">
        <v>132</v>
      </c>
      <c r="Y37"/>
    </row>
    <row r="38" spans="2:25" ht="14.5" outlineLevel="1" x14ac:dyDescent="0.35">
      <c r="B38" s="164"/>
      <c r="C38" s="127"/>
      <c r="D38" s="127"/>
      <c r="E38" s="127"/>
      <c r="F38" s="127"/>
      <c r="G38" s="139"/>
      <c r="H38" s="164"/>
      <c r="I38" s="127"/>
      <c r="J38" s="140"/>
      <c r="K38" s="127"/>
      <c r="L38" s="127"/>
      <c r="M38" s="141"/>
      <c r="N38" s="127"/>
      <c r="O38" s="128"/>
      <c r="P38" s="160"/>
      <c r="Q38" s="160"/>
      <c r="R38" s="128"/>
      <c r="S38" s="128"/>
      <c r="U38" s="142" t="e">
        <f t="shared" ref="U38:U49" si="0">+($U$35-Q38)</f>
        <v>#VALUE!</v>
      </c>
      <c r="V38" s="150" t="e">
        <f>IF(AND(U38&gt;=1,U38&lt;=30),-2,IF(AND(U38&gt;=31,U38&lt;=60),-3,IF(AND(U38&gt;=61,U38&lt;=120),-4,IF(AND(U38&gt;=121,U38&lt;=240),-5,IF(AND(U38&gt;=241,U38&lt;=360),-6,IF(U38&gt;360,-7,-1))))))</f>
        <v>#VALUE!</v>
      </c>
      <c r="W38" s="161">
        <f>+YEAR(Q38)</f>
        <v>1900</v>
      </c>
      <c r="Y38"/>
    </row>
    <row r="39" spans="2:25" ht="14.5" outlineLevel="1" x14ac:dyDescent="0.35">
      <c r="B39" s="164"/>
      <c r="C39" s="127"/>
      <c r="D39" s="127"/>
      <c r="E39" s="127"/>
      <c r="F39" s="127"/>
      <c r="G39" s="139"/>
      <c r="H39" s="164"/>
      <c r="I39" s="127"/>
      <c r="J39" s="140"/>
      <c r="K39" s="127"/>
      <c r="L39" s="127"/>
      <c r="M39" s="141"/>
      <c r="N39" s="127"/>
      <c r="O39" s="128"/>
      <c r="P39" s="160"/>
      <c r="Q39" s="160"/>
      <c r="R39" s="128"/>
      <c r="S39" s="128"/>
      <c r="U39" s="142" t="e">
        <f t="shared" si="0"/>
        <v>#VALUE!</v>
      </c>
      <c r="V39" s="150" t="e">
        <f t="shared" ref="V39:V49" si="1">IF(AND(U39&gt;=1,U39&lt;=30),-2,IF(AND(U39&gt;=31,U39&lt;=60),-3,IF(AND(U39&gt;=61,U39&lt;=120),-4,IF(AND(U39&gt;=121,U39&lt;=240),-5,IF(AND(U39&gt;=241,U39&lt;=360),-6,IF(U39&gt;360,-7,-1))))))</f>
        <v>#VALUE!</v>
      </c>
      <c r="W39" s="161">
        <f t="shared" ref="W39:W49" si="2">+YEAR(Q39)</f>
        <v>1900</v>
      </c>
      <c r="Y39"/>
    </row>
    <row r="40" spans="2:25" ht="14.5" outlineLevel="1" x14ac:dyDescent="0.35">
      <c r="B40" s="164"/>
      <c r="C40" s="127"/>
      <c r="D40" s="127"/>
      <c r="E40" s="127"/>
      <c r="F40" s="127"/>
      <c r="G40" s="139"/>
      <c r="H40" s="164"/>
      <c r="I40" s="127"/>
      <c r="J40" s="140"/>
      <c r="K40" s="127"/>
      <c r="L40" s="127"/>
      <c r="M40" s="141"/>
      <c r="N40" s="127"/>
      <c r="O40" s="128"/>
      <c r="P40" s="160"/>
      <c r="Q40" s="160"/>
      <c r="R40" s="128"/>
      <c r="S40" s="128"/>
      <c r="U40" s="142" t="e">
        <f t="shared" si="0"/>
        <v>#VALUE!</v>
      </c>
      <c r="V40" s="150" t="e">
        <f t="shared" si="1"/>
        <v>#VALUE!</v>
      </c>
      <c r="W40" s="161">
        <f t="shared" si="2"/>
        <v>1900</v>
      </c>
      <c r="Y40"/>
    </row>
    <row r="41" spans="2:25" ht="14.5" outlineLevel="1" x14ac:dyDescent="0.35">
      <c r="B41" s="176" t="s">
        <v>165</v>
      </c>
      <c r="C41" s="127"/>
      <c r="D41" s="127"/>
      <c r="E41" s="127"/>
      <c r="F41" s="127"/>
      <c r="G41" s="139"/>
      <c r="H41" s="164"/>
      <c r="I41" s="127"/>
      <c r="J41" s="140"/>
      <c r="K41" s="127"/>
      <c r="L41" s="127"/>
      <c r="M41" s="141"/>
      <c r="N41" s="127"/>
      <c r="O41" s="128"/>
      <c r="P41" s="160"/>
      <c r="Q41" s="160"/>
      <c r="R41" s="128"/>
      <c r="S41" s="128"/>
      <c r="U41" s="142" t="e">
        <f t="shared" si="0"/>
        <v>#VALUE!</v>
      </c>
      <c r="V41" s="150" t="e">
        <f t="shared" si="1"/>
        <v>#VALUE!</v>
      </c>
      <c r="W41" s="161">
        <f t="shared" si="2"/>
        <v>1900</v>
      </c>
      <c r="Y41"/>
    </row>
    <row r="42" spans="2:25" ht="14.5" outlineLevel="1" x14ac:dyDescent="0.35">
      <c r="B42" s="164"/>
      <c r="C42" s="127"/>
      <c r="D42" s="127"/>
      <c r="E42" s="127"/>
      <c r="F42" s="127"/>
      <c r="G42" s="139"/>
      <c r="H42" s="164"/>
      <c r="I42" s="127"/>
      <c r="J42" s="140"/>
      <c r="K42" s="127"/>
      <c r="L42" s="127"/>
      <c r="M42" s="141"/>
      <c r="N42" s="127"/>
      <c r="O42" s="128"/>
      <c r="P42" s="160"/>
      <c r="Q42" s="160"/>
      <c r="R42" s="128"/>
      <c r="S42" s="128"/>
      <c r="U42" s="142" t="e">
        <f t="shared" si="0"/>
        <v>#VALUE!</v>
      </c>
      <c r="V42" s="150" t="e">
        <f t="shared" si="1"/>
        <v>#VALUE!</v>
      </c>
      <c r="W42" s="161">
        <f t="shared" si="2"/>
        <v>1900</v>
      </c>
      <c r="Y42"/>
    </row>
    <row r="43" spans="2:25" ht="14.5" outlineLevel="1" x14ac:dyDescent="0.35">
      <c r="B43" s="164"/>
      <c r="C43" s="127"/>
      <c r="D43" s="127"/>
      <c r="E43" s="127"/>
      <c r="F43" s="127"/>
      <c r="G43" s="139"/>
      <c r="H43" s="164"/>
      <c r="I43" s="127"/>
      <c r="J43" s="140"/>
      <c r="K43" s="127"/>
      <c r="L43" s="127"/>
      <c r="M43" s="141"/>
      <c r="N43" s="127"/>
      <c r="O43" s="128"/>
      <c r="P43" s="160"/>
      <c r="Q43" s="160"/>
      <c r="R43" s="128"/>
      <c r="S43" s="128"/>
      <c r="U43" s="142" t="e">
        <f t="shared" si="0"/>
        <v>#VALUE!</v>
      </c>
      <c r="V43" s="150" t="e">
        <f t="shared" si="1"/>
        <v>#VALUE!</v>
      </c>
      <c r="W43" s="161">
        <f t="shared" si="2"/>
        <v>1900</v>
      </c>
      <c r="Y43"/>
    </row>
    <row r="44" spans="2:25" ht="14.5" outlineLevel="1" x14ac:dyDescent="0.35">
      <c r="B44" s="164"/>
      <c r="C44" s="127"/>
      <c r="D44" s="127"/>
      <c r="E44" s="127"/>
      <c r="F44" s="127"/>
      <c r="G44" s="139"/>
      <c r="H44" s="164"/>
      <c r="I44" s="127"/>
      <c r="J44" s="140"/>
      <c r="K44" s="127"/>
      <c r="L44" s="127"/>
      <c r="M44" s="141"/>
      <c r="N44" s="127"/>
      <c r="O44" s="128"/>
      <c r="P44" s="160"/>
      <c r="Q44" s="160"/>
      <c r="R44" s="128"/>
      <c r="S44" s="128"/>
      <c r="U44" s="142" t="e">
        <f t="shared" si="0"/>
        <v>#VALUE!</v>
      </c>
      <c r="V44" s="150" t="e">
        <f t="shared" si="1"/>
        <v>#VALUE!</v>
      </c>
      <c r="W44" s="161">
        <f t="shared" si="2"/>
        <v>1900</v>
      </c>
      <c r="Y44"/>
    </row>
    <row r="45" spans="2:25" ht="14.5" outlineLevel="1" x14ac:dyDescent="0.35">
      <c r="B45" s="164"/>
      <c r="C45" s="127"/>
      <c r="D45" s="127"/>
      <c r="E45" s="127"/>
      <c r="F45" s="127"/>
      <c r="G45" s="139"/>
      <c r="H45" s="164"/>
      <c r="I45" s="127"/>
      <c r="J45" s="140"/>
      <c r="K45" s="127"/>
      <c r="L45" s="127"/>
      <c r="M45" s="141"/>
      <c r="N45" s="127"/>
      <c r="O45" s="128"/>
      <c r="P45" s="160"/>
      <c r="Q45" s="160"/>
      <c r="R45" s="128"/>
      <c r="S45" s="128"/>
      <c r="U45" s="142" t="e">
        <f t="shared" si="0"/>
        <v>#VALUE!</v>
      </c>
      <c r="V45" s="150" t="e">
        <f t="shared" si="1"/>
        <v>#VALUE!</v>
      </c>
      <c r="W45" s="161">
        <f t="shared" si="2"/>
        <v>1900</v>
      </c>
      <c r="Y45"/>
    </row>
    <row r="46" spans="2:25" ht="14.5" outlineLevel="1" x14ac:dyDescent="0.35">
      <c r="B46" s="164"/>
      <c r="C46" s="127"/>
      <c r="D46" s="127"/>
      <c r="E46" s="127"/>
      <c r="F46" s="127"/>
      <c r="G46" s="139"/>
      <c r="H46" s="164"/>
      <c r="I46" s="127"/>
      <c r="J46" s="140"/>
      <c r="K46" s="127"/>
      <c r="L46" s="127"/>
      <c r="M46" s="141"/>
      <c r="N46" s="127"/>
      <c r="O46" s="128"/>
      <c r="P46" s="160"/>
      <c r="Q46" s="160"/>
      <c r="R46" s="128"/>
      <c r="S46" s="128"/>
      <c r="U46" s="142" t="e">
        <f t="shared" si="0"/>
        <v>#VALUE!</v>
      </c>
      <c r="V46" s="150" t="e">
        <f t="shared" si="1"/>
        <v>#VALUE!</v>
      </c>
      <c r="W46" s="161">
        <f t="shared" si="2"/>
        <v>1900</v>
      </c>
      <c r="Y46"/>
    </row>
    <row r="47" spans="2:25" ht="14.5" outlineLevel="1" x14ac:dyDescent="0.35">
      <c r="B47" s="164"/>
      <c r="C47" s="127"/>
      <c r="D47" s="127"/>
      <c r="E47" s="127"/>
      <c r="F47" s="127"/>
      <c r="G47" s="139"/>
      <c r="H47" s="164"/>
      <c r="I47" s="127"/>
      <c r="J47" s="140"/>
      <c r="K47" s="127"/>
      <c r="L47" s="127"/>
      <c r="M47" s="141"/>
      <c r="N47" s="127"/>
      <c r="O47" s="128"/>
      <c r="P47" s="160"/>
      <c r="Q47" s="160"/>
      <c r="R47" s="128"/>
      <c r="S47" s="128"/>
      <c r="U47" s="142" t="e">
        <f t="shared" si="0"/>
        <v>#VALUE!</v>
      </c>
      <c r="V47" s="150" t="e">
        <f t="shared" si="1"/>
        <v>#VALUE!</v>
      </c>
      <c r="W47" s="161">
        <f t="shared" si="2"/>
        <v>1900</v>
      </c>
      <c r="Y47"/>
    </row>
    <row r="48" spans="2:25" ht="14.5" outlineLevel="1" x14ac:dyDescent="0.35">
      <c r="B48" s="164"/>
      <c r="C48" s="127"/>
      <c r="D48" s="127"/>
      <c r="E48" s="127"/>
      <c r="F48" s="127"/>
      <c r="G48" s="139"/>
      <c r="H48" s="164"/>
      <c r="I48" s="127"/>
      <c r="J48" s="140"/>
      <c r="K48" s="127"/>
      <c r="L48" s="127"/>
      <c r="M48" s="141"/>
      <c r="N48" s="127"/>
      <c r="O48" s="128"/>
      <c r="P48" s="160"/>
      <c r="Q48" s="160"/>
      <c r="R48" s="128"/>
      <c r="S48" s="128"/>
      <c r="U48" s="142" t="e">
        <f t="shared" si="0"/>
        <v>#VALUE!</v>
      </c>
      <c r="V48" s="150" t="e">
        <f t="shared" si="1"/>
        <v>#VALUE!</v>
      </c>
      <c r="W48" s="161">
        <f t="shared" si="2"/>
        <v>1900</v>
      </c>
      <c r="Y48"/>
    </row>
    <row r="49" spans="2:25" ht="14.5" outlineLevel="1" x14ac:dyDescent="0.35">
      <c r="B49" s="164"/>
      <c r="C49" s="127"/>
      <c r="D49" s="127"/>
      <c r="E49" s="127"/>
      <c r="F49" s="127"/>
      <c r="G49" s="139"/>
      <c r="H49" s="164"/>
      <c r="I49" s="127"/>
      <c r="J49" s="140"/>
      <c r="K49" s="127"/>
      <c r="L49" s="127"/>
      <c r="M49" s="141"/>
      <c r="N49" s="127"/>
      <c r="O49" s="128"/>
      <c r="P49" s="160"/>
      <c r="Q49" s="160"/>
      <c r="R49" s="128"/>
      <c r="S49" s="128"/>
      <c r="U49" s="142" t="e">
        <f t="shared" si="0"/>
        <v>#VALUE!</v>
      </c>
      <c r="V49" s="150" t="e">
        <f t="shared" si="1"/>
        <v>#VALUE!</v>
      </c>
      <c r="W49" s="161">
        <f t="shared" si="2"/>
        <v>1900</v>
      </c>
      <c r="Y49"/>
    </row>
    <row r="50" spans="2:25" ht="6" customHeight="1" x14ac:dyDescent="0.25">
      <c r="F50" s="143"/>
      <c r="I50" s="144"/>
      <c r="J50" s="95"/>
      <c r="L50" s="145"/>
      <c r="N50" s="137"/>
      <c r="O50" s="137"/>
      <c r="P50" s="137"/>
      <c r="Q50" s="137"/>
      <c r="R50" s="137"/>
      <c r="T50" s="137"/>
      <c r="V50" s="146"/>
    </row>
    <row r="51" spans="2:25" ht="13" thickBot="1" x14ac:dyDescent="0.3">
      <c r="I51" s="147"/>
      <c r="J51" s="95"/>
      <c r="M51" s="31"/>
      <c r="O51" s="106"/>
      <c r="P51" s="106"/>
      <c r="Q51" s="106"/>
      <c r="R51" s="32">
        <f>+SUM(S38:S49)</f>
        <v>0</v>
      </c>
      <c r="S51" s="149"/>
    </row>
    <row r="52" spans="2:25" ht="13" thickTop="1" x14ac:dyDescent="0.25">
      <c r="I52" s="147"/>
      <c r="J52" s="95"/>
      <c r="M52" s="31"/>
      <c r="O52" s="154"/>
      <c r="P52" s="154"/>
      <c r="Q52" s="154"/>
      <c r="R52" s="154" t="s">
        <v>122</v>
      </c>
      <c r="S52" s="73"/>
    </row>
    <row r="53" spans="2:25" x14ac:dyDescent="0.25">
      <c r="N53" s="31"/>
      <c r="O53" s="106"/>
      <c r="P53" s="106"/>
      <c r="Q53" s="106"/>
      <c r="R53" s="106"/>
      <c r="S53" s="106"/>
      <c r="T53" s="73"/>
    </row>
    <row r="54" spans="2:25" x14ac:dyDescent="0.25">
      <c r="N54" s="31"/>
      <c r="O54" s="106"/>
      <c r="P54" s="106"/>
      <c r="Q54" s="106"/>
      <c r="R54" s="106"/>
      <c r="S54" s="106"/>
      <c r="T54" s="73"/>
    </row>
    <row r="55" spans="2:25" ht="14.5" customHeight="1" x14ac:dyDescent="0.35">
      <c r="B55" s="194" t="s">
        <v>109</v>
      </c>
      <c r="C55" s="194"/>
      <c r="D55" s="194"/>
      <c r="E55" s="194"/>
      <c r="F55" s="194"/>
      <c r="G55" s="194"/>
      <c r="H55" s="194"/>
      <c r="I55" s="194"/>
      <c r="J55" s="194"/>
      <c r="K55" s="194"/>
      <c r="L55" s="194"/>
      <c r="M55" s="194"/>
      <c r="N55" s="194"/>
      <c r="O55" s="194"/>
      <c r="P55" s="194"/>
      <c r="Q55" s="194"/>
      <c r="R55" s="194"/>
      <c r="S55" s="194"/>
      <c r="U55"/>
      <c r="V55"/>
      <c r="W55"/>
      <c r="X55"/>
      <c r="Y55"/>
    </row>
    <row r="56" spans="2:25" ht="14.5" x14ac:dyDescent="0.35">
      <c r="F56" s="107"/>
      <c r="G56" s="73"/>
      <c r="I56" s="130"/>
      <c r="J56" s="95"/>
      <c r="U56"/>
      <c r="V56"/>
      <c r="W56"/>
      <c r="X56"/>
      <c r="Y56"/>
    </row>
    <row r="57" spans="2:25" ht="14.5" x14ac:dyDescent="0.35">
      <c r="B57" s="131" t="s">
        <v>126</v>
      </c>
      <c r="G57" s="131" t="s">
        <v>101</v>
      </c>
      <c r="H57" s="130"/>
      <c r="M57" s="131" t="s">
        <v>102</v>
      </c>
      <c r="R57" s="131" t="s">
        <v>110</v>
      </c>
      <c r="U57"/>
      <c r="V57"/>
      <c r="W57"/>
      <c r="X57"/>
      <c r="Y57"/>
    </row>
    <row r="58" spans="2:25" ht="14.5" x14ac:dyDescent="0.35">
      <c r="U58"/>
      <c r="V58"/>
      <c r="W58"/>
      <c r="X58"/>
      <c r="Y58"/>
    </row>
    <row r="59" spans="2:25" ht="14.5" x14ac:dyDescent="0.35">
      <c r="B59" s="148" t="s">
        <v>103</v>
      </c>
      <c r="C59" s="148" t="s">
        <v>67</v>
      </c>
      <c r="D59" s="148" t="s">
        <v>114</v>
      </c>
      <c r="G59" s="156" t="s">
        <v>113</v>
      </c>
      <c r="H59" s="177" t="s">
        <v>141</v>
      </c>
      <c r="I59" s="147"/>
      <c r="M59" s="178" t="s">
        <v>113</v>
      </c>
      <c r="N59" s="172" t="s">
        <v>141</v>
      </c>
      <c r="R59" s="171" t="s">
        <v>113</v>
      </c>
      <c r="S59" s="127" t="s">
        <v>141</v>
      </c>
      <c r="U59"/>
      <c r="V59"/>
      <c r="W59"/>
      <c r="X59"/>
      <c r="Y59"/>
    </row>
    <row r="60" spans="2:25" ht="14.5" x14ac:dyDescent="0.35">
      <c r="B60" s="133" t="s">
        <v>104</v>
      </c>
      <c r="C60" s="134">
        <f t="shared" ref="C60:C66" si="3">+SUMIF($V$38:$V$49,D60,$S$38:$S$49)</f>
        <v>0</v>
      </c>
      <c r="D60" s="105">
        <v>-1</v>
      </c>
      <c r="G60" s="147"/>
      <c r="H60" s="147"/>
      <c r="I60" s="147"/>
      <c r="U60"/>
      <c r="V60"/>
      <c r="W60"/>
      <c r="X60"/>
      <c r="Y60"/>
    </row>
    <row r="61" spans="2:25" s="151" customFormat="1" ht="25" x14ac:dyDescent="0.35">
      <c r="B61" s="133" t="s">
        <v>129</v>
      </c>
      <c r="C61" s="134">
        <f t="shared" si="3"/>
        <v>0</v>
      </c>
      <c r="D61" s="105">
        <v>-2</v>
      </c>
      <c r="G61" s="110" t="s">
        <v>127</v>
      </c>
      <c r="H61" s="110" t="s">
        <v>128</v>
      </c>
      <c r="I61" s="110" t="s">
        <v>123</v>
      </c>
      <c r="M61" s="155" t="s">
        <v>105</v>
      </c>
      <c r="N61" s="155" t="s">
        <v>123</v>
      </c>
      <c r="R61" s="162" t="s">
        <v>115</v>
      </c>
      <c r="S61" s="155" t="s">
        <v>123</v>
      </c>
      <c r="U61"/>
      <c r="V61"/>
      <c r="W61"/>
      <c r="X61"/>
      <c r="Y61"/>
    </row>
    <row r="62" spans="2:25" ht="14.5" x14ac:dyDescent="0.35">
      <c r="B62" s="152" t="s">
        <v>106</v>
      </c>
      <c r="C62" s="134">
        <f t="shared" si="3"/>
        <v>0</v>
      </c>
      <c r="D62" s="153">
        <v>-3</v>
      </c>
      <c r="G62" s="166" t="s">
        <v>108</v>
      </c>
      <c r="H62" s="168"/>
      <c r="I62" s="167"/>
      <c r="M62" s="170" t="s">
        <v>107</v>
      </c>
      <c r="N62" s="165"/>
      <c r="R62" s="156" t="s">
        <v>108</v>
      </c>
      <c r="S62" s="163"/>
      <c r="U62"/>
      <c r="V62"/>
      <c r="W62"/>
      <c r="X62"/>
      <c r="Y62"/>
    </row>
    <row r="63" spans="2:25" ht="14.5" x14ac:dyDescent="0.35">
      <c r="B63" s="133" t="s">
        <v>124</v>
      </c>
      <c r="C63" s="134">
        <f t="shared" si="3"/>
        <v>0</v>
      </c>
      <c r="D63" s="105">
        <v>-4</v>
      </c>
      <c r="G63"/>
      <c r="H63"/>
      <c r="I63"/>
      <c r="M63"/>
      <c r="N63"/>
      <c r="R63"/>
      <c r="S63"/>
      <c r="U63"/>
      <c r="V63"/>
      <c r="W63"/>
      <c r="X63"/>
      <c r="Y63"/>
    </row>
    <row r="64" spans="2:25" ht="14.5" x14ac:dyDescent="0.35">
      <c r="B64" s="133" t="s">
        <v>125</v>
      </c>
      <c r="C64" s="134">
        <f t="shared" si="3"/>
        <v>0</v>
      </c>
      <c r="D64" s="105">
        <v>-5</v>
      </c>
      <c r="G64"/>
      <c r="H64"/>
      <c r="I64"/>
      <c r="M64"/>
      <c r="N64"/>
      <c r="R64"/>
      <c r="S64"/>
      <c r="U64"/>
      <c r="V64"/>
      <c r="W64"/>
      <c r="X64"/>
      <c r="Y64"/>
    </row>
    <row r="65" spans="1:25" ht="14.5" x14ac:dyDescent="0.35">
      <c r="B65" s="133" t="s">
        <v>130</v>
      </c>
      <c r="C65" s="134">
        <f t="shared" si="3"/>
        <v>0</v>
      </c>
      <c r="D65" s="105">
        <v>-6</v>
      </c>
      <c r="G65"/>
      <c r="H65"/>
      <c r="I65"/>
      <c r="M65"/>
      <c r="N65"/>
      <c r="R65"/>
      <c r="S65"/>
      <c r="U65"/>
      <c r="V65"/>
      <c r="W65"/>
      <c r="X65"/>
      <c r="Y65"/>
    </row>
    <row r="66" spans="1:25" ht="14.5" x14ac:dyDescent="0.35">
      <c r="B66" s="127" t="s">
        <v>131</v>
      </c>
      <c r="C66" s="134">
        <f t="shared" si="3"/>
        <v>0</v>
      </c>
      <c r="D66" s="105">
        <v>-7</v>
      </c>
      <c r="G66"/>
      <c r="H66"/>
      <c r="I66"/>
      <c r="M66"/>
      <c r="N66"/>
      <c r="R66"/>
      <c r="S66"/>
      <c r="U66"/>
      <c r="V66"/>
      <c r="W66"/>
      <c r="X66"/>
      <c r="Y66"/>
    </row>
    <row r="67" spans="1:25" ht="14.5" x14ac:dyDescent="0.35">
      <c r="D67" s="135"/>
      <c r="J67" s="95"/>
      <c r="M67"/>
      <c r="N67"/>
      <c r="R67"/>
      <c r="S67"/>
      <c r="U67"/>
      <c r="V67"/>
      <c r="W67"/>
      <c r="X67"/>
      <c r="Y67"/>
    </row>
    <row r="68" spans="1:25" ht="15" thickBot="1" x14ac:dyDescent="0.4">
      <c r="B68" s="132"/>
      <c r="C68" s="136">
        <f>SUM(C60:C66)</f>
        <v>0</v>
      </c>
      <c r="J68" s="95"/>
      <c r="M68"/>
      <c r="N68"/>
      <c r="R68"/>
      <c r="S68"/>
      <c r="U68"/>
      <c r="V68"/>
      <c r="W68"/>
      <c r="X68"/>
      <c r="Y68"/>
    </row>
    <row r="69" spans="1:25" ht="15" thickTop="1" x14ac:dyDescent="0.35">
      <c r="C69" s="179" t="s">
        <v>164</v>
      </c>
      <c r="J69" s="95"/>
      <c r="M69"/>
      <c r="N69"/>
      <c r="R69"/>
      <c r="S69"/>
      <c r="U69"/>
      <c r="V69"/>
      <c r="W69"/>
      <c r="X69"/>
      <c r="Y69"/>
    </row>
    <row r="70" spans="1:25" ht="14.5" x14ac:dyDescent="0.35">
      <c r="J70" s="95"/>
      <c r="R70"/>
      <c r="S70"/>
      <c r="U70"/>
      <c r="V70"/>
      <c r="W70"/>
      <c r="X70"/>
      <c r="Y70"/>
    </row>
    <row r="71" spans="1:25" ht="14.5" x14ac:dyDescent="0.35">
      <c r="J71" s="95"/>
      <c r="R71"/>
      <c r="S71"/>
      <c r="U71"/>
      <c r="V71"/>
      <c r="W71"/>
      <c r="X71"/>
      <c r="Y71"/>
    </row>
    <row r="72" spans="1:25" ht="14.5" x14ac:dyDescent="0.35">
      <c r="R72"/>
      <c r="S72"/>
      <c r="U72"/>
      <c r="V72"/>
      <c r="W72"/>
      <c r="X72"/>
      <c r="Y72"/>
    </row>
    <row r="73" spans="1:25" ht="14.5" x14ac:dyDescent="0.35">
      <c r="B73" s="96" t="s">
        <v>82</v>
      </c>
      <c r="R73"/>
      <c r="S73"/>
      <c r="U73"/>
      <c r="V73"/>
      <c r="W73"/>
      <c r="X73"/>
      <c r="Y73"/>
    </row>
    <row r="74" spans="1:25" ht="7" customHeight="1" x14ac:dyDescent="0.35">
      <c r="R74"/>
      <c r="S74"/>
      <c r="U74"/>
      <c r="V74"/>
      <c r="W74"/>
      <c r="X74"/>
      <c r="Y74"/>
    </row>
    <row r="75" spans="1:25" ht="14.5" x14ac:dyDescent="0.35">
      <c r="A75" s="73"/>
      <c r="B75" s="95" t="s">
        <v>111</v>
      </c>
      <c r="R75"/>
      <c r="S75"/>
      <c r="U75"/>
      <c r="V75"/>
      <c r="W75"/>
      <c r="X75"/>
      <c r="Y75"/>
    </row>
    <row r="76" spans="1:25" ht="14.5" x14ac:dyDescent="0.35">
      <c r="A76" s="111"/>
      <c r="B76" s="95" t="s">
        <v>87</v>
      </c>
      <c r="R76"/>
      <c r="S76"/>
      <c r="U76"/>
      <c r="V76"/>
      <c r="W76"/>
      <c r="X76"/>
      <c r="Y76"/>
    </row>
    <row r="77" spans="1:25" ht="14.5" x14ac:dyDescent="0.35">
      <c r="A77" s="111"/>
      <c r="B77" s="95" t="s">
        <v>88</v>
      </c>
      <c r="R77"/>
      <c r="S77"/>
      <c r="U77"/>
      <c r="V77"/>
      <c r="W77"/>
      <c r="X77"/>
      <c r="Y77"/>
    </row>
    <row r="78" spans="1:25" ht="14.5" x14ac:dyDescent="0.35">
      <c r="A78" s="111"/>
      <c r="R78"/>
      <c r="S78"/>
      <c r="U78"/>
      <c r="V78"/>
      <c r="W78"/>
      <c r="X78"/>
      <c r="Y78"/>
    </row>
    <row r="79" spans="1:25" ht="14.5" x14ac:dyDescent="0.35">
      <c r="A79" s="111"/>
      <c r="B79" s="96" t="s">
        <v>154</v>
      </c>
      <c r="R79"/>
      <c r="S79"/>
      <c r="U79"/>
      <c r="V79"/>
      <c r="W79"/>
      <c r="X79"/>
      <c r="Y79"/>
    </row>
    <row r="80" spans="1:25" ht="7" customHeight="1" x14ac:dyDescent="0.35">
      <c r="A80" s="111"/>
      <c r="B80" s="96"/>
      <c r="R80"/>
      <c r="S80"/>
      <c r="U80"/>
      <c r="V80"/>
      <c r="W80"/>
      <c r="X80"/>
      <c r="Y80"/>
    </row>
    <row r="81" spans="1:25" ht="14.5" x14ac:dyDescent="0.35">
      <c r="A81" s="111" t="s">
        <v>155</v>
      </c>
      <c r="B81" s="96"/>
      <c r="R81"/>
      <c r="S81"/>
      <c r="U81"/>
      <c r="V81"/>
      <c r="W81"/>
      <c r="X81"/>
      <c r="Y81"/>
    </row>
    <row r="82" spans="1:25" ht="14.5" x14ac:dyDescent="0.35">
      <c r="A82" s="111" t="s">
        <v>156</v>
      </c>
      <c r="B82" s="96"/>
      <c r="R82"/>
      <c r="S82"/>
      <c r="U82"/>
      <c r="V82"/>
      <c r="W82"/>
      <c r="X82"/>
      <c r="Y82"/>
    </row>
    <row r="83" spans="1:25" ht="14.5" x14ac:dyDescent="0.35">
      <c r="A83" s="111" t="s">
        <v>157</v>
      </c>
      <c r="B83" s="96"/>
      <c r="R83"/>
      <c r="S83"/>
      <c r="U83"/>
      <c r="V83"/>
      <c r="W83"/>
      <c r="X83"/>
      <c r="Y83"/>
    </row>
    <row r="84" spans="1:25" ht="14.5" x14ac:dyDescent="0.35">
      <c r="A84" s="111"/>
      <c r="B84" s="96"/>
      <c r="R84"/>
      <c r="S84"/>
      <c r="U84"/>
      <c r="V84"/>
      <c r="W84"/>
      <c r="X84"/>
      <c r="Y84"/>
    </row>
    <row r="85" spans="1:25" ht="14.5" x14ac:dyDescent="0.35">
      <c r="A85" s="111"/>
      <c r="B85" s="96" t="s">
        <v>93</v>
      </c>
      <c r="R85"/>
      <c r="S85"/>
      <c r="U85"/>
      <c r="V85"/>
      <c r="W85"/>
      <c r="X85"/>
      <c r="Y85"/>
    </row>
    <row r="86" spans="1:25" ht="7" customHeight="1" x14ac:dyDescent="0.35">
      <c r="A86" s="111"/>
      <c r="B86" s="96"/>
      <c r="R86"/>
      <c r="S86"/>
      <c r="U86"/>
      <c r="V86"/>
      <c r="W86"/>
      <c r="X86"/>
      <c r="Y86"/>
    </row>
    <row r="87" spans="1:25" ht="14.5" x14ac:dyDescent="0.35">
      <c r="A87" s="111" t="s">
        <v>95</v>
      </c>
      <c r="R87"/>
      <c r="S87"/>
      <c r="U87"/>
      <c r="V87"/>
      <c r="W87"/>
      <c r="X87"/>
      <c r="Y87"/>
    </row>
    <row r="88" spans="1:25" ht="14.5" x14ac:dyDescent="0.35">
      <c r="A88" s="111" t="s">
        <v>142</v>
      </c>
      <c r="R88"/>
      <c r="S88"/>
      <c r="U88"/>
      <c r="V88"/>
      <c r="W88"/>
      <c r="X88"/>
      <c r="Y88"/>
    </row>
    <row r="89" spans="1:25" ht="14.5" x14ac:dyDescent="0.35">
      <c r="A89" s="111" t="s">
        <v>158</v>
      </c>
      <c r="D89" s="96"/>
      <c r="R89"/>
      <c r="S89"/>
      <c r="U89"/>
      <c r="V89"/>
      <c r="W89"/>
      <c r="X89"/>
      <c r="Y89"/>
    </row>
    <row r="90" spans="1:25" ht="14.5" x14ac:dyDescent="0.35">
      <c r="D90" s="123"/>
      <c r="R90"/>
      <c r="S90"/>
      <c r="U90"/>
      <c r="V90"/>
      <c r="W90"/>
      <c r="X90"/>
      <c r="Y90"/>
    </row>
    <row r="91" spans="1:25" ht="14.5" x14ac:dyDescent="0.35">
      <c r="A91" s="111"/>
      <c r="B91" s="96" t="s">
        <v>159</v>
      </c>
      <c r="C91" s="111"/>
      <c r="D91" s="96"/>
      <c r="R91"/>
      <c r="S91"/>
      <c r="U91"/>
      <c r="V91"/>
      <c r="W91"/>
      <c r="X91"/>
      <c r="Y91"/>
    </row>
    <row r="92" spans="1:25" ht="7" customHeight="1" x14ac:dyDescent="0.35">
      <c r="A92" s="111"/>
      <c r="B92" s="96"/>
      <c r="C92" s="111"/>
      <c r="D92" s="96"/>
      <c r="R92"/>
      <c r="S92"/>
      <c r="U92"/>
      <c r="V92"/>
      <c r="W92"/>
      <c r="X92"/>
      <c r="Y92"/>
    </row>
    <row r="93" spans="1:25" ht="14.5" x14ac:dyDescent="0.35">
      <c r="A93" s="111" t="s">
        <v>160</v>
      </c>
      <c r="B93" s="96"/>
      <c r="C93" s="111"/>
      <c r="D93" s="96"/>
      <c r="R93"/>
      <c r="S93"/>
      <c r="U93"/>
      <c r="V93"/>
      <c r="W93"/>
      <c r="X93"/>
      <c r="Y93"/>
    </row>
    <row r="94" spans="1:25" ht="14.5" x14ac:dyDescent="0.35">
      <c r="A94" s="111" t="s">
        <v>161</v>
      </c>
      <c r="B94" s="96"/>
      <c r="C94" s="111"/>
      <c r="D94" s="96"/>
      <c r="R94"/>
      <c r="S94"/>
      <c r="U94"/>
      <c r="V94"/>
      <c r="W94"/>
      <c r="X94"/>
      <c r="Y94"/>
    </row>
    <row r="95" spans="1:25" ht="14.5" x14ac:dyDescent="0.35">
      <c r="A95" s="111" t="s">
        <v>162</v>
      </c>
      <c r="B95" s="96"/>
      <c r="C95" s="111"/>
      <c r="D95" s="76"/>
      <c r="R95"/>
      <c r="S95"/>
      <c r="U95"/>
      <c r="V95"/>
      <c r="W95"/>
      <c r="X95"/>
      <c r="Y95"/>
    </row>
    <row r="96" spans="1:25" ht="14.5" x14ac:dyDescent="0.35">
      <c r="A96" s="111"/>
      <c r="B96" s="76"/>
      <c r="R96"/>
      <c r="S96"/>
      <c r="U96"/>
      <c r="V96"/>
      <c r="W96"/>
      <c r="X96"/>
      <c r="Y96"/>
    </row>
    <row r="97" spans="2:25" ht="14.5" x14ac:dyDescent="0.35">
      <c r="B97" s="96" t="s">
        <v>34</v>
      </c>
      <c r="R97"/>
      <c r="S97"/>
      <c r="U97"/>
      <c r="V97"/>
      <c r="W97"/>
      <c r="X97"/>
      <c r="Y97"/>
    </row>
    <row r="98" spans="2:25" ht="7" customHeight="1" x14ac:dyDescent="0.35">
      <c r="B98" s="96"/>
      <c r="R98"/>
      <c r="S98"/>
      <c r="U98"/>
      <c r="V98"/>
      <c r="W98"/>
      <c r="X98"/>
      <c r="Y98"/>
    </row>
    <row r="99" spans="2:25" ht="14.5" x14ac:dyDescent="0.35">
      <c r="B99" s="123" t="s">
        <v>163</v>
      </c>
      <c r="R99"/>
      <c r="S99"/>
      <c r="U99"/>
      <c r="V99"/>
      <c r="W99"/>
      <c r="X99"/>
      <c r="Y99"/>
    </row>
    <row r="100" spans="2:25" ht="14.5" x14ac:dyDescent="0.35">
      <c r="R100"/>
      <c r="S100"/>
      <c r="U100"/>
      <c r="V100"/>
      <c r="W100"/>
      <c r="X100"/>
      <c r="Y100"/>
    </row>
    <row r="101" spans="2:25" ht="14.5" x14ac:dyDescent="0.35">
      <c r="R101"/>
      <c r="S101"/>
      <c r="U101"/>
      <c r="V101"/>
      <c r="W101"/>
      <c r="X101"/>
      <c r="Y101"/>
    </row>
    <row r="102" spans="2:25" ht="14.5" x14ac:dyDescent="0.35">
      <c r="R102"/>
      <c r="S102"/>
      <c r="U102"/>
      <c r="V102"/>
      <c r="W102"/>
      <c r="X102"/>
      <c r="Y102"/>
    </row>
    <row r="103" spans="2:25" ht="14.5" x14ac:dyDescent="0.35">
      <c r="R103"/>
      <c r="S103"/>
      <c r="U103"/>
      <c r="V103"/>
      <c r="W103"/>
      <c r="X103"/>
      <c r="Y103"/>
    </row>
    <row r="104" spans="2:25" ht="14.5" x14ac:dyDescent="0.35">
      <c r="R104"/>
      <c r="S104"/>
      <c r="U104"/>
      <c r="V104"/>
      <c r="W104"/>
      <c r="X104"/>
      <c r="Y104"/>
    </row>
    <row r="105" spans="2:25" ht="14.5" x14ac:dyDescent="0.35">
      <c r="R105"/>
      <c r="S105"/>
      <c r="U105"/>
      <c r="V105"/>
      <c r="W105"/>
      <c r="X105"/>
      <c r="Y105"/>
    </row>
    <row r="106" spans="2:25" ht="14.5" x14ac:dyDescent="0.35">
      <c r="R106"/>
      <c r="S106"/>
      <c r="U106"/>
      <c r="V106"/>
      <c r="W106"/>
      <c r="X106"/>
      <c r="Y106"/>
    </row>
    <row r="107" spans="2:25" ht="14.5" x14ac:dyDescent="0.35">
      <c r="R107"/>
      <c r="S107"/>
      <c r="U107"/>
      <c r="V107"/>
      <c r="W107"/>
      <c r="X107"/>
      <c r="Y107"/>
    </row>
    <row r="108" spans="2:25" ht="14.5" x14ac:dyDescent="0.35">
      <c r="R108"/>
      <c r="S108"/>
      <c r="U108"/>
      <c r="V108"/>
      <c r="W108"/>
      <c r="X108"/>
      <c r="Y108"/>
    </row>
    <row r="109" spans="2:25" ht="14.5" x14ac:dyDescent="0.35">
      <c r="R109"/>
      <c r="S109"/>
      <c r="U109"/>
      <c r="V109"/>
      <c r="W109"/>
      <c r="X109"/>
      <c r="Y109"/>
    </row>
    <row r="110" spans="2:25" ht="14.5" x14ac:dyDescent="0.35">
      <c r="R110"/>
      <c r="S110"/>
      <c r="U110"/>
      <c r="V110"/>
      <c r="W110"/>
      <c r="X110"/>
      <c r="Y110"/>
    </row>
    <row r="111" spans="2:25" ht="14.5" x14ac:dyDescent="0.35">
      <c r="R111"/>
      <c r="S111"/>
      <c r="U111"/>
      <c r="V111"/>
      <c r="W111"/>
      <c r="X111"/>
      <c r="Y111"/>
    </row>
    <row r="112" spans="2:25" ht="14.5" x14ac:dyDescent="0.35">
      <c r="R112"/>
      <c r="S112"/>
      <c r="U112"/>
      <c r="V112"/>
      <c r="W112"/>
      <c r="X112"/>
      <c r="Y112"/>
    </row>
    <row r="113" spans="18:25" ht="14.5" x14ac:dyDescent="0.35">
      <c r="R113"/>
      <c r="S113"/>
      <c r="U113"/>
      <c r="V113"/>
      <c r="W113"/>
      <c r="X113"/>
      <c r="Y113"/>
    </row>
    <row r="114" spans="18:25" ht="14.5" x14ac:dyDescent="0.35">
      <c r="R114"/>
      <c r="S114"/>
      <c r="U114"/>
      <c r="V114"/>
      <c r="W114"/>
      <c r="X114"/>
      <c r="Y114"/>
    </row>
    <row r="115" spans="18:25" ht="14.5" x14ac:dyDescent="0.35">
      <c r="R115"/>
      <c r="S115"/>
      <c r="U115"/>
      <c r="V115"/>
      <c r="W115"/>
      <c r="X115"/>
      <c r="Y115"/>
    </row>
    <row r="116" spans="18:25" ht="14.5" x14ac:dyDescent="0.35">
      <c r="R116"/>
      <c r="S116"/>
      <c r="U116"/>
      <c r="V116"/>
      <c r="W116"/>
      <c r="X116"/>
      <c r="Y116"/>
    </row>
    <row r="117" spans="18:25" ht="14.5" x14ac:dyDescent="0.35">
      <c r="R117"/>
      <c r="S117"/>
      <c r="U117"/>
      <c r="V117"/>
      <c r="W117"/>
      <c r="X117"/>
      <c r="Y117"/>
    </row>
    <row r="118" spans="18:25" ht="14.5" x14ac:dyDescent="0.35">
      <c r="R118"/>
      <c r="S118"/>
      <c r="U118"/>
      <c r="V118"/>
      <c r="W118"/>
      <c r="X118"/>
      <c r="Y118"/>
    </row>
    <row r="119" spans="18:25" ht="14.5" x14ac:dyDescent="0.35">
      <c r="R119"/>
      <c r="S119"/>
      <c r="U119"/>
      <c r="V119"/>
      <c r="W119"/>
      <c r="X119"/>
      <c r="Y119"/>
    </row>
    <row r="120" spans="18:25" ht="14.5" x14ac:dyDescent="0.35">
      <c r="R120"/>
      <c r="S120"/>
      <c r="U120"/>
      <c r="V120"/>
      <c r="W120"/>
      <c r="X120"/>
      <c r="Y120"/>
    </row>
    <row r="121" spans="18:25" ht="14.5" x14ac:dyDescent="0.35">
      <c r="R121"/>
      <c r="S121"/>
      <c r="U121"/>
      <c r="V121"/>
      <c r="W121"/>
      <c r="X121"/>
      <c r="Y121"/>
    </row>
    <row r="122" spans="18:25" ht="14.5" x14ac:dyDescent="0.35">
      <c r="R122"/>
      <c r="S122"/>
      <c r="U122"/>
      <c r="V122"/>
      <c r="W122"/>
      <c r="X122"/>
      <c r="Y122"/>
    </row>
    <row r="123" spans="18:25" ht="14.5" x14ac:dyDescent="0.35">
      <c r="R123"/>
      <c r="S123"/>
      <c r="U123"/>
      <c r="V123"/>
      <c r="W123"/>
      <c r="X123"/>
      <c r="Y123"/>
    </row>
    <row r="124" spans="18:25" ht="14.5" x14ac:dyDescent="0.35">
      <c r="R124"/>
      <c r="S124"/>
      <c r="U124"/>
      <c r="V124"/>
      <c r="W124"/>
      <c r="X124"/>
      <c r="Y124"/>
    </row>
    <row r="125" spans="18:25" ht="14.5" x14ac:dyDescent="0.35">
      <c r="R125"/>
      <c r="S125"/>
      <c r="U125"/>
      <c r="V125"/>
      <c r="W125"/>
      <c r="X125"/>
      <c r="Y125"/>
    </row>
    <row r="126" spans="18:25" ht="14.5" x14ac:dyDescent="0.35">
      <c r="R126"/>
      <c r="S126"/>
      <c r="U126"/>
      <c r="V126"/>
      <c r="W126"/>
      <c r="X126"/>
      <c r="Y126"/>
    </row>
    <row r="127" spans="18:25" ht="14.5" x14ac:dyDescent="0.35">
      <c r="R127"/>
      <c r="S127"/>
      <c r="U127"/>
      <c r="V127"/>
      <c r="W127"/>
      <c r="X127"/>
      <c r="Y127"/>
    </row>
    <row r="128" spans="18:25" ht="14.5" x14ac:dyDescent="0.35">
      <c r="R128"/>
      <c r="S128"/>
      <c r="U128"/>
      <c r="V128"/>
      <c r="W128"/>
      <c r="X128"/>
      <c r="Y128"/>
    </row>
    <row r="129" spans="18:25" ht="14.5" x14ac:dyDescent="0.35">
      <c r="R129"/>
      <c r="S129"/>
      <c r="U129"/>
      <c r="V129"/>
      <c r="W129"/>
      <c r="X129"/>
      <c r="Y129"/>
    </row>
    <row r="130" spans="18:25" ht="14.5" x14ac:dyDescent="0.35">
      <c r="R130"/>
      <c r="S130"/>
      <c r="U130"/>
      <c r="V130"/>
      <c r="W130"/>
      <c r="X130"/>
      <c r="Y130"/>
    </row>
    <row r="131" spans="18:25" ht="14.5" x14ac:dyDescent="0.35">
      <c r="R131"/>
      <c r="S131"/>
      <c r="U131"/>
      <c r="V131"/>
      <c r="W131"/>
      <c r="X131"/>
      <c r="Y131"/>
    </row>
    <row r="132" spans="18:25" ht="14.5" x14ac:dyDescent="0.35">
      <c r="R132"/>
      <c r="S132"/>
      <c r="U132"/>
      <c r="V132"/>
      <c r="W132"/>
      <c r="X132"/>
      <c r="Y132"/>
    </row>
    <row r="133" spans="18:25" ht="14.5" x14ac:dyDescent="0.35">
      <c r="R133"/>
      <c r="S133"/>
      <c r="U133"/>
      <c r="V133"/>
      <c r="W133"/>
      <c r="X133"/>
      <c r="Y133"/>
    </row>
    <row r="134" spans="18:25" ht="14.5" x14ac:dyDescent="0.35">
      <c r="R134"/>
      <c r="S134"/>
      <c r="U134"/>
      <c r="V134"/>
      <c r="W134"/>
      <c r="X134"/>
      <c r="Y134"/>
    </row>
    <row r="135" spans="18:25" ht="14.5" x14ac:dyDescent="0.35">
      <c r="R135"/>
      <c r="S135"/>
      <c r="U135"/>
      <c r="V135"/>
      <c r="W135"/>
      <c r="X135"/>
      <c r="Y135"/>
    </row>
    <row r="136" spans="18:25" ht="14.5" x14ac:dyDescent="0.35">
      <c r="R136"/>
      <c r="S136"/>
      <c r="U136"/>
      <c r="V136"/>
      <c r="W136"/>
      <c r="X136"/>
      <c r="Y136"/>
    </row>
    <row r="137" spans="18:25" ht="14.5" x14ac:dyDescent="0.35">
      <c r="R137"/>
      <c r="S137"/>
      <c r="U137"/>
      <c r="V137"/>
      <c r="W137"/>
      <c r="X137"/>
      <c r="Y137"/>
    </row>
    <row r="138" spans="18:25" ht="14.5" x14ac:dyDescent="0.35">
      <c r="R138"/>
      <c r="S138"/>
      <c r="U138"/>
      <c r="V138"/>
      <c r="W138"/>
      <c r="X138"/>
      <c r="Y138"/>
    </row>
    <row r="139" spans="18:25" ht="14.5" x14ac:dyDescent="0.35">
      <c r="R139"/>
      <c r="S139"/>
      <c r="U139"/>
      <c r="V139"/>
      <c r="W139"/>
      <c r="X139"/>
      <c r="Y139"/>
    </row>
    <row r="140" spans="18:25" ht="14.5" x14ac:dyDescent="0.35">
      <c r="R140"/>
      <c r="S140"/>
      <c r="U140"/>
      <c r="V140"/>
      <c r="W140"/>
      <c r="X140"/>
      <c r="Y140"/>
    </row>
    <row r="141" spans="18:25" ht="14.5" x14ac:dyDescent="0.35">
      <c r="R141"/>
      <c r="S141"/>
      <c r="U141"/>
      <c r="V141"/>
      <c r="W141"/>
      <c r="X141"/>
      <c r="Y141"/>
    </row>
    <row r="142" spans="18:25" ht="14.5" x14ac:dyDescent="0.35">
      <c r="R142"/>
      <c r="S142"/>
      <c r="U142"/>
      <c r="V142"/>
      <c r="W142"/>
      <c r="X142"/>
      <c r="Y142"/>
    </row>
    <row r="143" spans="18:25" ht="14.5" x14ac:dyDescent="0.35">
      <c r="R143"/>
      <c r="S143"/>
      <c r="U143"/>
      <c r="V143"/>
      <c r="W143"/>
      <c r="X143"/>
      <c r="Y143"/>
    </row>
    <row r="144" spans="18:25" ht="14.5" x14ac:dyDescent="0.35">
      <c r="U144"/>
      <c r="V144"/>
      <c r="W144"/>
      <c r="X144"/>
      <c r="Y144"/>
    </row>
    <row r="145" spans="21:25" ht="14.5" x14ac:dyDescent="0.35">
      <c r="U145"/>
      <c r="V145"/>
      <c r="W145"/>
      <c r="X145"/>
      <c r="Y145"/>
    </row>
    <row r="146" spans="21:25" ht="14.5" x14ac:dyDescent="0.35">
      <c r="U146"/>
      <c r="V146"/>
      <c r="W146"/>
      <c r="X146"/>
      <c r="Y146"/>
    </row>
    <row r="147" spans="21:25" ht="14.5" x14ac:dyDescent="0.35">
      <c r="U147"/>
      <c r="V147"/>
      <c r="W147"/>
      <c r="X147"/>
      <c r="Y147"/>
    </row>
    <row r="148" spans="21:25" ht="14.5" x14ac:dyDescent="0.35">
      <c r="U148"/>
      <c r="V148"/>
      <c r="W148"/>
      <c r="X148"/>
      <c r="Y148"/>
    </row>
    <row r="149" spans="21:25" ht="14.5" x14ac:dyDescent="0.35">
      <c r="U149"/>
      <c r="V149"/>
      <c r="W149"/>
      <c r="X149"/>
      <c r="Y149"/>
    </row>
    <row r="150" spans="21:25" ht="14.5" x14ac:dyDescent="0.35">
      <c r="U150"/>
      <c r="V150"/>
      <c r="W150"/>
      <c r="X150"/>
      <c r="Y150"/>
    </row>
    <row r="151" spans="21:25" ht="14.5" x14ac:dyDescent="0.35">
      <c r="U151"/>
      <c r="V151"/>
      <c r="W151"/>
      <c r="X151"/>
      <c r="Y151"/>
    </row>
    <row r="152" spans="21:25" ht="14.5" x14ac:dyDescent="0.35">
      <c r="U152"/>
      <c r="V152"/>
      <c r="W152"/>
      <c r="X152"/>
      <c r="Y152"/>
    </row>
    <row r="153" spans="21:25" ht="14.5" x14ac:dyDescent="0.35">
      <c r="U153"/>
      <c r="V153"/>
      <c r="W153"/>
      <c r="X153"/>
      <c r="Y153"/>
    </row>
    <row r="154" spans="21:25" ht="14.5" x14ac:dyDescent="0.35">
      <c r="U154"/>
      <c r="V154"/>
      <c r="W154"/>
      <c r="X154"/>
      <c r="Y154"/>
    </row>
    <row r="155" spans="21:25" ht="14.5" x14ac:dyDescent="0.35">
      <c r="U155"/>
      <c r="V155"/>
      <c r="W155"/>
      <c r="X155"/>
      <c r="Y155"/>
    </row>
    <row r="156" spans="21:25" ht="14.5" x14ac:dyDescent="0.35">
      <c r="U156"/>
      <c r="V156"/>
      <c r="W156"/>
      <c r="X156"/>
      <c r="Y156"/>
    </row>
    <row r="157" spans="21:25" ht="14.5" x14ac:dyDescent="0.35">
      <c r="U157"/>
      <c r="V157"/>
      <c r="W157"/>
      <c r="X157"/>
      <c r="Y157"/>
    </row>
    <row r="158" spans="21:25" ht="14.5" x14ac:dyDescent="0.35">
      <c r="U158"/>
      <c r="V158"/>
      <c r="W158"/>
      <c r="X158"/>
      <c r="Y158"/>
    </row>
    <row r="159" spans="21:25" ht="14.5" x14ac:dyDescent="0.35">
      <c r="U159"/>
      <c r="V159"/>
      <c r="W159"/>
      <c r="X159"/>
      <c r="Y159"/>
    </row>
    <row r="160" spans="21:25" ht="14.5" x14ac:dyDescent="0.35">
      <c r="U160"/>
      <c r="V160"/>
      <c r="W160"/>
      <c r="X160"/>
      <c r="Y160"/>
    </row>
    <row r="161" spans="21:25" ht="14.5" x14ac:dyDescent="0.35">
      <c r="U161"/>
      <c r="V161"/>
      <c r="W161"/>
      <c r="X161"/>
      <c r="Y161"/>
    </row>
    <row r="162" spans="21:25" ht="14.5" x14ac:dyDescent="0.35">
      <c r="U162"/>
      <c r="V162"/>
      <c r="W162"/>
      <c r="X162"/>
      <c r="Y162"/>
    </row>
    <row r="163" spans="21:25" ht="14.5" x14ac:dyDescent="0.35">
      <c r="U163"/>
      <c r="V163"/>
      <c r="W163"/>
      <c r="X163"/>
      <c r="Y163"/>
    </row>
    <row r="164" spans="21:25" ht="14.5" x14ac:dyDescent="0.35">
      <c r="U164"/>
      <c r="V164"/>
      <c r="W164"/>
      <c r="X164"/>
      <c r="Y164"/>
    </row>
    <row r="165" spans="21:25" ht="14.5" x14ac:dyDescent="0.35">
      <c r="U165"/>
      <c r="V165"/>
      <c r="W165"/>
      <c r="X165"/>
      <c r="Y165"/>
    </row>
    <row r="166" spans="21:25" ht="14.5" x14ac:dyDescent="0.35">
      <c r="U166"/>
      <c r="V166"/>
      <c r="W166"/>
      <c r="X166"/>
      <c r="Y166"/>
    </row>
    <row r="167" spans="21:25" ht="14.5" x14ac:dyDescent="0.35">
      <c r="U167"/>
      <c r="V167"/>
      <c r="W167"/>
      <c r="X167"/>
      <c r="Y167"/>
    </row>
    <row r="168" spans="21:25" ht="14.5" x14ac:dyDescent="0.35">
      <c r="U168"/>
      <c r="V168"/>
      <c r="W168"/>
      <c r="X168"/>
      <c r="Y168"/>
    </row>
    <row r="169" spans="21:25" ht="14.5" x14ac:dyDescent="0.35">
      <c r="U169"/>
      <c r="V169"/>
      <c r="W169"/>
      <c r="X169"/>
      <c r="Y169"/>
    </row>
    <row r="170" spans="21:25" ht="14.5" x14ac:dyDescent="0.35">
      <c r="U170"/>
      <c r="V170"/>
      <c r="W170"/>
      <c r="X170"/>
      <c r="Y170"/>
    </row>
    <row r="171" spans="21:25" ht="14.5" x14ac:dyDescent="0.35">
      <c r="U171"/>
      <c r="V171"/>
      <c r="W171"/>
      <c r="X171"/>
      <c r="Y171"/>
    </row>
    <row r="172" spans="21:25" ht="14.5" x14ac:dyDescent="0.35">
      <c r="U172"/>
      <c r="V172"/>
      <c r="W172"/>
      <c r="X172"/>
      <c r="Y172"/>
    </row>
  </sheetData>
  <mergeCells count="1">
    <mergeCell ref="B55:S55"/>
  </mergeCells>
  <pageMargins left="0.7" right="0.7" top="0.75" bottom="0.75" header="0.3" footer="0.3"/>
  <pageSetup orientation="portrait" horizontalDpi="300" verticalDpi="0"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Programa</vt:lpstr>
      <vt:lpstr>130.01</vt:lpstr>
      <vt:lpstr>130.04 </vt:lpstr>
      <vt:lpstr>'130.01'!Área_de_impresión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Kreston Ecuador</dc:creator>
  <cp:lastModifiedBy>Admin</cp:lastModifiedBy>
  <dcterms:created xsi:type="dcterms:W3CDTF">2022-10-21T16:50:11Z</dcterms:created>
  <dcterms:modified xsi:type="dcterms:W3CDTF">2026-04-16T23:59:26Z</dcterms:modified>
</cp:coreProperties>
</file>