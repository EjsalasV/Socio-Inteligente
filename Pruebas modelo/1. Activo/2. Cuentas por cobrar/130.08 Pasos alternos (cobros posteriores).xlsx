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2. Cuentas por cobrar\"/>
    </mc:Choice>
  </mc:AlternateContent>
  <xr:revisionPtr revIDLastSave="0" documentId="13_ncr:1_{CEBC3AF8-EFC0-436B-B074-DE8C17A5EE4E}" xr6:coauthVersionLast="47" xr6:coauthVersionMax="47" xr10:uidLastSave="{00000000-0000-0000-0000-000000000000}"/>
  <bookViews>
    <workbookView xWindow="-110" yWindow="-110" windowWidth="19420" windowHeight="10300" xr2:uid="{B8BA58EB-4AC1-4153-9BCD-97C8A2814D85}"/>
  </bookViews>
  <sheets>
    <sheet name="130.08" sheetId="9" r:id="rId1"/>
  </sheets>
  <definedNames>
    <definedName name="_xlnm._FilterDatabase" localSheetId="0" hidden="1">'130.08'!$D$37:$I$45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6" i="9" l="1"/>
  <c r="S38" i="9"/>
  <c r="Q44" i="9"/>
  <c r="R44" i="9" s="1"/>
  <c r="Q43" i="9"/>
  <c r="R43" i="9" s="1"/>
  <c r="Q42" i="9"/>
  <c r="Z42" i="9" s="1"/>
  <c r="Q41" i="9"/>
  <c r="R41" i="9" s="1"/>
  <c r="Q40" i="9"/>
  <c r="R40" i="9" s="1"/>
  <c r="Q39" i="9"/>
  <c r="R39" i="9" s="1"/>
  <c r="Q38" i="9"/>
  <c r="Z38" i="9" s="1"/>
  <c r="AC44" i="9"/>
  <c r="X44" i="9"/>
  <c r="S44" i="9"/>
  <c r="AC43" i="9"/>
  <c r="X43" i="9"/>
  <c r="S43" i="9"/>
  <c r="AC42" i="9"/>
  <c r="X42" i="9"/>
  <c r="S42" i="9"/>
  <c r="AC41" i="9"/>
  <c r="X41" i="9"/>
  <c r="S41" i="9"/>
  <c r="AC40" i="9"/>
  <c r="X40" i="9"/>
  <c r="S40" i="9"/>
  <c r="AC39" i="9"/>
  <c r="X39" i="9"/>
  <c r="S39" i="9"/>
  <c r="AC38" i="9"/>
  <c r="X38" i="9"/>
  <c r="S46" i="9" l="1"/>
  <c r="AB38" i="9"/>
  <c r="AB42" i="9"/>
  <c r="R42" i="9"/>
  <c r="AJ42" i="9" s="1"/>
  <c r="AK42" i="9" s="1"/>
  <c r="Z41" i="9"/>
  <c r="AB41" i="9" s="1"/>
  <c r="R38" i="9"/>
  <c r="AJ38" i="9" s="1"/>
  <c r="AK38" i="9" s="1"/>
  <c r="Z40" i="9"/>
  <c r="AJ40" i="9" s="1"/>
  <c r="AK40" i="9" s="1"/>
  <c r="AJ41" i="9"/>
  <c r="AK41" i="9" s="1"/>
  <c r="Z44" i="9"/>
  <c r="AB44" i="9" s="1"/>
  <c r="Z39" i="9"/>
  <c r="AB39" i="9" s="1"/>
  <c r="Z43" i="9"/>
  <c r="AB43" i="9" s="1"/>
  <c r="AB40" i="9" l="1"/>
  <c r="AB46" i="9" s="1"/>
  <c r="AJ44" i="9"/>
  <c r="AK44" i="9" s="1"/>
  <c r="AJ43" i="9"/>
  <c r="AK43" i="9" s="1"/>
  <c r="AJ39" i="9"/>
  <c r="AK39" i="9" s="1"/>
  <c r="AK46" i="9" s="1"/>
</calcChain>
</file>

<file path=xl/sharedStrings.xml><?xml version="1.0" encoding="utf-8"?>
<sst xmlns="http://schemas.openxmlformats.org/spreadsheetml/2006/main" count="97" uniqueCount="85">
  <si>
    <t>Cliente</t>
  </si>
  <si>
    <t>Fecha</t>
  </si>
  <si>
    <t>Objetivo:</t>
  </si>
  <si>
    <t>A</t>
  </si>
  <si>
    <t>B</t>
  </si>
  <si>
    <t>Documento</t>
  </si>
  <si>
    <t># Doc</t>
  </si>
  <si>
    <t>Mes</t>
  </si>
  <si>
    <t>IVA</t>
  </si>
  <si>
    <t xml:space="preserve">Total </t>
  </si>
  <si>
    <t>COMPAÑÍA MODELO S.A.</t>
  </si>
  <si>
    <t>VERIFICACIÓN DE COBROS POSTERIORES</t>
  </si>
  <si>
    <t>Ref.</t>
  </si>
  <si>
    <t>Desarrollo:</t>
  </si>
  <si>
    <t>1.-</t>
  </si>
  <si>
    <t>2.-</t>
  </si>
  <si>
    <t>Conclusión:</t>
  </si>
  <si>
    <t>Base de decisión: Materialidad</t>
  </si>
  <si>
    <t>Marcas de auditoría:</t>
  </si>
  <si>
    <t>Preparado por:</t>
  </si>
  <si>
    <t>Revisado por:</t>
  </si>
  <si>
    <t>General</t>
  </si>
  <si>
    <t>XXX.XXX</t>
  </si>
  <si>
    <t>Desempeño</t>
  </si>
  <si>
    <t>Errores Triviales</t>
  </si>
  <si>
    <t>Procedimientos:</t>
  </si>
  <si>
    <t xml:space="preserve">Documentación de sustento </t>
  </si>
  <si>
    <t>AL 31 DE DICIEMBRE DE 20XX</t>
  </si>
  <si>
    <t>XX</t>
  </si>
  <si>
    <t>Notas aclaratorias:</t>
  </si>
  <si>
    <t>Observaciones:</t>
  </si>
  <si>
    <t>Preliminar</t>
  </si>
  <si>
    <t>Final</t>
  </si>
  <si>
    <t>a)</t>
  </si>
  <si>
    <t>b)</t>
  </si>
  <si>
    <t>c)</t>
  </si>
  <si>
    <t>Obs. 1</t>
  </si>
  <si>
    <t>Obs. 2</t>
  </si>
  <si>
    <t>Obs. 3</t>
  </si>
  <si>
    <t>***(Concluir en función al objetivo)</t>
  </si>
  <si>
    <t>3.-</t>
  </si>
  <si>
    <t>Verificaciones:</t>
  </si>
  <si>
    <t>FECHA DE CORTE: _/_/20XX</t>
  </si>
  <si>
    <t>4.-</t>
  </si>
  <si>
    <t>130.08</t>
  </si>
  <si>
    <t>Efectuar procedimientos alternos para validar la existencia del saldo de las cuentas por cobrar no confirmadas en el periodo 20xx.</t>
  </si>
  <si>
    <t>Documentar el papel de trabajo y concluir en base al objetivo.</t>
  </si>
  <si>
    <t>Información proporcionada por el cliente</t>
  </si>
  <si>
    <t>Determinar la existencia del saldo.</t>
  </si>
  <si>
    <t>C</t>
  </si>
  <si>
    <t>ID fiscal</t>
  </si>
  <si>
    <t>Solicitar a la Compañía la solicitud de crédito que sustente la venta.</t>
  </si>
  <si>
    <t># Nro. 2</t>
  </si>
  <si>
    <t>Subtotal 0%</t>
  </si>
  <si>
    <t>Subtotal 12%</t>
  </si>
  <si>
    <t>Forma de cobro</t>
  </si>
  <si>
    <t>Saldo por cobrar</t>
  </si>
  <si>
    <t xml:space="preserve">***El formato depende de la Compañía </t>
  </si>
  <si>
    <t xml:space="preserve">***El número de filas depende de la cantidad de cobros realizados a las cuentas por cobrar que no se recibieron confirmación </t>
  </si>
  <si>
    <r>
      <t xml:space="preserve">Solicitar a la Compañía la documentación soporte de los saldos no confirmados </t>
    </r>
    <r>
      <rPr>
        <b/>
        <sz val="10"/>
        <color rgb="FFFF0000"/>
        <rFont val="Tahoma"/>
        <family val="2"/>
      </rPr>
      <t>p/t 130.07.02</t>
    </r>
  </si>
  <si>
    <t>Existencia</t>
  </si>
  <si>
    <t>Exactitud</t>
  </si>
  <si>
    <t xml:space="preserve">Diferencia </t>
  </si>
  <si>
    <t>Cumplimiento tributario</t>
  </si>
  <si>
    <t>Bancarización</t>
  </si>
  <si>
    <t xml:space="preserve">Factura </t>
  </si>
  <si>
    <t xml:space="preserve">Cálculo de retención </t>
  </si>
  <si>
    <t xml:space="preserve">Según comprobante </t>
  </si>
  <si>
    <t>RUC</t>
  </si>
  <si>
    <t xml:space="preserve">Nro. documento </t>
  </si>
  <si>
    <t xml:space="preserve">Nro. de comprobante </t>
  </si>
  <si>
    <t>% Renta</t>
  </si>
  <si>
    <t>Valor renta</t>
  </si>
  <si>
    <t>% IVA</t>
  </si>
  <si>
    <t>Valor IVA</t>
  </si>
  <si>
    <t>Diferencia</t>
  </si>
  <si>
    <t>Días de retraso</t>
  </si>
  <si>
    <t xml:space="preserve">Nro. de operación </t>
  </si>
  <si>
    <t xml:space="preserve">Valor según comprobante </t>
  </si>
  <si>
    <t xml:space="preserve"> </t>
  </si>
  <si>
    <t>Nombre del cliente</t>
  </si>
  <si>
    <t xml:space="preserve">Comprobante de ingreso </t>
  </si>
  <si>
    <t xml:space="preserve">Cobro según auditoría </t>
  </si>
  <si>
    <t>Cálculos de Auditoría</t>
  </si>
  <si>
    <t xml:space="preserve">Sumatoria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</si>
</sst>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-* #,##0\ _€_-;\-* #,##0\ _€_-;_-* &quot;-&quot;??\ _€_-;_-@_-"/>
    <numFmt numFmtId="165" formatCode="dd\/mm\/yyyy"/>
    <numFmt numFmtId="166" formatCode="_ * #,##0_ ;_ * \-#,##0_ ;_ * &quot;-&quot;??_ ;_ @_ "/>
    <numFmt numFmtId="167" formatCode="[$-1540A]dd\-mmm\-yy;@"/>
    <numFmt numFmtId="168" formatCode="_(* #,##0_);_(* \(#,##0\);_(* &quot;-&quot;_);_(@_)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0"/>
      <color rgb="FFFF0000"/>
      <name val="Tahoma"/>
      <family val="2"/>
    </font>
    <font>
      <b/>
      <sz val="10"/>
      <color theme="3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b/>
      <i/>
      <u/>
      <sz val="10"/>
      <color theme="1"/>
      <name val="Tahoma"/>
      <family val="2"/>
    </font>
    <font>
      <sz val="10"/>
      <color indexed="63"/>
      <name val="Tahoma"/>
      <family val="2"/>
    </font>
    <font>
      <sz val="10"/>
      <color indexed="8"/>
      <name val="Tahoma"/>
      <family val="2"/>
    </font>
    <font>
      <b/>
      <u/>
      <sz val="10"/>
      <color theme="3" tint="0.39997558519241921"/>
      <name val="Tahoma"/>
      <family val="2"/>
    </font>
    <font>
      <b/>
      <u/>
      <sz val="10"/>
      <color rgb="FFFF0000"/>
      <name val="Tahoma"/>
      <family val="2"/>
    </font>
    <font>
      <b/>
      <sz val="10"/>
      <color rgb="FF002060"/>
      <name val="Tahoma"/>
      <family val="2"/>
    </font>
    <font>
      <b/>
      <u/>
      <sz val="10"/>
      <color rgb="FF0000FF"/>
      <name val="Tahoma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u/>
      <sz val="10"/>
      <name val="Tahoma"/>
      <family val="2"/>
    </font>
    <font>
      <b/>
      <sz val="10"/>
      <color theme="0"/>
      <name val="Tahoma"/>
      <family val="2"/>
    </font>
    <font>
      <sz val="11"/>
      <name val="Calibri"/>
      <family val="2"/>
    </font>
    <font>
      <sz val="10"/>
      <color rgb="FF36609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4" fillId="0" borderId="0"/>
    <xf numFmtId="0" fontId="18" fillId="0" borderId="0"/>
    <xf numFmtId="0" fontId="17" fillId="0" borderId="0"/>
    <xf numFmtId="0" fontId="4" fillId="0" borderId="0"/>
    <xf numFmtId="9" fontId="2" fillId="0" borderId="0" applyFont="0" applyFill="0" applyBorder="0" applyAlignment="0" applyProtection="0"/>
  </cellStyleXfs>
  <cellXfs count="123">
    <xf numFmtId="0" fontId="0" fillId="0" borderId="0" xfId="0"/>
    <xf numFmtId="1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/>
    <xf numFmtId="0" fontId="13" fillId="0" borderId="0" xfId="2" applyFont="1" applyAlignment="1">
      <alignment horizontal="left" vertical="center"/>
    </xf>
    <xf numFmtId="0" fontId="14" fillId="0" borderId="0" xfId="2" applyFont="1" applyAlignment="1">
      <alignment horizontal="left" vertical="center"/>
    </xf>
    <xf numFmtId="14" fontId="14" fillId="0" borderId="0" xfId="2" applyNumberFormat="1" applyFont="1" applyAlignment="1">
      <alignment horizontal="left" vertical="center"/>
    </xf>
    <xf numFmtId="164" fontId="12" fillId="0" borderId="0" xfId="1" applyNumberFormat="1" applyFont="1" applyFill="1" applyBorder="1"/>
    <xf numFmtId="14" fontId="10" fillId="0" borderId="0" xfId="0" applyNumberFormat="1" applyFont="1"/>
    <xf numFmtId="49" fontId="11" fillId="0" borderId="0" xfId="0" applyNumberFormat="1" applyFont="1"/>
    <xf numFmtId="14" fontId="11" fillId="0" borderId="0" xfId="0" applyNumberFormat="1" applyFont="1"/>
    <xf numFmtId="0" fontId="11" fillId="0" borderId="0" xfId="0" applyFont="1"/>
    <xf numFmtId="49" fontId="12" fillId="0" borderId="0" xfId="0" applyNumberFormat="1" applyFont="1"/>
    <xf numFmtId="165" fontId="11" fillId="0" borderId="0" xfId="0" applyNumberFormat="1" applyFont="1"/>
    <xf numFmtId="0" fontId="9" fillId="0" borderId="0" xfId="0" applyFont="1"/>
    <xf numFmtId="0" fontId="1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6" fillId="0" borderId="0" xfId="0" applyFont="1"/>
    <xf numFmtId="0" fontId="1" fillId="0" borderId="0" xfId="0" applyFont="1"/>
    <xf numFmtId="0" fontId="16" fillId="3" borderId="0" xfId="7" applyFont="1" applyFill="1"/>
    <xf numFmtId="0" fontId="8" fillId="0" borderId="0" xfId="0" applyFont="1" applyBorder="1" applyAlignment="1">
      <alignment vertical="center"/>
    </xf>
    <xf numFmtId="0" fontId="1" fillId="0" borderId="2" xfId="0" applyFont="1" applyBorder="1"/>
    <xf numFmtId="0" fontId="8" fillId="3" borderId="0" xfId="7" applyFont="1" applyFill="1" applyAlignment="1">
      <alignment horizontal="left" vertical="center" indent="1"/>
    </xf>
    <xf numFmtId="49" fontId="11" fillId="0" borderId="1" xfId="0" applyNumberFormat="1" applyFont="1" applyBorder="1"/>
    <xf numFmtId="14" fontId="11" fillId="0" borderId="1" xfId="0" applyNumberFormat="1" applyFont="1" applyBorder="1"/>
    <xf numFmtId="0" fontId="11" fillId="0" borderId="1" xfId="0" applyFont="1" applyBorder="1"/>
    <xf numFmtId="1" fontId="11" fillId="0" borderId="1" xfId="0" applyNumberFormat="1" applyFont="1" applyBorder="1"/>
    <xf numFmtId="49" fontId="12" fillId="0" borderId="1" xfId="0" applyNumberFormat="1" applyFont="1" applyBorder="1"/>
    <xf numFmtId="164" fontId="12" fillId="0" borderId="1" xfId="1" applyNumberFormat="1" applyFont="1" applyFill="1" applyBorder="1"/>
    <xf numFmtId="165" fontId="11" fillId="0" borderId="1" xfId="0" applyNumberFormat="1" applyFont="1" applyBorder="1"/>
    <xf numFmtId="0" fontId="15" fillId="0" borderId="0" xfId="10" applyFont="1" applyAlignment="1" applyProtection="1">
      <alignment horizontal="left" vertical="center"/>
      <protection hidden="1"/>
    </xf>
    <xf numFmtId="168" fontId="12" fillId="3" borderId="0" xfId="11" applyNumberFormat="1" applyFont="1" applyFill="1" applyAlignment="1">
      <alignment horizontal="left"/>
    </xf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/>
    <xf numFmtId="167" fontId="1" fillId="0" borderId="0" xfId="0" applyNumberFormat="1" applyFont="1" applyAlignment="1">
      <alignment vertical="center"/>
    </xf>
    <xf numFmtId="167" fontId="1" fillId="0" borderId="0" xfId="0" applyNumberFormat="1" applyFont="1" applyBorder="1" applyAlignment="1">
      <alignment vertical="center"/>
    </xf>
    <xf numFmtId="14" fontId="1" fillId="0" borderId="0" xfId="0" applyNumberFormat="1" applyFont="1" applyBorder="1"/>
    <xf numFmtId="0" fontId="1" fillId="0" borderId="0" xfId="0" applyFont="1" applyBorder="1"/>
    <xf numFmtId="0" fontId="1" fillId="0" borderId="0" xfId="2" applyFont="1"/>
    <xf numFmtId="14" fontId="1" fillId="0" borderId="0" xfId="2" applyNumberFormat="1" applyFont="1"/>
    <xf numFmtId="14" fontId="1" fillId="0" borderId="0" xfId="5" applyNumberFormat="1" applyFont="1"/>
    <xf numFmtId="0" fontId="1" fillId="0" borderId="0" xfId="5" applyFont="1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4" fontId="1" fillId="0" borderId="0" xfId="0" applyNumberFormat="1" applyFont="1" applyAlignment="1">
      <alignment horizontal="left" wrapText="1"/>
    </xf>
    <xf numFmtId="14" fontId="1" fillId="0" borderId="0" xfId="2" applyNumberFormat="1" applyFont="1" applyAlignment="1">
      <alignment horizontal="center" vertical="center"/>
    </xf>
    <xf numFmtId="0" fontId="1" fillId="0" borderId="0" xfId="2" applyFont="1" applyAlignment="1">
      <alignment horizontal="left" vertical="center"/>
    </xf>
    <xf numFmtId="14" fontId="1" fillId="0" borderId="0" xfId="2" applyNumberFormat="1" applyFont="1" applyAlignment="1">
      <alignment horizontal="left"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14" fontId="15" fillId="2" borderId="1" xfId="0" applyNumberFormat="1" applyFont="1" applyFill="1" applyBorder="1" applyAlignment="1">
      <alignment horizontal="center" vertical="center" wrapText="1"/>
    </xf>
    <xf numFmtId="164" fontId="15" fillId="2" borderId="1" xfId="1" applyNumberFormat="1" applyFont="1" applyFill="1" applyBorder="1" applyAlignment="1">
      <alignment horizontal="center" vertical="center" wrapText="1"/>
    </xf>
    <xf numFmtId="43" fontId="9" fillId="4" borderId="0" xfId="1" applyFont="1" applyFill="1" applyBorder="1" applyAlignment="1">
      <alignment horizontal="center"/>
    </xf>
    <xf numFmtId="0" fontId="7" fillId="0" borderId="1" xfId="9" applyFont="1" applyBorder="1" applyAlignment="1">
      <alignment horizontal="center"/>
    </xf>
    <xf numFmtId="0" fontId="19" fillId="3" borderId="0" xfId="8" applyFont="1" applyFill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/>
    <xf numFmtId="0" fontId="5" fillId="0" borderId="0" xfId="0" applyFont="1"/>
    <xf numFmtId="0" fontId="15" fillId="0" borderId="0" xfId="0" applyFont="1" applyFill="1" applyAlignment="1">
      <alignment horizontal="left" vertical="top"/>
    </xf>
    <xf numFmtId="0" fontId="1" fillId="0" borderId="0" xfId="0" applyFont="1" applyAlignment="1">
      <alignment horizontal="right"/>
    </xf>
    <xf numFmtId="0" fontId="12" fillId="0" borderId="0" xfId="0" applyFont="1"/>
    <xf numFmtId="0" fontId="1" fillId="0" borderId="0" xfId="0" applyFont="1" applyFill="1"/>
    <xf numFmtId="0" fontId="7" fillId="0" borderId="0" xfId="12" applyFont="1"/>
    <xf numFmtId="0" fontId="1" fillId="0" borderId="0" xfId="5" applyFont="1" applyFill="1" applyAlignment="1">
      <alignment horizontal="left" vertical="center"/>
    </xf>
    <xf numFmtId="0" fontId="1" fillId="0" borderId="0" xfId="2" applyFont="1" applyAlignment="1">
      <alignment horizontal="right" vertical="center"/>
    </xf>
    <xf numFmtId="14" fontId="1" fillId="0" borderId="0" xfId="5" applyNumberFormat="1" applyFont="1" applyFill="1" applyAlignment="1">
      <alignment horizontal="left" vertical="center"/>
    </xf>
    <xf numFmtId="14" fontId="1" fillId="0" borderId="0" xfId="0" applyNumberFormat="1" applyFont="1" applyFill="1"/>
    <xf numFmtId="0" fontId="9" fillId="0" borderId="0" xfId="0" applyFont="1" applyFill="1" applyAlignment="1">
      <alignment horizontal="center"/>
    </xf>
    <xf numFmtId="0" fontId="1" fillId="0" borderId="0" xfId="0" applyFont="1" applyFill="1" applyAlignment="1">
      <alignment horizontal="left" vertical="center"/>
    </xf>
    <xf numFmtId="0" fontId="1" fillId="0" borderId="0" xfId="2" applyFont="1" applyFill="1" applyAlignment="1">
      <alignment horizontal="left" vertical="center"/>
    </xf>
    <xf numFmtId="49" fontId="5" fillId="0" borderId="1" xfId="0" applyNumberFormat="1" applyFont="1" applyBorder="1"/>
    <xf numFmtId="0" fontId="21" fillId="0" borderId="0" xfId="0" applyFont="1"/>
    <xf numFmtId="1" fontId="15" fillId="7" borderId="12" xfId="0" applyNumberFormat="1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14" fontId="15" fillId="7" borderId="12" xfId="0" applyNumberFormat="1" applyFont="1" applyFill="1" applyBorder="1" applyAlignment="1">
      <alignment horizontal="center" vertical="center" wrapText="1"/>
    </xf>
    <xf numFmtId="43" fontId="15" fillId="7" borderId="12" xfId="0" applyNumberFormat="1" applyFont="1" applyFill="1" applyBorder="1" applyAlignment="1">
      <alignment horizontal="center" vertical="center" wrapText="1"/>
    </xf>
    <xf numFmtId="14" fontId="15" fillId="7" borderId="12" xfId="0" applyNumberFormat="1" applyFont="1" applyFill="1" applyBorder="1" applyAlignment="1">
      <alignment horizontal="center" vertical="center" wrapText="1"/>
    </xf>
    <xf numFmtId="14" fontId="15" fillId="2" borderId="1" xfId="12" applyNumberFormat="1" applyFont="1" applyFill="1" applyBorder="1" applyAlignment="1">
      <alignment horizontal="center" vertical="center" wrapText="1"/>
    </xf>
    <xf numFmtId="10" fontId="15" fillId="2" borderId="1" xfId="13" applyNumberFormat="1" applyFont="1" applyFill="1" applyBorder="1" applyAlignment="1">
      <alignment horizontal="center" vertical="center" wrapText="1"/>
    </xf>
    <xf numFmtId="43" fontId="15" fillId="2" borderId="1" xfId="3" applyFont="1" applyFill="1" applyBorder="1" applyAlignment="1">
      <alignment horizontal="center" vertical="center" wrapText="1"/>
    </xf>
    <xf numFmtId="9" fontId="15" fillId="2" borderId="1" xfId="13" applyFont="1" applyFill="1" applyBorder="1" applyAlignment="1">
      <alignment horizontal="center" vertical="center" wrapText="1"/>
    </xf>
    <xf numFmtId="0" fontId="15" fillId="2" borderId="1" xfId="12" applyFont="1" applyFill="1" applyBorder="1" applyAlignment="1">
      <alignment horizontal="center" vertical="center" wrapText="1"/>
    </xf>
    <xf numFmtId="49" fontId="15" fillId="7" borderId="12" xfId="0" applyNumberFormat="1" applyFont="1" applyFill="1" applyBorder="1" applyAlignment="1">
      <alignment horizontal="center" vertical="center" wrapText="1"/>
    </xf>
    <xf numFmtId="43" fontId="15" fillId="7" borderId="6" xfId="0" applyNumberFormat="1" applyFont="1" applyFill="1" applyBorder="1" applyAlignment="1">
      <alignment horizontal="center" vertical="center" wrapText="1"/>
    </xf>
    <xf numFmtId="1" fontId="1" fillId="0" borderId="12" xfId="0" applyNumberFormat="1" applyFont="1" applyBorder="1"/>
    <xf numFmtId="0" fontId="1" fillId="0" borderId="12" xfId="0" applyFont="1" applyBorder="1"/>
    <xf numFmtId="14" fontId="1" fillId="0" borderId="12" xfId="0" applyNumberFormat="1" applyFont="1" applyBorder="1"/>
    <xf numFmtId="166" fontId="1" fillId="0" borderId="12" xfId="0" applyNumberFormat="1" applyFont="1" applyBorder="1"/>
    <xf numFmtId="166" fontId="18" fillId="0" borderId="12" xfId="0" applyNumberFormat="1" applyFont="1" applyBorder="1"/>
    <xf numFmtId="166" fontId="18" fillId="0" borderId="0" xfId="0" applyNumberFormat="1" applyFont="1"/>
    <xf numFmtId="10" fontId="1" fillId="0" borderId="1" xfId="0" applyNumberFormat="1" applyFont="1" applyBorder="1"/>
    <xf numFmtId="166" fontId="1" fillId="0" borderId="1" xfId="3" applyNumberFormat="1" applyFont="1" applyBorder="1"/>
    <xf numFmtId="9" fontId="1" fillId="0" borderId="1" xfId="0" applyNumberFormat="1" applyFont="1" applyBorder="1"/>
    <xf numFmtId="166" fontId="1" fillId="0" borderId="12" xfId="1" applyNumberFormat="1" applyFont="1" applyBorder="1"/>
    <xf numFmtId="0" fontId="18" fillId="0" borderId="12" xfId="0" applyFont="1" applyBorder="1"/>
    <xf numFmtId="0" fontId="22" fillId="0" borderId="0" xfId="0" applyFont="1" applyAlignment="1">
      <alignment horizontal="center" vertical="center"/>
    </xf>
    <xf numFmtId="164" fontId="12" fillId="0" borderId="13" xfId="1" applyNumberFormat="1" applyFont="1" applyFill="1" applyBorder="1"/>
    <xf numFmtId="164" fontId="9" fillId="0" borderId="13" xfId="1" applyNumberFormat="1" applyFont="1" applyFill="1" applyBorder="1"/>
    <xf numFmtId="0" fontId="15" fillId="7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10" borderId="12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/>
    </xf>
    <xf numFmtId="0" fontId="20" fillId="6" borderId="4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/>
    </xf>
    <xf numFmtId="0" fontId="21" fillId="0" borderId="7" xfId="0" applyFont="1" applyBorder="1"/>
    <xf numFmtId="0" fontId="21" fillId="0" borderId="9" xfId="0" applyFont="1" applyBorder="1"/>
    <xf numFmtId="0" fontId="15" fillId="9" borderId="6" xfId="0" applyFont="1" applyFill="1" applyBorder="1" applyAlignment="1">
      <alignment horizontal="center" vertical="center"/>
    </xf>
    <xf numFmtId="49" fontId="15" fillId="5" borderId="1" xfId="12" applyNumberFormat="1" applyFont="1" applyFill="1" applyBorder="1" applyAlignment="1">
      <alignment horizontal="center" vertical="center" wrapText="1"/>
    </xf>
    <xf numFmtId="168" fontId="15" fillId="5" borderId="1" xfId="12" applyNumberFormat="1" applyFont="1" applyFill="1" applyBorder="1" applyAlignment="1">
      <alignment horizontal="center" vertical="center" wrapText="1"/>
    </xf>
    <xf numFmtId="168" fontId="15" fillId="9" borderId="6" xfId="0" applyNumberFormat="1" applyFont="1" applyFill="1" applyBorder="1" applyAlignment="1">
      <alignment horizontal="center" vertical="center"/>
    </xf>
    <xf numFmtId="168" fontId="15" fillId="9" borderId="7" xfId="0" applyNumberFormat="1" applyFont="1" applyFill="1" applyBorder="1" applyAlignment="1">
      <alignment horizontal="center" vertical="center"/>
    </xf>
    <xf numFmtId="168" fontId="15" fillId="9" borderId="11" xfId="0" applyNumberFormat="1" applyFont="1" applyFill="1" applyBorder="1" applyAlignment="1">
      <alignment horizontal="center" vertical="center"/>
    </xf>
  </cellXfs>
  <cellStyles count="14">
    <cellStyle name="Millares" xfId="1" builtinId="3"/>
    <cellStyle name="Millares 3" xfId="3" xr:uid="{88BC0018-C048-4A52-8549-000DECAFD517}"/>
    <cellStyle name="Normal" xfId="0" builtinId="0"/>
    <cellStyle name="Normal 2" xfId="2" xr:uid="{4AF2BB9D-97CE-4A6C-A0D8-DEEE562E03FE}"/>
    <cellStyle name="Normal 2 10" xfId="9" xr:uid="{89DADAA1-5CA2-42D8-9C54-CD0220B78832}"/>
    <cellStyle name="Normal 2 2" xfId="7" xr:uid="{9FC8C11A-6E3E-43D2-91F2-1640DCC24C9B}"/>
    <cellStyle name="Normal 2 3 2 5" xfId="12" xr:uid="{D4FC8877-F4B0-4BDC-A322-5C800B3931AC}"/>
    <cellStyle name="Normal 23" xfId="4" xr:uid="{68E25823-65AF-4D79-BE9B-C91792BB1F5A}"/>
    <cellStyle name="Normal 3" xfId="5" xr:uid="{02779A08-28FE-417B-9844-9EA968DE9F75}"/>
    <cellStyle name="Normal 7" xfId="10" xr:uid="{E612EE9F-1B96-428F-B42D-6542096CBC94}"/>
    <cellStyle name="Normal 8 2" xfId="6" xr:uid="{65106E6C-52C6-4727-B2DB-69A3C7F3E691}"/>
    <cellStyle name="Normal_2102 Sumaria de Efectivo y Equivalentes" xfId="11" xr:uid="{A6BA8122-D3E6-4207-A462-B0317465BF3B}"/>
    <cellStyle name="Normal_2102.1.1 Analisis de Partidas Conciliatorias" xfId="8" xr:uid="{35BBE3BE-924F-4198-8705-3ECE75B92C3C}"/>
    <cellStyle name="Porcentaje" xfId="13" builtinId="5"/>
  </cellStyles>
  <dxfs count="0"/>
  <tableStyles count="0" defaultTableStyle="TableStyleMedium2" defaultPivotStyle="PivotStyleLight16"/>
  <colors>
    <mruColors>
      <color rgb="FF0F209F"/>
      <color rgb="FF0E0E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199233</xdr:colOff>
      <xdr:row>35</xdr:row>
      <xdr:rowOff>79375</xdr:rowOff>
    </xdr:from>
    <xdr:to>
      <xdr:col>9</xdr:col>
      <xdr:colOff>0</xdr:colOff>
      <xdr:row>35</xdr:row>
      <xdr:rowOff>79375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664ED2E3-99B5-8431-790F-2CCEA34C9310}"/>
            </a:ext>
          </a:extLst>
        </xdr:cNvPr>
        <xdr:cNvCxnSpPr>
          <a:stCxn id="6" idx="3"/>
        </xdr:cNvCxnSpPr>
      </xdr:nvCxnSpPr>
      <xdr:spPr>
        <a:xfrm>
          <a:off x="564358" y="5437188"/>
          <a:ext cx="8285955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7145</xdr:colOff>
      <xdr:row>34</xdr:row>
      <xdr:rowOff>142081</xdr:rowOff>
    </xdr:from>
    <xdr:to>
      <xdr:col>1</xdr:col>
      <xdr:colOff>199233</xdr:colOff>
      <xdr:row>35</xdr:row>
      <xdr:rowOff>151606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6842EBA-574E-4F1D-BD0B-29C7CEEC4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270" y="5317331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79377</xdr:colOff>
      <xdr:row>50</xdr:row>
      <xdr:rowOff>0</xdr:rowOff>
    </xdr:from>
    <xdr:to>
      <xdr:col>0</xdr:col>
      <xdr:colOff>238127</xdr:colOff>
      <xdr:row>50</xdr:row>
      <xdr:rowOff>155939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9B4DEF2-D08A-4CF0-B9E9-3EE01F14F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7" y="7254875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79377</xdr:colOff>
      <xdr:row>51</xdr:row>
      <xdr:rowOff>7937</xdr:rowOff>
    </xdr:from>
    <xdr:to>
      <xdr:col>0</xdr:col>
      <xdr:colOff>238127</xdr:colOff>
      <xdr:row>52</xdr:row>
      <xdr:rowOff>7937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5A820E0-387F-43B3-9F0F-FDD4F1746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7" y="7421562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31749</xdr:colOff>
      <xdr:row>32</xdr:row>
      <xdr:rowOff>106362</xdr:rowOff>
    </xdr:from>
    <xdr:ext cx="180000" cy="180000"/>
    <xdr:pic>
      <xdr:nvPicPr>
        <xdr:cNvPr id="17" name="image9.png">
          <a:extLst>
            <a:ext uri="{FF2B5EF4-FFF2-40B4-BE49-F238E27FC236}">
              <a16:creationId xmlns:a16="http://schemas.microsoft.com/office/drawing/2014/main" id="{7B3BC131-2EB5-449B-B6AD-2F8DFC716AD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77149" y="4945062"/>
          <a:ext cx="180000" cy="180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18</xdr:col>
      <xdr:colOff>293687</xdr:colOff>
      <xdr:row>32</xdr:row>
      <xdr:rowOff>134936</xdr:rowOff>
    </xdr:from>
    <xdr:to>
      <xdr:col>18</xdr:col>
      <xdr:colOff>473687</xdr:colOff>
      <xdr:row>34</xdr:row>
      <xdr:rowOff>26011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C310F77B-8645-4B1B-8681-377F2B4B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37" y="4973636"/>
          <a:ext cx="180000" cy="18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211749</xdr:colOff>
      <xdr:row>33</xdr:row>
      <xdr:rowOff>79375</xdr:rowOff>
    </xdr:from>
    <xdr:to>
      <xdr:col>17</xdr:col>
      <xdr:colOff>762000</xdr:colOff>
      <xdr:row>33</xdr:row>
      <xdr:rowOff>90000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F2D4156E-725C-4532-A7FE-B2354EEC9BB4}"/>
            </a:ext>
          </a:extLst>
        </xdr:cNvPr>
        <xdr:cNvCxnSpPr>
          <a:cxnSpLocks/>
          <a:stCxn id="17" idx="3"/>
        </xdr:cNvCxnSpPr>
      </xdr:nvCxnSpPr>
      <xdr:spPr>
        <a:xfrm flipV="1">
          <a:off x="9204937" y="5095875"/>
          <a:ext cx="6630376" cy="106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0</xdr:colOff>
      <xdr:row>33</xdr:row>
      <xdr:rowOff>0</xdr:rowOff>
    </xdr:from>
    <xdr:to>
      <xdr:col>20</xdr:col>
      <xdr:colOff>180000</xdr:colOff>
      <xdr:row>34</xdr:row>
      <xdr:rowOff>22837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E8A1340-C2AB-45C8-AFC1-4AB1DEC31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00400" y="4991100"/>
          <a:ext cx="180000" cy="181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206375</xdr:colOff>
      <xdr:row>33</xdr:row>
      <xdr:rowOff>71436</xdr:rowOff>
    </xdr:from>
    <xdr:to>
      <xdr:col>25</xdr:col>
      <xdr:colOff>733937</xdr:colOff>
      <xdr:row>33</xdr:row>
      <xdr:rowOff>79374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51D99E7-7F09-4C95-82DA-AA51E710C698}"/>
            </a:ext>
          </a:extLst>
        </xdr:cNvPr>
        <xdr:cNvCxnSpPr/>
      </xdr:nvCxnSpPr>
      <xdr:spPr>
        <a:xfrm flipV="1">
          <a:off x="16106775" y="5062536"/>
          <a:ext cx="4782062" cy="793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261938</xdr:colOff>
      <xdr:row>32</xdr:row>
      <xdr:rowOff>126998</xdr:rowOff>
    </xdr:from>
    <xdr:ext cx="180000" cy="180000"/>
    <xdr:pic>
      <xdr:nvPicPr>
        <xdr:cNvPr id="23" name="image7.png">
          <a:extLst>
            <a:ext uri="{FF2B5EF4-FFF2-40B4-BE49-F238E27FC236}">
              <a16:creationId xmlns:a16="http://schemas.microsoft.com/office/drawing/2014/main" id="{A7D3AA83-98BA-427D-9629-8487E4F7DF4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1216938" y="4965698"/>
          <a:ext cx="180000" cy="180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26</xdr:col>
      <xdr:colOff>785813</xdr:colOff>
      <xdr:row>32</xdr:row>
      <xdr:rowOff>119062</xdr:rowOff>
    </xdr:from>
    <xdr:to>
      <xdr:col>27</xdr:col>
      <xdr:colOff>170475</xdr:colOff>
      <xdr:row>34</xdr:row>
      <xdr:rowOff>21250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D6ECCC91-63E5-4806-81A9-0D4FA7B29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40813" y="4957762"/>
          <a:ext cx="178412" cy="181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164125</xdr:colOff>
      <xdr:row>33</xdr:row>
      <xdr:rowOff>55563</xdr:rowOff>
    </xdr:from>
    <xdr:to>
      <xdr:col>28</xdr:col>
      <xdr:colOff>738188</xdr:colOff>
      <xdr:row>33</xdr:row>
      <xdr:rowOff>58250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817A61EF-33ED-45F9-88FA-230209FD90E1}"/>
            </a:ext>
          </a:extLst>
        </xdr:cNvPr>
        <xdr:cNvCxnSpPr>
          <a:stCxn id="24" idx="3"/>
        </xdr:cNvCxnSpPr>
      </xdr:nvCxnSpPr>
      <xdr:spPr>
        <a:xfrm flipV="1">
          <a:off x="21919225" y="5046663"/>
          <a:ext cx="1374163" cy="268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7938</xdr:colOff>
      <xdr:row>32</xdr:row>
      <xdr:rowOff>90489</xdr:rowOff>
    </xdr:from>
    <xdr:ext cx="180000" cy="180000"/>
    <xdr:pic>
      <xdr:nvPicPr>
        <xdr:cNvPr id="28" name="image7.png">
          <a:extLst>
            <a:ext uri="{FF2B5EF4-FFF2-40B4-BE49-F238E27FC236}">
              <a16:creationId xmlns:a16="http://schemas.microsoft.com/office/drawing/2014/main" id="{7DB3508D-02D4-4886-977C-83C53A3FE11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3674388" y="4929189"/>
          <a:ext cx="180000" cy="180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35</xdr:col>
      <xdr:colOff>87312</xdr:colOff>
      <xdr:row>32</xdr:row>
      <xdr:rowOff>111124</xdr:rowOff>
    </xdr:from>
    <xdr:to>
      <xdr:col>35</xdr:col>
      <xdr:colOff>267312</xdr:colOff>
      <xdr:row>34</xdr:row>
      <xdr:rowOff>26012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1E8D78A0-615E-4FD7-9E38-BCA015813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59312" y="4949824"/>
          <a:ext cx="180000" cy="181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35</xdr:col>
      <xdr:colOff>261935</xdr:colOff>
      <xdr:row>33</xdr:row>
      <xdr:rowOff>71437</xdr:rowOff>
    </xdr:from>
    <xdr:to>
      <xdr:col>36</xdr:col>
      <xdr:colOff>712710</xdr:colOff>
      <xdr:row>33</xdr:row>
      <xdr:rowOff>79375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B6A8E283-6CA6-4629-9325-345B88099DA9}"/>
            </a:ext>
          </a:extLst>
        </xdr:cNvPr>
        <xdr:cNvCxnSpPr/>
      </xdr:nvCxnSpPr>
      <xdr:spPr>
        <a:xfrm flipV="1">
          <a:off x="29559248" y="5087937"/>
          <a:ext cx="1244525" cy="793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187938</xdr:colOff>
      <xdr:row>33</xdr:row>
      <xdr:rowOff>93177</xdr:rowOff>
    </xdr:from>
    <xdr:to>
      <xdr:col>35</xdr:col>
      <xdr:colOff>87312</xdr:colOff>
      <xdr:row>33</xdr:row>
      <xdr:rowOff>94762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DE103DA4-D744-4D08-AFB2-851F451455AE}"/>
            </a:ext>
          </a:extLst>
        </xdr:cNvPr>
        <xdr:cNvCxnSpPr>
          <a:stCxn id="28" idx="3"/>
          <a:endCxn id="29" idx="1"/>
        </xdr:cNvCxnSpPr>
      </xdr:nvCxnSpPr>
      <xdr:spPr>
        <a:xfrm>
          <a:off x="24913251" y="5109677"/>
          <a:ext cx="4471374" cy="158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1841506</xdr:colOff>
      <xdr:row>45</xdr:row>
      <xdr:rowOff>0</xdr:rowOff>
    </xdr:from>
    <xdr:ext cx="184404" cy="184404"/>
    <xdr:pic>
      <xdr:nvPicPr>
        <xdr:cNvPr id="33" name="image1.png">
          <a:extLst>
            <a:ext uri="{FF2B5EF4-FFF2-40B4-BE49-F238E27FC236}">
              <a16:creationId xmlns:a16="http://schemas.microsoft.com/office/drawing/2014/main" id="{65DB8573-4562-4FBC-BE00-16DDA22A18B1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635881" y="7223125"/>
          <a:ext cx="184404" cy="184404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500069</xdr:colOff>
      <xdr:row>45</xdr:row>
      <xdr:rowOff>23813</xdr:rowOff>
    </xdr:from>
    <xdr:ext cx="184404" cy="184404"/>
    <xdr:pic>
      <xdr:nvPicPr>
        <xdr:cNvPr id="34" name="image1.png">
          <a:extLst>
            <a:ext uri="{FF2B5EF4-FFF2-40B4-BE49-F238E27FC236}">
              <a16:creationId xmlns:a16="http://schemas.microsoft.com/office/drawing/2014/main" id="{B628CDF7-67B9-4DE2-A492-AF974906E34C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573382" y="7246938"/>
          <a:ext cx="184404" cy="184404"/>
        </a:xfrm>
        <a:prstGeom prst="rect">
          <a:avLst/>
        </a:prstGeom>
        <a:noFill/>
      </xdr:spPr>
    </xdr:pic>
    <xdr:clientData fLocksWithSheet="0"/>
  </xdr:oneCellAnchor>
  <xdr:oneCellAnchor>
    <xdr:from>
      <xdr:col>26</xdr:col>
      <xdr:colOff>500069</xdr:colOff>
      <xdr:row>45</xdr:row>
      <xdr:rowOff>23813</xdr:rowOff>
    </xdr:from>
    <xdr:ext cx="184404" cy="184404"/>
    <xdr:pic>
      <xdr:nvPicPr>
        <xdr:cNvPr id="35" name="image1.png">
          <a:extLst>
            <a:ext uri="{FF2B5EF4-FFF2-40B4-BE49-F238E27FC236}">
              <a16:creationId xmlns:a16="http://schemas.microsoft.com/office/drawing/2014/main" id="{02E5CB88-C52F-47AE-ACE5-4BD4865531AA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573382" y="7246938"/>
          <a:ext cx="184404" cy="184404"/>
        </a:xfrm>
        <a:prstGeom prst="rect">
          <a:avLst/>
        </a:prstGeom>
        <a:noFill/>
      </xdr:spPr>
    </xdr:pic>
    <xdr:clientData fLocksWithSheet="0"/>
  </xdr:oneCellAnchor>
  <xdr:oneCellAnchor>
    <xdr:from>
      <xdr:col>35</xdr:col>
      <xdr:colOff>896944</xdr:colOff>
      <xdr:row>45</xdr:row>
      <xdr:rowOff>15876</xdr:rowOff>
    </xdr:from>
    <xdr:ext cx="184404" cy="184404"/>
    <xdr:pic>
      <xdr:nvPicPr>
        <xdr:cNvPr id="36" name="image1.png">
          <a:extLst>
            <a:ext uri="{FF2B5EF4-FFF2-40B4-BE49-F238E27FC236}">
              <a16:creationId xmlns:a16="http://schemas.microsoft.com/office/drawing/2014/main" id="{F71008C6-F898-4390-9E61-9FD2CBDCD076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0194257" y="7239001"/>
          <a:ext cx="184404" cy="184404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79117</xdr:colOff>
      <xdr:row>52</xdr:row>
      <xdr:rowOff>15619</xdr:rowOff>
    </xdr:from>
    <xdr:ext cx="148760" cy="148760"/>
    <xdr:pic>
      <xdr:nvPicPr>
        <xdr:cNvPr id="37" name="image6.png">
          <a:extLst>
            <a:ext uri="{FF2B5EF4-FFF2-40B4-BE49-F238E27FC236}">
              <a16:creationId xmlns:a16="http://schemas.microsoft.com/office/drawing/2014/main" id="{AF3A9058-B0A1-4661-8296-F80860EFB913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9117" y="8365869"/>
          <a:ext cx="148760" cy="14876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87051</xdr:colOff>
      <xdr:row>53</xdr:row>
      <xdr:rowOff>31492</xdr:rowOff>
    </xdr:from>
    <xdr:ext cx="148760" cy="148760"/>
    <xdr:pic>
      <xdr:nvPicPr>
        <xdr:cNvPr id="38" name="image5.png">
          <a:extLst>
            <a:ext uri="{FF2B5EF4-FFF2-40B4-BE49-F238E27FC236}">
              <a16:creationId xmlns:a16="http://schemas.microsoft.com/office/drawing/2014/main" id="{1AC4F3A3-BC62-4DD5-9C7D-115478CFDBC9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7051" y="8540492"/>
          <a:ext cx="148760" cy="14876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70C4-54DA-4E9D-ABD1-BEB41AA348B3}">
  <dimension ref="A1:AK76"/>
  <sheetViews>
    <sheetView showGridLines="0" tabSelected="1" zoomScale="80" zoomScaleNormal="80" workbookViewId="0">
      <selection activeCell="C56" sqref="C56"/>
    </sheetView>
  </sheetViews>
  <sheetFormatPr baseColWidth="10" defaultColWidth="11.36328125" defaultRowHeight="12.5" x14ac:dyDescent="0.25"/>
  <cols>
    <col min="1" max="1" width="5.1796875" style="19" customWidth="1"/>
    <col min="2" max="2" width="19.36328125" style="19" customWidth="1"/>
    <col min="3" max="3" width="13.6328125" style="19" customWidth="1"/>
    <col min="4" max="4" width="11.81640625" style="19" customWidth="1"/>
    <col min="5" max="5" width="10.36328125" style="35" bestFit="1" customWidth="1"/>
    <col min="6" max="6" width="8.36328125" style="19" customWidth="1"/>
    <col min="7" max="7" width="14.1796875" style="19" bestFit="1" customWidth="1"/>
    <col min="8" max="8" width="30.08984375" style="19" customWidth="1"/>
    <col min="9" max="9" width="13.6328125" style="19" customWidth="1"/>
    <col min="10" max="10" width="2.08984375" style="19" customWidth="1"/>
    <col min="11" max="11" width="11.36328125" style="19"/>
    <col min="12" max="12" width="18.90625" style="19" customWidth="1"/>
    <col min="13" max="19" width="11.36328125" style="19"/>
    <col min="20" max="20" width="3.81640625" style="19" customWidth="1"/>
    <col min="21" max="21" width="15.54296875" style="19" customWidth="1"/>
    <col min="22" max="29" width="11.36328125" style="19"/>
    <col min="30" max="30" width="5.08984375" style="19" customWidth="1"/>
    <col min="31" max="31" width="13.90625" style="19" customWidth="1"/>
    <col min="32" max="34" width="11.36328125" style="19"/>
    <col min="35" max="35" width="17.54296875" style="19" customWidth="1"/>
    <col min="36" max="36" width="16.453125" style="19" customWidth="1"/>
    <col min="37" max="16384" width="11.36328125" style="19"/>
  </cols>
  <sheetData>
    <row r="1" spans="2:37" x14ac:dyDescent="0.25">
      <c r="C1" s="33"/>
      <c r="D1" s="34"/>
    </row>
    <row r="2" spans="2:37" x14ac:dyDescent="0.25">
      <c r="B2" s="1"/>
      <c r="C2" s="2"/>
      <c r="D2" s="34"/>
    </row>
    <row r="3" spans="2:37" x14ac:dyDescent="0.25">
      <c r="B3" s="1"/>
      <c r="C3" s="2"/>
      <c r="D3" s="34"/>
    </row>
    <row r="4" spans="2:37" x14ac:dyDescent="0.25">
      <c r="B4" s="1"/>
      <c r="C4" s="2"/>
      <c r="D4" s="34"/>
      <c r="AI4" s="102" t="s">
        <v>19</v>
      </c>
      <c r="AJ4" s="102" t="s">
        <v>20</v>
      </c>
      <c r="AK4" s="102" t="s">
        <v>12</v>
      </c>
    </row>
    <row r="5" spans="2:37" x14ac:dyDescent="0.25">
      <c r="B5" s="1"/>
      <c r="C5" s="2"/>
      <c r="D5" s="34"/>
      <c r="AI5" s="103" t="s">
        <v>28</v>
      </c>
      <c r="AJ5" s="104" t="s">
        <v>28</v>
      </c>
      <c r="AK5" s="105" t="s">
        <v>44</v>
      </c>
    </row>
    <row r="6" spans="2:37" x14ac:dyDescent="0.25">
      <c r="B6" s="16" t="s">
        <v>10</v>
      </c>
      <c r="C6" s="3"/>
      <c r="D6" s="36"/>
    </row>
    <row r="7" spans="2:37" x14ac:dyDescent="0.25">
      <c r="B7" s="16" t="s">
        <v>11</v>
      </c>
      <c r="C7" s="3"/>
      <c r="D7" s="36"/>
    </row>
    <row r="8" spans="2:37" x14ac:dyDescent="0.25">
      <c r="B8" s="31" t="s">
        <v>27</v>
      </c>
      <c r="C8" s="21"/>
      <c r="D8" s="37"/>
      <c r="E8" s="38"/>
      <c r="F8" s="39"/>
      <c r="G8" s="39"/>
      <c r="H8" s="39"/>
      <c r="I8" s="39"/>
    </row>
    <row r="9" spans="2:37" x14ac:dyDescent="0.25">
      <c r="B9" s="62" t="s">
        <v>42</v>
      </c>
      <c r="C9" s="21"/>
      <c r="D9" s="37"/>
      <c r="E9" s="38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</row>
    <row r="10" spans="2:37" ht="5.5" customHeight="1" thickBot="1" x14ac:dyDescent="0.3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</row>
    <row r="11" spans="2:37" ht="13" thickTop="1" x14ac:dyDescent="0.25"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spans="2:37" x14ac:dyDescent="0.25">
      <c r="B12" s="20" t="s">
        <v>2</v>
      </c>
      <c r="C12" s="40"/>
      <c r="D12" s="41"/>
      <c r="E12" s="41"/>
      <c r="F12" s="35"/>
      <c r="G12" s="35"/>
      <c r="H12" s="35"/>
    </row>
    <row r="13" spans="2:37" ht="7" customHeight="1" x14ac:dyDescent="0.25">
      <c r="B13" s="20"/>
      <c r="C13" s="40"/>
      <c r="D13" s="41"/>
      <c r="E13" s="41"/>
      <c r="F13" s="35"/>
      <c r="G13" s="35"/>
      <c r="H13" s="35"/>
    </row>
    <row r="14" spans="2:37" ht="13.5" customHeight="1" x14ac:dyDescent="0.25">
      <c r="B14" s="65" t="s">
        <v>45</v>
      </c>
      <c r="D14" s="35"/>
      <c r="F14" s="35"/>
      <c r="G14" s="35"/>
      <c r="H14" s="35"/>
    </row>
    <row r="15" spans="2:37" ht="13.5" customHeight="1" x14ac:dyDescent="0.25">
      <c r="D15" s="35"/>
      <c r="F15" s="35"/>
      <c r="G15" s="35"/>
      <c r="H15" s="35"/>
    </row>
    <row r="16" spans="2:37" ht="13.5" customHeight="1" x14ac:dyDescent="0.25">
      <c r="B16" s="18" t="s">
        <v>17</v>
      </c>
      <c r="D16" s="35"/>
      <c r="F16" s="35"/>
      <c r="G16" s="35"/>
      <c r="H16" s="35"/>
    </row>
    <row r="17" spans="1:8" ht="7" customHeight="1" x14ac:dyDescent="0.25">
      <c r="B17" s="18"/>
      <c r="D17" s="35"/>
      <c r="F17" s="35"/>
      <c r="G17" s="35"/>
      <c r="H17" s="35"/>
    </row>
    <row r="18" spans="1:8" ht="13.5" customHeight="1" x14ac:dyDescent="0.25">
      <c r="B18" s="18"/>
      <c r="D18" s="35"/>
      <c r="F18" s="35"/>
      <c r="G18" s="35"/>
      <c r="H18" s="35"/>
    </row>
    <row r="19" spans="1:8" ht="13.5" customHeight="1" x14ac:dyDescent="0.25">
      <c r="B19" s="58"/>
      <c r="C19" s="59" t="s">
        <v>31</v>
      </c>
      <c r="D19" s="59" t="s">
        <v>32</v>
      </c>
      <c r="F19" s="35"/>
      <c r="G19" s="35"/>
      <c r="H19" s="35"/>
    </row>
    <row r="20" spans="1:8" ht="13.5" customHeight="1" x14ac:dyDescent="0.25">
      <c r="B20" s="60" t="s">
        <v>21</v>
      </c>
      <c r="C20" s="57" t="s">
        <v>22</v>
      </c>
      <c r="D20" s="57" t="s">
        <v>22</v>
      </c>
      <c r="F20" s="35"/>
      <c r="G20" s="35"/>
      <c r="H20" s="35"/>
    </row>
    <row r="21" spans="1:8" ht="13.5" customHeight="1" x14ac:dyDescent="0.25">
      <c r="B21" s="60" t="s">
        <v>23</v>
      </c>
      <c r="C21" s="57" t="s">
        <v>22</v>
      </c>
      <c r="D21" s="57" t="s">
        <v>22</v>
      </c>
      <c r="F21" s="35"/>
      <c r="G21" s="35"/>
      <c r="H21" s="35"/>
    </row>
    <row r="22" spans="1:8" ht="13.5" customHeight="1" x14ac:dyDescent="0.25">
      <c r="B22" s="60" t="s">
        <v>24</v>
      </c>
      <c r="C22" s="57" t="s">
        <v>22</v>
      </c>
      <c r="D22" s="57" t="s">
        <v>22</v>
      </c>
      <c r="F22" s="35"/>
      <c r="G22" s="35"/>
      <c r="H22" s="35"/>
    </row>
    <row r="23" spans="1:8" ht="13.5" customHeight="1" x14ac:dyDescent="0.25">
      <c r="D23" s="35"/>
      <c r="F23" s="35"/>
      <c r="G23" s="35"/>
      <c r="H23" s="35"/>
    </row>
    <row r="24" spans="1:8" x14ac:dyDescent="0.25">
      <c r="B24" s="3"/>
      <c r="C24" s="3"/>
      <c r="D24" s="36"/>
    </row>
    <row r="25" spans="1:8" x14ac:dyDescent="0.25">
      <c r="B25" s="20" t="s">
        <v>25</v>
      </c>
      <c r="C25" s="6"/>
      <c r="D25" s="7"/>
      <c r="E25" s="7"/>
      <c r="F25" s="35"/>
      <c r="G25" s="35"/>
      <c r="H25" s="35"/>
    </row>
    <row r="26" spans="1:8" ht="7" customHeight="1" x14ac:dyDescent="0.25">
      <c r="B26" s="20"/>
      <c r="C26" s="6"/>
      <c r="D26" s="7"/>
      <c r="E26" s="7"/>
      <c r="F26" s="35"/>
      <c r="G26" s="35"/>
      <c r="H26" s="35"/>
    </row>
    <row r="27" spans="1:8" x14ac:dyDescent="0.25">
      <c r="A27" s="68" t="s">
        <v>14</v>
      </c>
      <c r="B27" s="65" t="s">
        <v>59</v>
      </c>
      <c r="C27" s="65"/>
      <c r="D27" s="69"/>
      <c r="E27" s="69"/>
      <c r="F27" s="70"/>
      <c r="G27" s="70"/>
      <c r="H27" s="70"/>
    </row>
    <row r="28" spans="1:8" x14ac:dyDescent="0.25">
      <c r="A28" s="68" t="s">
        <v>15</v>
      </c>
      <c r="B28" s="67" t="s">
        <v>51</v>
      </c>
      <c r="D28" s="42"/>
      <c r="E28" s="42"/>
      <c r="F28" s="35"/>
      <c r="G28" s="35"/>
      <c r="H28" s="35"/>
    </row>
    <row r="29" spans="1:8" x14ac:dyDescent="0.25">
      <c r="A29" s="68" t="s">
        <v>40</v>
      </c>
      <c r="B29" s="43" t="s">
        <v>48</v>
      </c>
      <c r="D29" s="42"/>
      <c r="E29" s="42"/>
      <c r="F29" s="35"/>
      <c r="G29" s="35"/>
      <c r="H29" s="35"/>
    </row>
    <row r="30" spans="1:8" x14ac:dyDescent="0.25">
      <c r="A30" s="68" t="s">
        <v>43</v>
      </c>
      <c r="B30" s="66" t="s">
        <v>46</v>
      </c>
      <c r="C30" s="3"/>
      <c r="D30" s="36"/>
    </row>
    <row r="31" spans="1:8" x14ac:dyDescent="0.25">
      <c r="A31" s="63"/>
      <c r="B31" s="64"/>
      <c r="C31" s="3"/>
      <c r="D31" s="36"/>
    </row>
    <row r="32" spans="1:8" x14ac:dyDescent="0.25">
      <c r="B32" s="20" t="s">
        <v>13</v>
      </c>
      <c r="C32" s="3"/>
      <c r="D32" s="36"/>
    </row>
    <row r="33" spans="2:37" ht="7" customHeight="1" x14ac:dyDescent="0.25">
      <c r="B33" s="20"/>
      <c r="C33" s="3"/>
      <c r="D33" s="36"/>
    </row>
    <row r="34" spans="2:37" x14ac:dyDescent="0.25">
      <c r="B34" s="3"/>
      <c r="C34" s="3"/>
      <c r="D34" s="36"/>
      <c r="AE34" s="99"/>
    </row>
    <row r="35" spans="2:37" ht="14.5" x14ac:dyDescent="0.35">
      <c r="B35" s="1"/>
      <c r="C35" s="3"/>
      <c r="D35" s="36"/>
      <c r="K35" s="107" t="s">
        <v>60</v>
      </c>
      <c r="L35" s="107"/>
      <c r="M35" s="107"/>
      <c r="N35" s="108"/>
      <c r="O35" s="109" t="s">
        <v>61</v>
      </c>
      <c r="P35" s="110"/>
      <c r="Q35" s="110"/>
      <c r="R35" s="110"/>
      <c r="S35" s="111" t="s">
        <v>62</v>
      </c>
      <c r="T35" s="75"/>
      <c r="U35" s="114" t="s">
        <v>63</v>
      </c>
      <c r="V35" s="114"/>
      <c r="W35" s="114"/>
      <c r="X35" s="114"/>
      <c r="Y35" s="114"/>
      <c r="Z35" s="114"/>
      <c r="AA35" s="114"/>
      <c r="AB35" s="114"/>
      <c r="AC35" s="114"/>
      <c r="AD35" s="15"/>
      <c r="AE35" s="109" t="s">
        <v>64</v>
      </c>
      <c r="AF35" s="115"/>
      <c r="AG35" s="115"/>
      <c r="AH35" s="115"/>
      <c r="AI35" s="115"/>
      <c r="AJ35" s="115"/>
      <c r="AK35" s="116"/>
    </row>
    <row r="36" spans="2:37" s="4" customFormat="1" ht="14.5" x14ac:dyDescent="0.35">
      <c r="B36" s="17"/>
      <c r="E36" s="9"/>
      <c r="K36" s="117" t="s">
        <v>65</v>
      </c>
      <c r="L36" s="115"/>
      <c r="M36" s="115"/>
      <c r="N36" s="115"/>
      <c r="O36" s="115"/>
      <c r="P36" s="115"/>
      <c r="Q36" s="115"/>
      <c r="R36" s="116"/>
      <c r="S36" s="112"/>
      <c r="T36" s="19"/>
      <c r="U36" s="118" t="s">
        <v>66</v>
      </c>
      <c r="V36" s="118"/>
      <c r="W36" s="118"/>
      <c r="X36" s="118"/>
      <c r="Y36" s="118"/>
      <c r="Z36" s="118"/>
      <c r="AA36" s="119" t="s">
        <v>67</v>
      </c>
      <c r="AB36" s="119"/>
      <c r="AC36" s="119"/>
      <c r="AD36" s="19"/>
      <c r="AE36" s="120" t="s">
        <v>81</v>
      </c>
      <c r="AF36" s="121"/>
      <c r="AG36" s="121"/>
      <c r="AH36" s="121"/>
      <c r="AI36" s="121"/>
      <c r="AJ36" s="121"/>
      <c r="AK36" s="122"/>
    </row>
    <row r="37" spans="2:37" s="44" customFormat="1" ht="25" customHeight="1" x14ac:dyDescent="0.35">
      <c r="B37" s="53" t="s">
        <v>5</v>
      </c>
      <c r="C37" s="53" t="s">
        <v>6</v>
      </c>
      <c r="D37" s="53" t="s">
        <v>52</v>
      </c>
      <c r="E37" s="54" t="s">
        <v>1</v>
      </c>
      <c r="F37" s="53" t="s">
        <v>7</v>
      </c>
      <c r="G37" s="53" t="s">
        <v>50</v>
      </c>
      <c r="H37" s="53" t="s">
        <v>0</v>
      </c>
      <c r="I37" s="55" t="s">
        <v>56</v>
      </c>
      <c r="K37" s="76" t="s">
        <v>68</v>
      </c>
      <c r="L37" s="77" t="s">
        <v>80</v>
      </c>
      <c r="M37" s="78" t="s">
        <v>1</v>
      </c>
      <c r="N37" s="76" t="s">
        <v>69</v>
      </c>
      <c r="O37" s="79" t="s">
        <v>53</v>
      </c>
      <c r="P37" s="79" t="s">
        <v>54</v>
      </c>
      <c r="Q37" s="79" t="s">
        <v>8</v>
      </c>
      <c r="R37" s="79" t="s">
        <v>9</v>
      </c>
      <c r="S37" s="113"/>
      <c r="T37" s="75"/>
      <c r="U37" s="80" t="s">
        <v>70</v>
      </c>
      <c r="V37" s="81" t="s">
        <v>1</v>
      </c>
      <c r="W37" s="82" t="s">
        <v>71</v>
      </c>
      <c r="X37" s="83" t="s">
        <v>72</v>
      </c>
      <c r="Y37" s="84" t="s">
        <v>73</v>
      </c>
      <c r="Z37" s="83" t="s">
        <v>74</v>
      </c>
      <c r="AA37" s="83" t="s">
        <v>9</v>
      </c>
      <c r="AB37" s="83" t="s">
        <v>75</v>
      </c>
      <c r="AC37" s="85" t="s">
        <v>76</v>
      </c>
      <c r="AE37" s="76" t="s">
        <v>70</v>
      </c>
      <c r="AF37" s="76" t="s">
        <v>77</v>
      </c>
      <c r="AG37" s="86" t="s">
        <v>55</v>
      </c>
      <c r="AH37" s="78" t="s">
        <v>1</v>
      </c>
      <c r="AI37" s="79" t="s">
        <v>78</v>
      </c>
      <c r="AJ37" s="87" t="s">
        <v>82</v>
      </c>
      <c r="AK37" s="79" t="s">
        <v>75</v>
      </c>
    </row>
    <row r="38" spans="2:37" ht="14.5" x14ac:dyDescent="0.35">
      <c r="B38" s="24"/>
      <c r="C38" s="24"/>
      <c r="D38" s="24"/>
      <c r="E38" s="25"/>
      <c r="F38" s="26"/>
      <c r="G38" s="27"/>
      <c r="H38" s="28"/>
      <c r="I38" s="29"/>
      <c r="J38" s="15"/>
      <c r="K38" s="88"/>
      <c r="L38" s="89"/>
      <c r="M38" s="90"/>
      <c r="N38" s="89"/>
      <c r="O38" s="91"/>
      <c r="P38" s="91"/>
      <c r="Q38" s="92">
        <f>+P38*12%</f>
        <v>0</v>
      </c>
      <c r="R38" s="92">
        <f>+SUM(O38:Q38)</f>
        <v>0</v>
      </c>
      <c r="S38" s="92">
        <f t="shared" ref="S38:S44" si="0">+O38+P38-I38</f>
        <v>0</v>
      </c>
      <c r="T38" s="93"/>
      <c r="U38" s="45"/>
      <c r="V38" s="46"/>
      <c r="W38" s="94"/>
      <c r="X38" s="95">
        <f>+W38*P38</f>
        <v>0</v>
      </c>
      <c r="Y38" s="96"/>
      <c r="Z38" s="95">
        <f>+Y38*Q38</f>
        <v>0</v>
      </c>
      <c r="AA38" s="95"/>
      <c r="AB38" s="95">
        <f>+X38+Z38-AA38</f>
        <v>0</v>
      </c>
      <c r="AC38" s="95">
        <f>+V38-M38</f>
        <v>0</v>
      </c>
      <c r="AE38" s="89"/>
      <c r="AF38" s="89"/>
      <c r="AG38" s="89"/>
      <c r="AH38" s="90"/>
      <c r="AI38" s="97">
        <v>0</v>
      </c>
      <c r="AJ38" s="91">
        <f>+R38-X38-Z38</f>
        <v>0</v>
      </c>
      <c r="AK38" s="91">
        <f>+AI38-AJ38</f>
        <v>0</v>
      </c>
    </row>
    <row r="39" spans="2:37" ht="14.5" x14ac:dyDescent="0.35">
      <c r="B39" s="74" t="s">
        <v>57</v>
      </c>
      <c r="C39" s="24"/>
      <c r="D39" s="24"/>
      <c r="E39" s="25"/>
      <c r="F39" s="26"/>
      <c r="G39" s="27"/>
      <c r="H39" s="28"/>
      <c r="I39" s="29"/>
      <c r="K39" s="88"/>
      <c r="L39" s="89"/>
      <c r="M39" s="90"/>
      <c r="N39" s="89"/>
      <c r="O39" s="91"/>
      <c r="P39" s="91"/>
      <c r="Q39" s="92">
        <f t="shared" ref="Q39:Q44" si="1">+P39*12%</f>
        <v>0</v>
      </c>
      <c r="R39" s="92">
        <f t="shared" ref="R39:R44" si="2">+SUM(O39:Q39)</f>
        <v>0</v>
      </c>
      <c r="S39" s="92">
        <f t="shared" si="0"/>
        <v>0</v>
      </c>
      <c r="T39" s="93"/>
      <c r="U39" s="45"/>
      <c r="V39" s="46"/>
      <c r="W39" s="94"/>
      <c r="X39" s="95">
        <f t="shared" ref="X39:X44" si="3">+W39*P39</f>
        <v>0</v>
      </c>
      <c r="Y39" s="96"/>
      <c r="Z39" s="95">
        <f t="shared" ref="Z39:Z44" si="4">+Y39*Q39</f>
        <v>0</v>
      </c>
      <c r="AA39" s="95"/>
      <c r="AB39" s="95">
        <f t="shared" ref="AB39:AB44" si="5">+X39+Z39-AA39</f>
        <v>0</v>
      </c>
      <c r="AC39" s="95">
        <f t="shared" ref="AC39:AC44" si="6">+V39-M39</f>
        <v>0</v>
      </c>
      <c r="AE39" s="89"/>
      <c r="AF39" s="89"/>
      <c r="AG39" s="89"/>
      <c r="AH39" s="90"/>
      <c r="AI39" s="97">
        <v>0</v>
      </c>
      <c r="AJ39" s="91">
        <f t="shared" ref="AJ39:AJ44" si="7">+R39-X39-Z39</f>
        <v>0</v>
      </c>
      <c r="AK39" s="91">
        <f t="shared" ref="AK39:AK44" si="8">+AI39-AJ39</f>
        <v>0</v>
      </c>
    </row>
    <row r="40" spans="2:37" ht="14.5" x14ac:dyDescent="0.35">
      <c r="B40" s="74" t="s">
        <v>58</v>
      </c>
      <c r="C40" s="24"/>
      <c r="D40" s="24"/>
      <c r="E40" s="25"/>
      <c r="F40" s="26"/>
      <c r="G40" s="27"/>
      <c r="H40" s="28"/>
      <c r="I40" s="29"/>
      <c r="K40" s="98"/>
      <c r="L40" s="98"/>
      <c r="M40" s="98"/>
      <c r="N40" s="98"/>
      <c r="O40" s="91"/>
      <c r="P40" s="91"/>
      <c r="Q40" s="92">
        <f t="shared" si="1"/>
        <v>0</v>
      </c>
      <c r="R40" s="92">
        <f t="shared" si="2"/>
        <v>0</v>
      </c>
      <c r="S40" s="92">
        <f t="shared" si="0"/>
        <v>0</v>
      </c>
      <c r="T40" s="93"/>
      <c r="U40" s="45"/>
      <c r="V40" s="46"/>
      <c r="W40" s="94"/>
      <c r="X40" s="95">
        <f t="shared" si="3"/>
        <v>0</v>
      </c>
      <c r="Y40" s="96"/>
      <c r="Z40" s="95">
        <f t="shared" si="4"/>
        <v>0</v>
      </c>
      <c r="AA40" s="95"/>
      <c r="AB40" s="95">
        <f t="shared" si="5"/>
        <v>0</v>
      </c>
      <c r="AC40" s="95">
        <f t="shared" si="6"/>
        <v>0</v>
      </c>
      <c r="AE40" s="89"/>
      <c r="AF40" s="89"/>
      <c r="AG40" s="89" t="s">
        <v>79</v>
      </c>
      <c r="AH40" s="90"/>
      <c r="AI40" s="97">
        <v>0</v>
      </c>
      <c r="AJ40" s="91">
        <f t="shared" si="7"/>
        <v>0</v>
      </c>
      <c r="AK40" s="91">
        <f t="shared" si="8"/>
        <v>0</v>
      </c>
    </row>
    <row r="41" spans="2:37" ht="14.5" x14ac:dyDescent="0.35">
      <c r="B41" s="24"/>
      <c r="C41" s="24"/>
      <c r="D41" s="24"/>
      <c r="E41" s="25"/>
      <c r="F41" s="26"/>
      <c r="G41" s="27"/>
      <c r="H41" s="28"/>
      <c r="I41" s="29"/>
      <c r="K41" s="98"/>
      <c r="L41" s="98"/>
      <c r="M41" s="98"/>
      <c r="N41" s="98"/>
      <c r="O41" s="91"/>
      <c r="P41" s="91"/>
      <c r="Q41" s="92">
        <f t="shared" si="1"/>
        <v>0</v>
      </c>
      <c r="R41" s="92">
        <f t="shared" si="2"/>
        <v>0</v>
      </c>
      <c r="S41" s="92">
        <f t="shared" si="0"/>
        <v>0</v>
      </c>
      <c r="T41" s="93"/>
      <c r="U41" s="45"/>
      <c r="V41" s="46"/>
      <c r="W41" s="94"/>
      <c r="X41" s="95">
        <f t="shared" si="3"/>
        <v>0</v>
      </c>
      <c r="Y41" s="96"/>
      <c r="Z41" s="95">
        <f t="shared" si="4"/>
        <v>0</v>
      </c>
      <c r="AA41" s="95"/>
      <c r="AB41" s="95">
        <f t="shared" si="5"/>
        <v>0</v>
      </c>
      <c r="AC41" s="95">
        <f t="shared" si="6"/>
        <v>0</v>
      </c>
      <c r="AE41" s="89"/>
      <c r="AF41" s="89"/>
      <c r="AG41" s="89"/>
      <c r="AH41" s="90"/>
      <c r="AI41" s="97">
        <v>0</v>
      </c>
      <c r="AJ41" s="91">
        <f t="shared" si="7"/>
        <v>0</v>
      </c>
      <c r="AK41" s="91">
        <f t="shared" si="8"/>
        <v>0</v>
      </c>
    </row>
    <row r="42" spans="2:37" ht="14.5" x14ac:dyDescent="0.35">
      <c r="B42" s="24"/>
      <c r="C42" s="24"/>
      <c r="D42" s="24"/>
      <c r="E42" s="25"/>
      <c r="F42" s="26"/>
      <c r="G42" s="27"/>
      <c r="H42" s="28"/>
      <c r="I42" s="29"/>
      <c r="K42" s="98"/>
      <c r="L42" s="98"/>
      <c r="M42" s="98"/>
      <c r="N42" s="98"/>
      <c r="O42" s="91"/>
      <c r="P42" s="91"/>
      <c r="Q42" s="92">
        <f t="shared" si="1"/>
        <v>0</v>
      </c>
      <c r="R42" s="92">
        <f t="shared" si="2"/>
        <v>0</v>
      </c>
      <c r="S42" s="92">
        <f t="shared" si="0"/>
        <v>0</v>
      </c>
      <c r="T42" s="93"/>
      <c r="U42" s="45"/>
      <c r="V42" s="46"/>
      <c r="W42" s="94"/>
      <c r="X42" s="95">
        <f t="shared" si="3"/>
        <v>0</v>
      </c>
      <c r="Y42" s="96"/>
      <c r="Z42" s="95">
        <f t="shared" si="4"/>
        <v>0</v>
      </c>
      <c r="AA42" s="95"/>
      <c r="AB42" s="95">
        <f t="shared" si="5"/>
        <v>0</v>
      </c>
      <c r="AC42" s="95">
        <f t="shared" si="6"/>
        <v>0</v>
      </c>
      <c r="AE42" s="89"/>
      <c r="AF42" s="89"/>
      <c r="AG42" s="89"/>
      <c r="AH42" s="90"/>
      <c r="AI42" s="97">
        <v>0</v>
      </c>
      <c r="AJ42" s="91">
        <f t="shared" si="7"/>
        <v>0</v>
      </c>
      <c r="AK42" s="91">
        <f t="shared" si="8"/>
        <v>0</v>
      </c>
    </row>
    <row r="43" spans="2:37" ht="14.5" x14ac:dyDescent="0.35">
      <c r="B43" s="24"/>
      <c r="C43" s="24"/>
      <c r="D43" s="24"/>
      <c r="E43" s="25"/>
      <c r="F43" s="26"/>
      <c r="G43" s="30"/>
      <c r="H43" s="28"/>
      <c r="I43" s="29"/>
      <c r="K43" s="98"/>
      <c r="L43" s="98"/>
      <c r="M43" s="98"/>
      <c r="N43" s="98"/>
      <c r="O43" s="91"/>
      <c r="P43" s="91"/>
      <c r="Q43" s="92">
        <f t="shared" si="1"/>
        <v>0</v>
      </c>
      <c r="R43" s="92">
        <f t="shared" si="2"/>
        <v>0</v>
      </c>
      <c r="S43" s="92">
        <f t="shared" si="0"/>
        <v>0</v>
      </c>
      <c r="T43" s="93"/>
      <c r="U43" s="45"/>
      <c r="V43" s="46"/>
      <c r="W43" s="94"/>
      <c r="X43" s="95">
        <f t="shared" si="3"/>
        <v>0</v>
      </c>
      <c r="Y43" s="96"/>
      <c r="Z43" s="95">
        <f t="shared" si="4"/>
        <v>0</v>
      </c>
      <c r="AA43" s="95"/>
      <c r="AB43" s="95">
        <f t="shared" si="5"/>
        <v>0</v>
      </c>
      <c r="AC43" s="95">
        <f t="shared" si="6"/>
        <v>0</v>
      </c>
      <c r="AE43" s="89"/>
      <c r="AF43" s="89"/>
      <c r="AG43" s="89"/>
      <c r="AH43" s="90"/>
      <c r="AI43" s="97">
        <v>0</v>
      </c>
      <c r="AJ43" s="91">
        <f t="shared" si="7"/>
        <v>0</v>
      </c>
      <c r="AK43" s="91">
        <f t="shared" si="8"/>
        <v>0</v>
      </c>
    </row>
    <row r="44" spans="2:37" ht="14.5" x14ac:dyDescent="0.35">
      <c r="B44" s="24"/>
      <c r="C44" s="24"/>
      <c r="D44" s="24"/>
      <c r="E44" s="25"/>
      <c r="F44" s="26"/>
      <c r="G44" s="30"/>
      <c r="H44" s="28"/>
      <c r="I44" s="29"/>
      <c r="K44" s="98"/>
      <c r="L44" s="98"/>
      <c r="M44" s="98"/>
      <c r="N44" s="98"/>
      <c r="O44" s="91"/>
      <c r="P44" s="91"/>
      <c r="Q44" s="92">
        <f t="shared" si="1"/>
        <v>0</v>
      </c>
      <c r="R44" s="92">
        <f t="shared" si="2"/>
        <v>0</v>
      </c>
      <c r="S44" s="92">
        <f t="shared" si="0"/>
        <v>0</v>
      </c>
      <c r="T44" s="93"/>
      <c r="U44" s="45"/>
      <c r="V44" s="46"/>
      <c r="W44" s="94"/>
      <c r="X44" s="95">
        <f t="shared" si="3"/>
        <v>0</v>
      </c>
      <c r="Y44" s="96"/>
      <c r="Z44" s="95">
        <f t="shared" si="4"/>
        <v>0</v>
      </c>
      <c r="AA44" s="95"/>
      <c r="AB44" s="95">
        <f t="shared" si="5"/>
        <v>0</v>
      </c>
      <c r="AC44" s="95">
        <f t="shared" si="6"/>
        <v>0</v>
      </c>
      <c r="AE44" s="89"/>
      <c r="AF44" s="89"/>
      <c r="AG44" s="89"/>
      <c r="AH44" s="90"/>
      <c r="AI44" s="97">
        <v>0</v>
      </c>
      <c r="AJ44" s="91">
        <f t="shared" si="7"/>
        <v>0</v>
      </c>
      <c r="AK44" s="91">
        <f t="shared" si="8"/>
        <v>0</v>
      </c>
    </row>
    <row r="45" spans="2:37" ht="7" customHeight="1" x14ac:dyDescent="0.35">
      <c r="B45" s="10"/>
      <c r="C45" s="10"/>
      <c r="D45" s="10"/>
      <c r="E45" s="11"/>
      <c r="F45" s="12"/>
      <c r="G45" s="14"/>
      <c r="H45" s="13"/>
      <c r="I45" s="8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 spans="2:37" ht="15" thickBot="1" x14ac:dyDescent="0.4">
      <c r="B46" s="10"/>
      <c r="C46" s="10"/>
      <c r="D46" s="10"/>
      <c r="E46" s="11"/>
      <c r="F46" s="12"/>
      <c r="G46" s="14"/>
      <c r="H46" s="13"/>
      <c r="I46" s="100">
        <f>+SUM(I38:I44)</f>
        <v>0</v>
      </c>
      <c r="K46"/>
      <c r="L46"/>
      <c r="M46"/>
      <c r="N46"/>
      <c r="O46"/>
      <c r="P46"/>
      <c r="Q46"/>
      <c r="R46" s="13"/>
      <c r="S46" s="101">
        <f>+SUM(S38:S44)</f>
        <v>0</v>
      </c>
      <c r="T46"/>
      <c r="U46"/>
      <c r="V46"/>
      <c r="W46"/>
      <c r="X46"/>
      <c r="Y46"/>
      <c r="Z46"/>
      <c r="AA46" s="13"/>
      <c r="AB46" s="101">
        <f>+SUM(AB38:AB44)</f>
        <v>0</v>
      </c>
      <c r="AC46"/>
      <c r="AD46"/>
      <c r="AE46"/>
      <c r="AF46"/>
      <c r="AG46"/>
      <c r="AH46"/>
      <c r="AI46"/>
      <c r="AJ46" s="13"/>
      <c r="AK46" s="101">
        <f>+SUM(AK38:AK44)</f>
        <v>0</v>
      </c>
    </row>
    <row r="47" spans="2:37" ht="15" thickTop="1" x14ac:dyDescent="0.35">
      <c r="B47" s="10"/>
      <c r="C47" s="10"/>
      <c r="D47" s="10"/>
      <c r="E47" s="11"/>
      <c r="F47" s="12"/>
      <c r="G47" s="14"/>
      <c r="H47" s="13"/>
      <c r="I47" s="8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 spans="2:37" ht="14.5" x14ac:dyDescent="0.35">
      <c r="B48" s="5"/>
      <c r="C48" s="48"/>
      <c r="D48" s="49"/>
      <c r="E48" s="49"/>
      <c r="F48" s="35"/>
      <c r="G48" s="35"/>
      <c r="H48" s="35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 spans="1:8" x14ac:dyDescent="0.25">
      <c r="B49" s="20" t="s">
        <v>18</v>
      </c>
      <c r="D49" s="49"/>
      <c r="E49" s="49"/>
      <c r="F49" s="35"/>
      <c r="G49" s="35"/>
      <c r="H49" s="35"/>
    </row>
    <row r="50" spans="1:8" ht="7" customHeight="1" x14ac:dyDescent="0.25">
      <c r="B50" s="20"/>
      <c r="D50" s="49"/>
      <c r="E50" s="49"/>
      <c r="F50" s="35"/>
      <c r="G50" s="35"/>
      <c r="H50" s="35"/>
    </row>
    <row r="51" spans="1:8" x14ac:dyDescent="0.25">
      <c r="B51" s="19" t="s">
        <v>47</v>
      </c>
      <c r="D51" s="49"/>
      <c r="E51" s="49"/>
      <c r="F51" s="35"/>
      <c r="G51" s="35"/>
      <c r="H51" s="35"/>
    </row>
    <row r="52" spans="1:8" x14ac:dyDescent="0.25">
      <c r="B52" s="19" t="s">
        <v>26</v>
      </c>
      <c r="D52" s="49"/>
      <c r="E52" s="49"/>
      <c r="F52" s="35"/>
      <c r="G52" s="35"/>
      <c r="H52" s="35"/>
    </row>
    <row r="53" spans="1:8" x14ac:dyDescent="0.25">
      <c r="A53" s="106"/>
      <c r="B53" s="47" t="s">
        <v>83</v>
      </c>
      <c r="D53" s="49"/>
      <c r="E53" s="49"/>
      <c r="F53" s="35"/>
      <c r="G53" s="35"/>
      <c r="H53" s="35"/>
    </row>
    <row r="54" spans="1:8" x14ac:dyDescent="0.25">
      <c r="A54" s="106"/>
      <c r="B54" s="47" t="s">
        <v>84</v>
      </c>
      <c r="D54" s="49"/>
      <c r="E54" s="49"/>
      <c r="F54" s="35"/>
      <c r="G54" s="35"/>
      <c r="H54" s="35"/>
    </row>
    <row r="55" spans="1:8" x14ac:dyDescent="0.25">
      <c r="D55" s="49"/>
      <c r="E55" s="49"/>
      <c r="F55" s="35"/>
      <c r="G55" s="35"/>
      <c r="H55" s="35"/>
    </row>
    <row r="56" spans="1:8" x14ac:dyDescent="0.25">
      <c r="B56" s="20" t="s">
        <v>41</v>
      </c>
      <c r="D56" s="50"/>
      <c r="E56" s="50"/>
      <c r="F56" s="35"/>
      <c r="G56" s="35"/>
      <c r="H56" s="35"/>
    </row>
    <row r="57" spans="1:8" ht="7" customHeight="1" x14ac:dyDescent="0.25">
      <c r="B57" s="20"/>
      <c r="D57" s="50"/>
      <c r="E57" s="50"/>
      <c r="F57" s="35"/>
      <c r="G57" s="35"/>
      <c r="H57" s="35"/>
    </row>
    <row r="58" spans="1:8" x14ac:dyDescent="0.25">
      <c r="A58" s="71" t="s">
        <v>3</v>
      </c>
      <c r="B58" s="72"/>
      <c r="D58" s="35"/>
      <c r="F58" s="35"/>
      <c r="G58" s="35"/>
      <c r="H58" s="35"/>
    </row>
    <row r="59" spans="1:8" x14ac:dyDescent="0.25">
      <c r="A59" s="71" t="s">
        <v>4</v>
      </c>
      <c r="B59" s="73"/>
      <c r="D59" s="50"/>
      <c r="E59" s="50"/>
      <c r="F59" s="35"/>
      <c r="G59" s="35"/>
      <c r="H59" s="35"/>
    </row>
    <row r="60" spans="1:8" x14ac:dyDescent="0.25">
      <c r="A60" s="71" t="s">
        <v>49</v>
      </c>
      <c r="B60" s="65"/>
      <c r="D60" s="50"/>
      <c r="E60" s="50"/>
      <c r="F60" s="35"/>
      <c r="G60" s="35"/>
      <c r="H60" s="35"/>
    </row>
    <row r="61" spans="1:8" x14ac:dyDescent="0.25">
      <c r="A61" s="71"/>
      <c r="B61" s="65"/>
      <c r="D61" s="50"/>
      <c r="E61" s="50"/>
      <c r="F61" s="35"/>
      <c r="G61" s="35"/>
      <c r="H61" s="35"/>
    </row>
    <row r="62" spans="1:8" x14ac:dyDescent="0.25">
      <c r="A62" s="56"/>
      <c r="B62" s="18" t="s">
        <v>29</v>
      </c>
      <c r="D62" s="50"/>
      <c r="E62" s="50"/>
      <c r="F62" s="35"/>
      <c r="G62" s="35"/>
      <c r="H62" s="35"/>
    </row>
    <row r="63" spans="1:8" ht="7" customHeight="1" x14ac:dyDescent="0.25">
      <c r="A63" s="56"/>
      <c r="B63" s="18"/>
      <c r="D63" s="50"/>
      <c r="E63" s="50"/>
      <c r="F63" s="35"/>
      <c r="G63" s="35"/>
      <c r="H63" s="35"/>
    </row>
    <row r="64" spans="1:8" x14ac:dyDescent="0.25">
      <c r="A64" s="56" t="s">
        <v>33</v>
      </c>
      <c r="B64" s="18"/>
      <c r="D64" s="50"/>
      <c r="E64" s="50"/>
      <c r="F64" s="35"/>
      <c r="G64" s="35"/>
      <c r="H64" s="35"/>
    </row>
    <row r="65" spans="1:8" ht="13.5" customHeight="1" x14ac:dyDescent="0.25">
      <c r="A65" s="56" t="s">
        <v>34</v>
      </c>
      <c r="B65" s="18"/>
      <c r="C65" s="51"/>
      <c r="D65" s="52"/>
      <c r="E65" s="52"/>
      <c r="F65" s="51"/>
      <c r="G65" s="51"/>
      <c r="H65" s="51"/>
    </row>
    <row r="66" spans="1:8" ht="13.5" customHeight="1" x14ac:dyDescent="0.25">
      <c r="A66" s="56" t="s">
        <v>35</v>
      </c>
      <c r="B66" s="18"/>
      <c r="C66" s="51"/>
      <c r="D66" s="52"/>
      <c r="E66" s="52"/>
      <c r="F66" s="51"/>
      <c r="G66" s="51"/>
      <c r="H66" s="51"/>
    </row>
    <row r="67" spans="1:8" ht="13.5" customHeight="1" x14ac:dyDescent="0.25">
      <c r="A67" s="56"/>
      <c r="B67" s="32"/>
      <c r="C67" s="51"/>
      <c r="D67" s="52"/>
      <c r="E67" s="52"/>
      <c r="F67" s="51"/>
      <c r="G67" s="51"/>
      <c r="H67" s="51"/>
    </row>
    <row r="68" spans="1:8" ht="13.5" customHeight="1" x14ac:dyDescent="0.25">
      <c r="A68" s="56"/>
      <c r="B68" s="18" t="s">
        <v>30</v>
      </c>
      <c r="C68" s="51"/>
      <c r="D68" s="52"/>
      <c r="E68" s="52"/>
      <c r="F68" s="51"/>
      <c r="G68" s="51"/>
      <c r="H68" s="51"/>
    </row>
    <row r="69" spans="1:8" ht="7" customHeight="1" x14ac:dyDescent="0.25">
      <c r="A69" s="56"/>
      <c r="B69" s="18"/>
      <c r="D69" s="35"/>
      <c r="F69" s="35"/>
      <c r="G69" s="35"/>
      <c r="H69" s="35"/>
    </row>
    <row r="70" spans="1:8" x14ac:dyDescent="0.25">
      <c r="A70" s="56" t="s">
        <v>36</v>
      </c>
      <c r="B70" s="18"/>
      <c r="D70" s="35"/>
      <c r="F70" s="35"/>
      <c r="G70" s="35"/>
      <c r="H70" s="35"/>
    </row>
    <row r="71" spans="1:8" x14ac:dyDescent="0.25">
      <c r="A71" s="56" t="s">
        <v>37</v>
      </c>
      <c r="B71" s="18"/>
      <c r="D71" s="35"/>
      <c r="F71" s="35"/>
      <c r="G71" s="35"/>
      <c r="H71" s="35"/>
    </row>
    <row r="72" spans="1:8" x14ac:dyDescent="0.25">
      <c r="A72" s="56" t="s">
        <v>38</v>
      </c>
      <c r="B72" s="18"/>
      <c r="D72" s="35"/>
      <c r="F72" s="35"/>
      <c r="G72" s="35"/>
      <c r="H72" s="35"/>
    </row>
    <row r="73" spans="1:8" x14ac:dyDescent="0.25">
      <c r="A73" s="56"/>
      <c r="B73" s="32"/>
      <c r="D73" s="35"/>
      <c r="F73" s="35"/>
      <c r="G73" s="35"/>
      <c r="H73" s="35"/>
    </row>
    <row r="74" spans="1:8" x14ac:dyDescent="0.25">
      <c r="B74" s="18" t="s">
        <v>16</v>
      </c>
      <c r="D74" s="35"/>
      <c r="F74" s="35"/>
      <c r="G74" s="35"/>
      <c r="H74" s="35"/>
    </row>
    <row r="75" spans="1:8" ht="7" customHeight="1" x14ac:dyDescent="0.25">
      <c r="B75" s="18"/>
      <c r="D75" s="35"/>
      <c r="F75" s="35"/>
      <c r="G75" s="35"/>
      <c r="H75" s="35"/>
    </row>
    <row r="76" spans="1:8" x14ac:dyDescent="0.25">
      <c r="B76" s="61" t="s">
        <v>39</v>
      </c>
    </row>
  </sheetData>
  <mergeCells count="9">
    <mergeCell ref="K35:N35"/>
    <mergeCell ref="O35:R35"/>
    <mergeCell ref="S35:S37"/>
    <mergeCell ref="U35:AC35"/>
    <mergeCell ref="AE35:AK35"/>
    <mergeCell ref="K36:R36"/>
    <mergeCell ref="U36:Z36"/>
    <mergeCell ref="AA36:AC36"/>
    <mergeCell ref="AE36:AK36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130.08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Guerra</dc:creator>
  <cp:lastModifiedBy>Admin</cp:lastModifiedBy>
  <dcterms:created xsi:type="dcterms:W3CDTF">2019-01-31T19:59:46Z</dcterms:created>
  <dcterms:modified xsi:type="dcterms:W3CDTF">2026-04-17T00:01:15Z</dcterms:modified>
</cp:coreProperties>
</file>