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2. Cuentas por cobrar\"/>
    </mc:Choice>
  </mc:AlternateContent>
  <xr:revisionPtr revIDLastSave="0" documentId="13_ncr:1_{E165A1F9-330E-4DA6-9C62-2923E4DD7AF6}" xr6:coauthVersionLast="47" xr6:coauthVersionMax="47" xr10:uidLastSave="{00000000-0000-0000-0000-000000000000}"/>
  <bookViews>
    <workbookView xWindow="-110" yWindow="-110" windowWidth="19420" windowHeight="10300" xr2:uid="{8AD239D1-AC45-429A-ADB1-B26F5707478F}"/>
  </bookViews>
  <sheets>
    <sheet name="130.09" sheetId="1" r:id="rId1"/>
    <sheet name="Base mayores" sheetId="2" r:id="rId2"/>
  </sheets>
  <externalReferences>
    <externalReference r:id="rId3"/>
  </externalReferences>
  <definedNames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val2">[1]anaislis!$D$2:$D$18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val2">[1]anaislis!$D$2:$D$18</definedName>
    <definedName name="TEST0">#REF!</definedName>
    <definedName name="TESTHKEY">#REF!</definedName>
    <definedName name="TESTKEYS">#REF!</definedName>
    <definedName name="TESTVKEY">#REF!</definedName>
    <definedName name="V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0" i="1" l="1"/>
  <c r="G50" i="1"/>
  <c r="I50" i="1"/>
  <c r="D52" i="1"/>
  <c r="D53" i="1" s="1"/>
  <c r="L50" i="1" l="1"/>
  <c r="G87" i="1" l="1"/>
  <c r="D61" i="1" s="1"/>
  <c r="D62" i="1" l="1"/>
  <c r="G40" i="1" l="1"/>
</calcChain>
</file>

<file path=xl/sharedStrings.xml><?xml version="1.0" encoding="utf-8"?>
<sst xmlns="http://schemas.openxmlformats.org/spreadsheetml/2006/main" count="109" uniqueCount="90">
  <si>
    <t>Conclusión:</t>
  </si>
  <si>
    <t>[2]</t>
  </si>
  <si>
    <t>Diferencia</t>
  </si>
  <si>
    <t>Objetivo:</t>
  </si>
  <si>
    <t>Revisado por:</t>
  </si>
  <si>
    <t>Preparado por:</t>
  </si>
  <si>
    <t>[1]</t>
  </si>
  <si>
    <t>Rangos</t>
  </si>
  <si>
    <t>COMPAÑÍA MODELO S.A.</t>
  </si>
  <si>
    <t>AL 31 DE DICIEMBRE DE 20XX</t>
  </si>
  <si>
    <t>Ref.</t>
  </si>
  <si>
    <t>XX</t>
  </si>
  <si>
    <t>Base de decisión: Materialidad</t>
  </si>
  <si>
    <t>General</t>
  </si>
  <si>
    <t>XXX.XXX</t>
  </si>
  <si>
    <t>Desempeño</t>
  </si>
  <si>
    <t>Errores Triviales</t>
  </si>
  <si>
    <t>Procedimientos:</t>
  </si>
  <si>
    <t xml:space="preserve">4.- </t>
  </si>
  <si>
    <t>Conciliar con saldo en libros al _/_/20XX</t>
  </si>
  <si>
    <t xml:space="preserve">Desarrollo: </t>
  </si>
  <si>
    <t xml:space="preserve">Marcas de auditoría: </t>
  </si>
  <si>
    <t xml:space="preserve">Sumatoria </t>
  </si>
  <si>
    <t xml:space="preserve">3.- </t>
  </si>
  <si>
    <t xml:space="preserve">5.- </t>
  </si>
  <si>
    <t xml:space="preserve">1.- </t>
  </si>
  <si>
    <t xml:space="preserve">2.- </t>
  </si>
  <si>
    <t xml:space="preserve">Baja </t>
  </si>
  <si>
    <t>***El movimiento depende de cada compañía</t>
  </si>
  <si>
    <t xml:space="preserve">Revisión deducibilidad del gasto </t>
  </si>
  <si>
    <t>Limite 1%</t>
  </si>
  <si>
    <t>Limite 10%</t>
  </si>
  <si>
    <t xml:space="preserve">Es totalmente deducible </t>
  </si>
  <si>
    <t>ANÁLISIS PÉRDIDAS CREDITICIAS ESPERADAS</t>
  </si>
  <si>
    <t>Preliminar</t>
  </si>
  <si>
    <t>Final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</si>
  <si>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</si>
  <si>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</si>
  <si>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</si>
  <si>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</si>
  <si>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</si>
  <si>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</si>
  <si>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</si>
  <si>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</si>
  <si>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 1</t>
  </si>
  <si>
    <t>Obs. 2</t>
  </si>
  <si>
    <t>Obs. 3</t>
  </si>
  <si>
    <t>Código cuenta contable</t>
  </si>
  <si>
    <t xml:space="preserve">Nombre cuenta contable </t>
  </si>
  <si>
    <t>***(Concluir en función al objetivo)</t>
  </si>
  <si>
    <t>Saldo de gasto por cuentas incobrables según EEFF al _/_/20XX</t>
  </si>
  <si>
    <t>Saldo según EEFF al _/ _/ 20xx</t>
  </si>
  <si>
    <t>FECHA DE CORTE: _/_/20XX</t>
  </si>
  <si>
    <t>130.09</t>
  </si>
  <si>
    <t>Analizar la razonabilidad de los cálculos entregados por la Compañía.</t>
  </si>
  <si>
    <t>Documentar el papel de trabajo y concluir en base al objetivo.</t>
  </si>
  <si>
    <t>Según Estado Financiero al 31/12/202x (Año de revisión)</t>
  </si>
  <si>
    <t>Según Estado Financiero al 31/12/202x (Año anterior)</t>
  </si>
  <si>
    <t>Tomado de mayores contables al 31/xx/20xx (Año de revisión)</t>
  </si>
  <si>
    <t>Información proporcionada por el cliente</t>
  </si>
  <si>
    <t>Cálculos de Auditoría</t>
  </si>
  <si>
    <t>***Determinar parte no corriente</t>
  </si>
  <si>
    <t>Saldo según EEFF al _/_/20XX</t>
  </si>
  <si>
    <t>Verificar el deterioro de las cuentas por cobrar al _/_/20XX.</t>
  </si>
  <si>
    <t>Detallar el movimiento de las cuentas por cobrar al _/ _/ 20XX.</t>
  </si>
  <si>
    <t xml:space="preserve">6.- </t>
  </si>
  <si>
    <t>p/t 130</t>
  </si>
  <si>
    <t>p/t 1600</t>
  </si>
  <si>
    <t>***Base de mayores con la que se efectúa el movimiento</t>
  </si>
  <si>
    <t>Cruce con estados financieros</t>
  </si>
  <si>
    <t xml:space="preserve">Solicitar a la Compañía el cálculo de las pérdidas crediticias esperadas. </t>
  </si>
  <si>
    <t xml:space="preserve">***Este reporte es proporcionado por la Compañía lo realizan en función de cálculos estadísticos </t>
  </si>
  <si>
    <t>Verificaciones:</t>
  </si>
  <si>
    <t>Deterioro cargado al gasto</t>
  </si>
  <si>
    <t>Solicitar a la Compañía los Estados Financieros al _/_/20XX</t>
  </si>
  <si>
    <t>Solicitar a la Compañía los mayores contables al _/_/20XX</t>
  </si>
  <si>
    <t>Saldo según movimiento</t>
  </si>
  <si>
    <t>1) Cruce deterioro vs. estado de resultados</t>
  </si>
  <si>
    <t>Saldo según análisis Compañía</t>
  </si>
  <si>
    <t>Saldo cuentas por cobrar 
(a)</t>
  </si>
  <si>
    <t>Probabilidad de incumplimiento 
(b)</t>
  </si>
  <si>
    <t>Probabilidad de la pérdida esperada 
(c=a x b)</t>
  </si>
  <si>
    <t>Datos 
(d )</t>
  </si>
  <si>
    <t>Provisión 
(cxd)</t>
  </si>
  <si>
    <t>2) Cruce deterioro acumulado de la Compañía vs. estado de situación financiera</t>
  </si>
  <si>
    <t xml:space="preserve">Saldo cartera comercial del año </t>
  </si>
  <si>
    <t>Saldo deterioro acumulado al _/_/20XX</t>
  </si>
  <si>
    <t>Sí</t>
  </si>
  <si>
    <t>No</t>
  </si>
  <si>
    <t xml:space="preserve">7.-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</si>
</sst>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u/>
      <sz val="10"/>
      <color rgb="FF0000FF"/>
      <name val="Tahoma"/>
      <family val="2"/>
    </font>
    <font>
      <b/>
      <sz val="10"/>
      <color rgb="FFFF0000"/>
      <name val="Tahoma"/>
      <family val="2"/>
    </font>
    <font>
      <sz val="10"/>
      <name val="Arial"/>
      <family val="2"/>
    </font>
    <font>
      <sz val="10"/>
      <color rgb="FF0000FF"/>
      <name val="Tahoma"/>
      <family val="2"/>
    </font>
    <font>
      <b/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theme="3"/>
      <name val="Tahoma"/>
      <family val="2"/>
    </font>
    <font>
      <sz val="10"/>
      <color rgb="FF000000"/>
      <name val="Tahoma"/>
      <family val="2"/>
    </font>
    <font>
      <sz val="10"/>
      <name val="Tahoma"/>
      <family val="2"/>
    </font>
    <font>
      <sz val="11"/>
      <color theme="1"/>
      <name val="Calibri"/>
      <family val="2"/>
    </font>
    <font>
      <b/>
      <sz val="10"/>
      <color theme="8" tint="-0.499984740745262"/>
      <name val="Tahoma"/>
      <family val="2"/>
    </font>
    <font>
      <b/>
      <sz val="10"/>
      <color theme="0"/>
      <name val="Tahoma"/>
      <family val="2"/>
    </font>
    <font>
      <b/>
      <sz val="10"/>
      <color rgb="FF002060"/>
      <name val="Tahoma"/>
      <family val="2"/>
    </font>
    <font>
      <b/>
      <sz val="10"/>
      <color rgb="FF0000FF"/>
      <name val="Tahoma"/>
      <family val="2"/>
    </font>
    <font>
      <sz val="11"/>
      <color indexed="8"/>
      <name val="Calibri"/>
      <family val="2"/>
    </font>
    <font>
      <sz val="10"/>
      <color indexed="8"/>
      <name val="Tahoma"/>
      <family val="2"/>
    </font>
    <font>
      <b/>
      <sz val="10"/>
      <name val="Tahoma"/>
      <family val="2"/>
    </font>
    <font>
      <sz val="10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8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2" fillId="0" borderId="0"/>
    <xf numFmtId="9" fontId="1" fillId="0" borderId="0" applyFont="0" applyFill="0" applyBorder="0" applyAlignment="0" applyProtection="0"/>
    <xf numFmtId="0" fontId="5" fillId="0" borderId="0"/>
    <xf numFmtId="0" fontId="17" fillId="0" borderId="0"/>
  </cellStyleXfs>
  <cellXfs count="105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 applyAlignment="1">
      <alignment horizontal="center"/>
    </xf>
    <xf numFmtId="164" fontId="2" fillId="0" borderId="0" xfId="1" applyNumberFormat="1" applyFont="1"/>
    <xf numFmtId="0" fontId="2" fillId="0" borderId="0" xfId="0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0" xfId="0" applyFont="1"/>
    <xf numFmtId="0" fontId="6" fillId="0" borderId="0" xfId="0" applyFont="1"/>
    <xf numFmtId="0" fontId="8" fillId="0" borderId="0" xfId="0" applyFont="1" applyAlignment="1">
      <alignment horizontal="left"/>
    </xf>
    <xf numFmtId="0" fontId="7" fillId="0" borderId="0" xfId="0" applyFont="1"/>
    <xf numFmtId="0" fontId="9" fillId="2" borderId="0" xfId="3" applyFont="1" applyFill="1" applyAlignment="1">
      <alignment vertical="center"/>
    </xf>
    <xf numFmtId="0" fontId="10" fillId="2" borderId="0" xfId="4" applyFont="1" applyFill="1" applyAlignment="1">
      <alignment horizontal="left"/>
    </xf>
    <xf numFmtId="0" fontId="2" fillId="2" borderId="0" xfId="4" applyFont="1" applyFill="1"/>
    <xf numFmtId="0" fontId="2" fillId="2" borderId="0" xfId="0" applyFont="1" applyFill="1" applyAlignment="1">
      <alignment horizontal="right"/>
    </xf>
    <xf numFmtId="0" fontId="10" fillId="2" borderId="0" xfId="4" applyFont="1" applyFill="1" applyAlignment="1">
      <alignment horizontal="left" wrapText="1"/>
    </xf>
    <xf numFmtId="0" fontId="11" fillId="2" borderId="0" xfId="4" applyFont="1" applyFill="1"/>
    <xf numFmtId="0" fontId="10" fillId="2" borderId="0" xfId="4" applyFont="1" applyFill="1"/>
    <xf numFmtId="0" fontId="11" fillId="2" borderId="0" xfId="2" applyFont="1" applyFill="1"/>
    <xf numFmtId="0" fontId="7" fillId="2" borderId="1" xfId="5" applyFont="1" applyFill="1" applyBorder="1" applyAlignment="1" applyProtection="1">
      <alignment horizontal="left" vertical="center"/>
      <protection hidden="1"/>
    </xf>
    <xf numFmtId="0" fontId="13" fillId="2" borderId="0" xfId="5" applyFont="1" applyFill="1" applyAlignment="1" applyProtection="1">
      <alignment horizontal="left" vertical="center"/>
      <protection hidden="1"/>
    </xf>
    <xf numFmtId="0" fontId="7" fillId="2" borderId="0" xfId="5" applyFont="1" applyFill="1" applyAlignment="1" applyProtection="1">
      <alignment horizontal="left" vertical="center"/>
      <protection hidden="1"/>
    </xf>
    <xf numFmtId="0" fontId="11" fillId="2" borderId="0" xfId="5" applyFont="1" applyFill="1" applyAlignment="1">
      <alignment horizontal="center"/>
    </xf>
    <xf numFmtId="0" fontId="9" fillId="2" borderId="0" xfId="3" applyFont="1" applyFill="1" applyAlignment="1">
      <alignment horizontal="right" vertical="center" wrapText="1"/>
    </xf>
    <xf numFmtId="0" fontId="11" fillId="2" borderId="0" xfId="2" applyFont="1" applyFill="1" applyAlignment="1">
      <alignment horizontal="center" vertical="center"/>
    </xf>
    <xf numFmtId="164" fontId="2" fillId="0" borderId="0" xfId="0" applyNumberFormat="1" applyFont="1" applyAlignment="1">
      <alignment horizontal="left"/>
    </xf>
    <xf numFmtId="0" fontId="4" fillId="2" borderId="0" xfId="3" applyFont="1" applyFill="1" applyAlignment="1">
      <alignment vertical="center"/>
    </xf>
    <xf numFmtId="0" fontId="13" fillId="2" borderId="0" xfId="5" applyFont="1" applyFill="1" applyBorder="1" applyAlignment="1" applyProtection="1">
      <alignment horizontal="left" vertical="center"/>
      <protection hidden="1"/>
    </xf>
    <xf numFmtId="0" fontId="9" fillId="2" borderId="0" xfId="3" applyFont="1" applyFill="1" applyBorder="1" applyAlignment="1">
      <alignment vertical="center"/>
    </xf>
    <xf numFmtId="0" fontId="7" fillId="2" borderId="0" xfId="5" applyFont="1" applyFill="1" applyBorder="1" applyAlignment="1" applyProtection="1">
      <alignment horizontal="left" vertical="center"/>
      <protection hidden="1"/>
    </xf>
    <xf numFmtId="0" fontId="15" fillId="2" borderId="0" xfId="5" applyFont="1" applyFill="1" applyAlignment="1" applyProtection="1">
      <alignment horizontal="left" vertical="center"/>
      <protection hidden="1"/>
    </xf>
    <xf numFmtId="0" fontId="15" fillId="2" borderId="0" xfId="0" applyFont="1" applyFill="1" applyAlignment="1">
      <alignment horizontal="left" vertical="top"/>
    </xf>
    <xf numFmtId="0" fontId="15" fillId="3" borderId="3" xfId="0" applyFont="1" applyFill="1" applyBorder="1" applyAlignment="1" applyProtection="1">
      <alignment horizontal="center" vertical="center"/>
      <protection hidden="1"/>
    </xf>
    <xf numFmtId="0" fontId="15" fillId="3" borderId="2" xfId="0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>
      <alignment horizontal="center" vertical="center" wrapText="1"/>
    </xf>
    <xf numFmtId="0" fontId="3" fillId="0" borderId="0" xfId="0" applyFont="1"/>
    <xf numFmtId="0" fontId="10" fillId="0" borderId="0" xfId="4" applyFont="1" applyBorder="1" applyAlignment="1">
      <alignment horizontal="center"/>
    </xf>
    <xf numFmtId="0" fontId="15" fillId="0" borderId="0" xfId="0" applyFont="1" applyFill="1" applyBorder="1"/>
    <xf numFmtId="0" fontId="14" fillId="2" borderId="0" xfId="0" applyFont="1" applyFill="1" applyAlignment="1">
      <alignment horizontal="center"/>
    </xf>
    <xf numFmtId="0" fontId="7" fillId="2" borderId="0" xfId="0" applyFont="1" applyFill="1"/>
    <xf numFmtId="0" fontId="6" fillId="2" borderId="0" xfId="0" applyFont="1" applyFill="1" applyAlignment="1">
      <alignment horizontal="right"/>
    </xf>
    <xf numFmtId="0" fontId="16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0" fontId="15" fillId="3" borderId="2" xfId="0" applyFont="1" applyFill="1" applyBorder="1" applyAlignment="1">
      <alignment horizontal="center" vertical="center"/>
    </xf>
    <xf numFmtId="164" fontId="15" fillId="3" borderId="2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9" fontId="2" fillId="0" borderId="2" xfId="6" applyFont="1" applyBorder="1" applyAlignment="1">
      <alignment horizontal="left"/>
    </xf>
    <xf numFmtId="9" fontId="2" fillId="0" borderId="2" xfId="6" applyFont="1" applyBorder="1"/>
    <xf numFmtId="164" fontId="2" fillId="0" borderId="2" xfId="1" applyNumberFormat="1" applyFont="1" applyBorder="1"/>
    <xf numFmtId="4" fontId="2" fillId="0" borderId="2" xfId="0" applyNumberFormat="1" applyFont="1" applyBorder="1"/>
    <xf numFmtId="0" fontId="2" fillId="0" borderId="0" xfId="0" applyFont="1" applyBorder="1" applyAlignment="1">
      <alignment horizontal="left"/>
    </xf>
    <xf numFmtId="9" fontId="2" fillId="0" borderId="0" xfId="6" applyFont="1" applyBorder="1" applyAlignment="1">
      <alignment horizontal="left"/>
    </xf>
    <xf numFmtId="9" fontId="2" fillId="0" borderId="0" xfId="6" applyFont="1" applyBorder="1"/>
    <xf numFmtId="164" fontId="2" fillId="0" borderId="0" xfId="1" applyNumberFormat="1" applyFont="1" applyBorder="1"/>
    <xf numFmtId="4" fontId="2" fillId="0" borderId="0" xfId="0" applyNumberFormat="1" applyFont="1" applyBorder="1"/>
    <xf numFmtId="164" fontId="14" fillId="2" borderId="0" xfId="1" applyNumberFormat="1" applyFont="1" applyFill="1"/>
    <xf numFmtId="4" fontId="14" fillId="2" borderId="4" xfId="0" applyNumberFormat="1" applyFont="1" applyFill="1" applyBorder="1"/>
    <xf numFmtId="0" fontId="8" fillId="0" borderId="2" xfId="0" applyFont="1" applyBorder="1" applyAlignment="1">
      <alignment horizontal="left"/>
    </xf>
    <xf numFmtId="0" fontId="8" fillId="0" borderId="0" xfId="2" applyFont="1" applyAlignment="1">
      <alignment horizontal="center"/>
    </xf>
    <xf numFmtId="0" fontId="8" fillId="0" borderId="0" xfId="2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5" fillId="3" borderId="2" xfId="0" applyFont="1" applyFill="1" applyBorder="1" applyAlignment="1">
      <alignment horizontal="center" vertical="center" wrapText="1"/>
    </xf>
    <xf numFmtId="164" fontId="15" fillId="3" borderId="2" xfId="1" applyNumberFormat="1" applyFont="1" applyFill="1" applyBorder="1" applyAlignment="1">
      <alignment horizontal="center" vertical="center" wrapText="1"/>
    </xf>
    <xf numFmtId="43" fontId="4" fillId="4" borderId="0" xfId="1" applyFont="1" applyFill="1" applyBorder="1" applyAlignment="1">
      <alignment horizontal="center"/>
    </xf>
    <xf numFmtId="165" fontId="18" fillId="2" borderId="0" xfId="8" applyNumberFormat="1" applyFont="1" applyFill="1" applyAlignment="1">
      <alignment horizontal="left"/>
    </xf>
    <xf numFmtId="0" fontId="2" fillId="0" borderId="2" xfId="0" applyFont="1" applyBorder="1"/>
    <xf numFmtId="0" fontId="2" fillId="0" borderId="0" xfId="0" applyFont="1" applyAlignment="1">
      <alignment horizontal="right"/>
    </xf>
    <xf numFmtId="0" fontId="2" fillId="0" borderId="0" xfId="0" applyFont="1" applyBorder="1"/>
    <xf numFmtId="43" fontId="6" fillId="0" borderId="0" xfId="1" applyFont="1" applyAlignment="1">
      <alignment horizontal="right"/>
    </xf>
    <xf numFmtId="0" fontId="11" fillId="0" borderId="0" xfId="0" applyFont="1" applyAlignment="1">
      <alignment horizontal="right"/>
    </xf>
    <xf numFmtId="0" fontId="2" fillId="2" borderId="2" xfId="4" applyFont="1" applyFill="1" applyBorder="1" applyAlignment="1" applyProtection="1">
      <alignment horizontal="center" vertical="center"/>
      <protection hidden="1"/>
    </xf>
    <xf numFmtId="0" fontId="2" fillId="4" borderId="2" xfId="7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right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/>
    <xf numFmtId="0" fontId="11" fillId="0" borderId="2" xfId="4" applyFont="1" applyBorder="1" applyAlignment="1">
      <alignment horizontal="center"/>
    </xf>
    <xf numFmtId="0" fontId="19" fillId="0" borderId="0" xfId="0" applyFont="1"/>
    <xf numFmtId="0" fontId="15" fillId="0" borderId="0" xfId="0" applyFont="1" applyFill="1" applyAlignment="1">
      <alignment horizontal="left" vertical="top"/>
    </xf>
    <xf numFmtId="0" fontId="11" fillId="0" borderId="0" xfId="2" applyFont="1"/>
    <xf numFmtId="0" fontId="2" fillId="0" borderId="0" xfId="0" applyFont="1" applyFill="1"/>
    <xf numFmtId="0" fontId="8" fillId="0" borderId="0" xfId="0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0" fontId="11" fillId="0" borderId="0" xfId="4" applyFont="1" applyFill="1"/>
    <xf numFmtId="0" fontId="10" fillId="0" borderId="0" xfId="4" applyFont="1" applyFill="1"/>
    <xf numFmtId="164" fontId="2" fillId="0" borderId="2" xfId="1" applyNumberFormat="1" applyFont="1" applyBorder="1" applyAlignment="1">
      <alignment horizontal="left"/>
    </xf>
    <xf numFmtId="43" fontId="2" fillId="0" borderId="2" xfId="1" applyFont="1" applyBorder="1"/>
    <xf numFmtId="164" fontId="2" fillId="0" borderId="2" xfId="0" applyNumberFormat="1" applyFont="1" applyBorder="1"/>
    <xf numFmtId="0" fontId="20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/>
    <xf numFmtId="164" fontId="4" fillId="0" borderId="4" xfId="1" applyNumberFormat="1" applyFont="1" applyBorder="1"/>
    <xf numFmtId="0" fontId="16" fillId="0" borderId="0" xfId="0" applyFont="1" applyAlignment="1">
      <alignment horizontal="center"/>
    </xf>
    <xf numFmtId="0" fontId="2" fillId="4" borderId="0" xfId="8" applyFont="1" applyFill="1"/>
    <xf numFmtId="0" fontId="4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</cellXfs>
  <cellStyles count="9">
    <cellStyle name="Millares" xfId="1" builtinId="3"/>
    <cellStyle name="Normal" xfId="0" builtinId="0"/>
    <cellStyle name="Normal 2 10" xfId="4" xr:uid="{B15373E4-746A-42CB-A984-11AE1167A83C}"/>
    <cellStyle name="Normal 2 2" xfId="7" xr:uid="{0FB18B71-BAA7-4258-8858-32FC401A55F3}"/>
    <cellStyle name="Normal 2 3 2 5" xfId="2" xr:uid="{9CD2B0CC-F233-4517-93DB-3FE1687E294E}"/>
    <cellStyle name="Normal 3 2" xfId="3" xr:uid="{584D6ACA-1DA7-466A-BD6C-C6C3FE7EA15B}"/>
    <cellStyle name="Normal 7" xfId="5" xr:uid="{12C224CE-37E8-48C3-93C9-C020D135995C}"/>
    <cellStyle name="Normal_2102 Sumaria de Efectivo y Equivalentes" xfId="8" xr:uid="{9A9AB8D7-354C-4AAE-AED6-FF91C026FCBD}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274603</xdr:colOff>
      <xdr:row>37</xdr:row>
      <xdr:rowOff>78241</xdr:rowOff>
    </xdr:from>
    <xdr:to>
      <xdr:col>5</xdr:col>
      <xdr:colOff>1696916</xdr:colOff>
      <xdr:row>37</xdr:row>
      <xdr:rowOff>85047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90301724-4F69-40CA-9F20-CBEA77E9510B}"/>
            </a:ext>
          </a:extLst>
        </xdr:cNvPr>
        <xdr:cNvCxnSpPr/>
      </xdr:nvCxnSpPr>
      <xdr:spPr>
        <a:xfrm flipV="1">
          <a:off x="6632541" y="5285241"/>
          <a:ext cx="3240000" cy="680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252566</xdr:colOff>
      <xdr:row>69</xdr:row>
      <xdr:rowOff>45358</xdr:rowOff>
    </xdr:from>
    <xdr:to>
      <xdr:col>6</xdr:col>
      <xdr:colOff>1868714</xdr:colOff>
      <xdr:row>69</xdr:row>
      <xdr:rowOff>52162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72775058-9C3A-4A1E-B004-2C90A58FF40C}"/>
            </a:ext>
          </a:extLst>
        </xdr:cNvPr>
        <xdr:cNvCxnSpPr>
          <a:stCxn id="16" idx="3"/>
        </xdr:cNvCxnSpPr>
      </xdr:nvCxnSpPr>
      <xdr:spPr>
        <a:xfrm flipV="1">
          <a:off x="687995" y="9896929"/>
          <a:ext cx="10941576" cy="68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70110</xdr:colOff>
      <xdr:row>36</xdr:row>
      <xdr:rowOff>121137</xdr:rowOff>
    </xdr:from>
    <xdr:to>
      <xdr:col>4</xdr:col>
      <xdr:colOff>274603</xdr:colOff>
      <xdr:row>38</xdr:row>
      <xdr:rowOff>16068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CF542A5-0B61-42DE-85B9-61506033E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8048" y="5169387"/>
          <a:ext cx="204493" cy="212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163476</xdr:colOff>
      <xdr:row>93</xdr:row>
      <xdr:rowOff>193</xdr:rowOff>
    </xdr:from>
    <xdr:to>
      <xdr:col>0</xdr:col>
      <xdr:colOff>338101</xdr:colOff>
      <xdr:row>94</xdr:row>
      <xdr:rowOff>16068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E819E52-A112-4600-BAE0-D48A25B34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76" y="14160693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172355</xdr:colOff>
      <xdr:row>94</xdr:row>
      <xdr:rowOff>0</xdr:rowOff>
    </xdr:from>
    <xdr:ext cx="158750" cy="158750"/>
    <xdr:pic>
      <xdr:nvPicPr>
        <xdr:cNvPr id="10" name="Imagen 9">
          <a:extLst>
            <a:ext uri="{FF2B5EF4-FFF2-40B4-BE49-F238E27FC236}">
              <a16:creationId xmlns:a16="http://schemas.microsoft.com/office/drawing/2014/main" id="{8CCFC13E-5EA4-499F-B10C-D60164DE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355" y="14341929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1380330</xdr:colOff>
      <xdr:row>86</xdr:row>
      <xdr:rowOff>10545</xdr:rowOff>
    </xdr:from>
    <xdr:ext cx="192088" cy="192088"/>
    <xdr:pic>
      <xdr:nvPicPr>
        <xdr:cNvPr id="14" name="Imagen 13">
          <a:extLst>
            <a:ext uri="{FF2B5EF4-FFF2-40B4-BE49-F238E27FC236}">
              <a16:creationId xmlns:a16="http://schemas.microsoft.com/office/drawing/2014/main" id="{0942B0E3-6E38-4617-A1FB-4135BC37D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187" y="12538188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163283</xdr:colOff>
      <xdr:row>92</xdr:row>
      <xdr:rowOff>0</xdr:rowOff>
    </xdr:from>
    <xdr:to>
      <xdr:col>0</xdr:col>
      <xdr:colOff>322033</xdr:colOff>
      <xdr:row>92</xdr:row>
      <xdr:rowOff>155927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22FBE64-9398-4610-B331-4CF76245E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3" y="1398814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432325</xdr:colOff>
      <xdr:row>68</xdr:row>
      <xdr:rowOff>87612</xdr:rowOff>
    </xdr:from>
    <xdr:to>
      <xdr:col>1</xdr:col>
      <xdr:colOff>252566</xdr:colOff>
      <xdr:row>70</xdr:row>
      <xdr:rowOff>23515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44C602CA-3CD9-4C1B-881F-62AF5DB4F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325" y="9775898"/>
          <a:ext cx="255670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673361</xdr:colOff>
      <xdr:row>46</xdr:row>
      <xdr:rowOff>102996</xdr:rowOff>
    </xdr:from>
    <xdr:to>
      <xdr:col>6</xdr:col>
      <xdr:colOff>884658</xdr:colOff>
      <xdr:row>47</xdr:row>
      <xdr:rowOff>146472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FE3148E-A45E-4266-9618-D632468B9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6986" y="7572184"/>
          <a:ext cx="211297" cy="202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423216</xdr:colOff>
      <xdr:row>46</xdr:row>
      <xdr:rowOff>114924</xdr:rowOff>
    </xdr:from>
    <xdr:to>
      <xdr:col>8</xdr:col>
      <xdr:colOff>634513</xdr:colOff>
      <xdr:row>48</xdr:row>
      <xdr:rowOff>6635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E9CD79B-BA85-4EE1-8F59-23B28B22E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3216" y="7584112"/>
          <a:ext cx="211297" cy="209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486455</xdr:colOff>
      <xdr:row>46</xdr:row>
      <xdr:rowOff>117928</xdr:rowOff>
    </xdr:from>
    <xdr:to>
      <xdr:col>11</xdr:col>
      <xdr:colOff>697752</xdr:colOff>
      <xdr:row>48</xdr:row>
      <xdr:rowOff>9639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795B483-C3B5-40AA-AD42-3D5A1DAF0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34455" y="7587116"/>
          <a:ext cx="211297" cy="209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550749</xdr:colOff>
      <xdr:row>46</xdr:row>
      <xdr:rowOff>111918</xdr:rowOff>
    </xdr:from>
    <xdr:to>
      <xdr:col>7</xdr:col>
      <xdr:colOff>742837</xdr:colOff>
      <xdr:row>47</xdr:row>
      <xdr:rowOff>136185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C881AAA-2FAA-493E-B579-90EF2516B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4562" y="7581106"/>
          <a:ext cx="192088" cy="183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740569</xdr:colOff>
      <xdr:row>46</xdr:row>
      <xdr:rowOff>135052</xdr:rowOff>
    </xdr:from>
    <xdr:to>
      <xdr:col>10</xdr:col>
      <xdr:colOff>932657</xdr:colOff>
      <xdr:row>48</xdr:row>
      <xdr:rowOff>569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730372E8-417F-4EBF-99AA-4C158009D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5194" y="7604240"/>
          <a:ext cx="192088" cy="183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172013</xdr:colOff>
      <xdr:row>95</xdr:row>
      <xdr:rowOff>8732</xdr:rowOff>
    </xdr:from>
    <xdr:to>
      <xdr:col>0</xdr:col>
      <xdr:colOff>346638</xdr:colOff>
      <xdr:row>96</xdr:row>
      <xdr:rowOff>17805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E8C572BE-56D8-47DF-9A93-FAF2AF7FC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13" y="15221518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141929</xdr:colOff>
      <xdr:row>97</xdr:row>
      <xdr:rowOff>18942</xdr:rowOff>
    </xdr:from>
    <xdr:to>
      <xdr:col>0</xdr:col>
      <xdr:colOff>316554</xdr:colOff>
      <xdr:row>98</xdr:row>
      <xdr:rowOff>33785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A44673E9-139E-4EF4-B4A2-B43C3DBD1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9" y="16330505"/>
          <a:ext cx="174625" cy="173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353218</xdr:colOff>
      <xdr:row>66</xdr:row>
      <xdr:rowOff>138906</xdr:rowOff>
    </xdr:from>
    <xdr:to>
      <xdr:col>6</xdr:col>
      <xdr:colOff>1650999</xdr:colOff>
      <xdr:row>68</xdr:row>
      <xdr:rowOff>150813</xdr:rowOff>
    </xdr:to>
    <xdr:sp macro="" textlink="">
      <xdr:nvSpPr>
        <xdr:cNvPr id="4" name="Abrir llave 3">
          <a:extLst>
            <a:ext uri="{FF2B5EF4-FFF2-40B4-BE49-F238E27FC236}">
              <a16:creationId xmlns:a16="http://schemas.microsoft.com/office/drawing/2014/main" id="{8FA15AEE-09FE-40D3-88EA-F69C2DAEB14D}"/>
            </a:ext>
          </a:extLst>
        </xdr:cNvPr>
        <xdr:cNvSpPr/>
      </xdr:nvSpPr>
      <xdr:spPr>
        <a:xfrm rot="5400000">
          <a:off x="6028530" y="6076157"/>
          <a:ext cx="329407" cy="10822781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714375</xdr:colOff>
      <xdr:row>36</xdr:row>
      <xdr:rowOff>126997</xdr:rowOff>
    </xdr:from>
    <xdr:to>
      <xdr:col>6</xdr:col>
      <xdr:colOff>889000</xdr:colOff>
      <xdr:row>37</xdr:row>
      <xdr:rowOff>136068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6EB2284-56F7-4806-AB33-6AFC86A8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0" y="5421310"/>
          <a:ext cx="174625" cy="167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230188</xdr:colOff>
      <xdr:row>37</xdr:row>
      <xdr:rowOff>47625</xdr:rowOff>
    </xdr:from>
    <xdr:to>
      <xdr:col>2</xdr:col>
      <xdr:colOff>2565813</xdr:colOff>
      <xdr:row>37</xdr:row>
      <xdr:rowOff>54431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3E0A26AA-8217-428A-9695-A236F01FCBCD}"/>
            </a:ext>
          </a:extLst>
        </xdr:cNvPr>
        <xdr:cNvCxnSpPr/>
      </xdr:nvCxnSpPr>
      <xdr:spPr>
        <a:xfrm flipV="1">
          <a:off x="658813" y="5254625"/>
          <a:ext cx="4320000" cy="680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587375</xdr:colOff>
      <xdr:row>36</xdr:row>
      <xdr:rowOff>126999</xdr:rowOff>
    </xdr:from>
    <xdr:to>
      <xdr:col>3</xdr:col>
      <xdr:colOff>767375</xdr:colOff>
      <xdr:row>37</xdr:row>
      <xdr:rowOff>148249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747351D-C0E9-4B5A-B2CC-F6AD8F6C3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7688" y="5175249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150812</xdr:colOff>
      <xdr:row>96</xdr:row>
      <xdr:rowOff>15875</xdr:rowOff>
    </xdr:from>
    <xdr:to>
      <xdr:col>0</xdr:col>
      <xdr:colOff>330812</xdr:colOff>
      <xdr:row>97</xdr:row>
      <xdr:rowOff>37125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40DA611-724D-4570-B746-C94465A19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12" y="16168688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420688</xdr:colOff>
      <xdr:row>36</xdr:row>
      <xdr:rowOff>127000</xdr:rowOff>
    </xdr:from>
    <xdr:to>
      <xdr:col>1</xdr:col>
      <xdr:colOff>166688</xdr:colOff>
      <xdr:row>37</xdr:row>
      <xdr:rowOff>136071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6BAFDF8-D1BB-4327-85E6-AC98FD817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688" y="5580063"/>
          <a:ext cx="174625" cy="167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OS_FREDDY_FREDDY/FREDDY/Impuestos%202010/FREDDY%20RETENFTE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2010"/>
      <sheetName val="FEBRER2010"/>
      <sheetName val="marzo2010"/>
      <sheetName val="ABRIL 2010"/>
      <sheetName val="MAYO 2010"/>
      <sheetName val="JUNIO 2010"/>
      <sheetName val="JULIO 2010"/>
      <sheetName val="AGOSTO 2010"/>
      <sheetName val="SEPTIEMBRE 2010"/>
      <sheetName val="OCTUBRE 2010"/>
      <sheetName val="anaislis"/>
      <sheetName val="42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D2">
            <v>-88.39</v>
          </cell>
        </row>
        <row r="3">
          <cell r="D3">
            <v>-114.85</v>
          </cell>
        </row>
        <row r="4">
          <cell r="D4">
            <v>-2325.75</v>
          </cell>
        </row>
        <row r="5">
          <cell r="D5">
            <v>-135.55000000000001</v>
          </cell>
        </row>
        <row r="6">
          <cell r="D6">
            <v>-126.5</v>
          </cell>
        </row>
        <row r="7">
          <cell r="D7">
            <v>-437.91</v>
          </cell>
        </row>
        <row r="8">
          <cell r="D8">
            <v>-325.48</v>
          </cell>
        </row>
        <row r="9">
          <cell r="D9">
            <v>-231.03</v>
          </cell>
        </row>
        <row r="10">
          <cell r="D10">
            <v>-235.11</v>
          </cell>
        </row>
        <row r="11">
          <cell r="D11">
            <v>-684.9</v>
          </cell>
        </row>
        <row r="12">
          <cell r="D12">
            <v>-247</v>
          </cell>
        </row>
        <row r="13">
          <cell r="D13">
            <v>-461.61</v>
          </cell>
        </row>
        <row r="14">
          <cell r="D14">
            <v>-552.9</v>
          </cell>
        </row>
        <row r="15">
          <cell r="D15">
            <v>-17</v>
          </cell>
        </row>
        <row r="16">
          <cell r="D16">
            <v>-1006.95</v>
          </cell>
        </row>
        <row r="17">
          <cell r="D17">
            <v>-139.22999999999999</v>
          </cell>
        </row>
        <row r="18">
          <cell r="D18">
            <v>-2112.71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77E9-C3EC-4149-9E83-565846E963C7}">
  <dimension ref="A1:M120"/>
  <sheetViews>
    <sheetView showGridLines="0" tabSelected="1" zoomScale="80" zoomScaleNormal="80" workbookViewId="0">
      <selection activeCell="B36" sqref="B36"/>
    </sheetView>
  </sheetViews>
  <sheetFormatPr baseColWidth="10" defaultColWidth="11.453125" defaultRowHeight="12.5" x14ac:dyDescent="0.25"/>
  <cols>
    <col min="1" max="1" width="6.1796875" style="1" customWidth="1"/>
    <col min="2" max="2" width="28.453125" style="1" customWidth="1"/>
    <col min="3" max="3" width="37.6328125" style="1" customWidth="1"/>
    <col min="4" max="4" width="18.81640625" style="1" customWidth="1"/>
    <col min="5" max="5" width="26" style="1" customWidth="1"/>
    <col min="6" max="6" width="25.453125" style="1" customWidth="1"/>
    <col min="7" max="7" width="21.453125" style="1" customWidth="1"/>
    <col min="8" max="8" width="17.81640625" style="1" customWidth="1"/>
    <col min="9" max="9" width="14.54296875" style="1" customWidth="1"/>
    <col min="10" max="10" width="18.453125" style="1" customWidth="1"/>
    <col min="11" max="11" width="22.90625" style="1" customWidth="1"/>
    <col min="12" max="12" width="16.6328125" style="1" customWidth="1"/>
    <col min="13" max="16384" width="11.453125" style="1"/>
  </cols>
  <sheetData>
    <row r="1" spans="1:12" s="2" customFormat="1" ht="18.75" customHeight="1" x14ac:dyDescent="0.25">
      <c r="F1" s="1"/>
      <c r="G1" s="1"/>
      <c r="H1" s="1"/>
    </row>
    <row r="2" spans="1:12" s="2" customFormat="1" x14ac:dyDescent="0.25">
      <c r="A2" s="22"/>
      <c r="B2" s="28"/>
      <c r="C2" s="28"/>
      <c r="D2" s="22"/>
      <c r="E2" s="22"/>
      <c r="J2" s="36" t="s">
        <v>5</v>
      </c>
      <c r="K2" s="36" t="s">
        <v>4</v>
      </c>
      <c r="L2" s="37" t="s">
        <v>10</v>
      </c>
    </row>
    <row r="3" spans="1:12" s="2" customFormat="1" x14ac:dyDescent="0.25">
      <c r="A3" s="22"/>
      <c r="B3" s="15"/>
      <c r="C3" s="15"/>
      <c r="D3" s="22"/>
      <c r="E3" s="22"/>
      <c r="J3" s="76" t="s">
        <v>11</v>
      </c>
      <c r="K3" s="77" t="s">
        <v>11</v>
      </c>
      <c r="L3" s="38" t="s">
        <v>53</v>
      </c>
    </row>
    <row r="4" spans="1:12" s="2" customFormat="1" x14ac:dyDescent="0.25">
      <c r="A4" s="22"/>
      <c r="B4" s="15"/>
      <c r="C4" s="32"/>
      <c r="D4" s="22"/>
      <c r="E4" s="22"/>
      <c r="F4" s="22"/>
      <c r="G4" s="27"/>
      <c r="H4" s="26"/>
      <c r="I4" s="22"/>
    </row>
    <row r="5" spans="1:12" s="2" customFormat="1" x14ac:dyDescent="0.25">
      <c r="A5" s="22"/>
      <c r="B5" s="15"/>
      <c r="C5" s="32"/>
      <c r="D5" s="22"/>
      <c r="E5" s="22"/>
      <c r="F5" s="22"/>
      <c r="G5" s="27"/>
      <c r="H5" s="26"/>
      <c r="I5" s="22"/>
    </row>
    <row r="6" spans="1:12" s="2" customFormat="1" x14ac:dyDescent="0.25">
      <c r="A6" s="22"/>
      <c r="B6" s="34" t="s">
        <v>8</v>
      </c>
      <c r="C6" s="31"/>
      <c r="D6" s="31"/>
      <c r="E6" s="31"/>
      <c r="F6" s="31"/>
      <c r="G6" s="31"/>
      <c r="H6" s="31"/>
      <c r="I6" s="31"/>
    </row>
    <row r="7" spans="1:12" s="2" customFormat="1" x14ac:dyDescent="0.25">
      <c r="A7" s="22"/>
      <c r="B7" s="34" t="s">
        <v>33</v>
      </c>
      <c r="C7" s="25"/>
      <c r="D7" s="24"/>
      <c r="E7" s="24"/>
      <c r="F7" s="24"/>
      <c r="G7" s="24"/>
      <c r="H7" s="24"/>
      <c r="I7" s="24"/>
    </row>
    <row r="8" spans="1:12" s="2" customFormat="1" x14ac:dyDescent="0.25">
      <c r="A8" s="22"/>
      <c r="B8" s="35" t="s">
        <v>9</v>
      </c>
      <c r="C8" s="33"/>
      <c r="D8" s="33"/>
      <c r="E8" s="33"/>
      <c r="F8" s="33"/>
      <c r="G8" s="33"/>
      <c r="H8" s="33"/>
      <c r="I8" s="33"/>
    </row>
    <row r="9" spans="1:12" s="2" customFormat="1" x14ac:dyDescent="0.25">
      <c r="A9" s="22"/>
      <c r="B9" s="83" t="s">
        <v>52</v>
      </c>
      <c r="C9" s="33"/>
      <c r="D9" s="33"/>
      <c r="E9" s="33"/>
      <c r="F9" s="33"/>
      <c r="G9" s="33"/>
      <c r="H9" s="33"/>
      <c r="I9" s="33"/>
      <c r="J9" s="33"/>
      <c r="K9" s="33"/>
      <c r="L9" s="33"/>
    </row>
    <row r="10" spans="1:12" s="2" customFormat="1" ht="7.5" customHeight="1" thickBot="1" x14ac:dyDescent="0.3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2" s="2" customFormat="1" ht="13" thickTop="1" x14ac:dyDescent="0.25">
      <c r="A11" s="22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spans="1:12" s="2" customFormat="1" x14ac:dyDescent="0.25">
      <c r="B12" s="39" t="s">
        <v>3</v>
      </c>
      <c r="C12" s="16"/>
      <c r="E12" s="30"/>
      <c r="F12" s="15"/>
      <c r="G12" s="15"/>
      <c r="H12" s="15"/>
      <c r="I12" s="15"/>
    </row>
    <row r="13" spans="1:12" s="2" customFormat="1" ht="7" customHeight="1" x14ac:dyDescent="0.25">
      <c r="B13" s="39"/>
      <c r="C13" s="16"/>
      <c r="E13" s="30"/>
      <c r="F13" s="15"/>
      <c r="G13" s="15"/>
      <c r="H13" s="15"/>
      <c r="I13" s="15"/>
    </row>
    <row r="14" spans="1:12" s="2" customFormat="1" x14ac:dyDescent="0.25">
      <c r="A14" s="18"/>
      <c r="B14" s="88" t="s">
        <v>63</v>
      </c>
      <c r="C14" s="89"/>
      <c r="D14" s="15"/>
      <c r="E14" s="15"/>
      <c r="F14" s="15"/>
      <c r="G14" s="15"/>
      <c r="H14" s="15"/>
      <c r="I14" s="15"/>
    </row>
    <row r="15" spans="1:12" s="2" customFormat="1" x14ac:dyDescent="0.25">
      <c r="A15" s="18"/>
      <c r="B15" s="20"/>
      <c r="C15" s="21"/>
      <c r="D15" s="15"/>
      <c r="E15" s="15"/>
      <c r="F15" s="15"/>
      <c r="G15" s="15"/>
      <c r="H15" s="15"/>
      <c r="I15" s="15"/>
    </row>
    <row r="16" spans="1:12" s="2" customFormat="1" x14ac:dyDescent="0.25">
      <c r="A16" s="18"/>
      <c r="B16" s="39" t="s">
        <v>12</v>
      </c>
      <c r="C16" s="1"/>
      <c r="D16" s="15"/>
      <c r="E16" s="15"/>
      <c r="F16" s="15"/>
      <c r="G16" s="15"/>
      <c r="H16" s="15"/>
      <c r="I16" s="15"/>
    </row>
    <row r="17" spans="1:9" s="2" customFormat="1" ht="7" customHeight="1" x14ac:dyDescent="0.25">
      <c r="A17" s="18"/>
      <c r="B17" s="39"/>
      <c r="C17" s="1"/>
      <c r="D17" s="15"/>
      <c r="E17" s="15"/>
      <c r="F17" s="15"/>
      <c r="G17" s="15"/>
      <c r="H17" s="15"/>
      <c r="I17" s="15"/>
    </row>
    <row r="18" spans="1:9" s="2" customFormat="1" x14ac:dyDescent="0.25">
      <c r="A18" s="18"/>
      <c r="B18" s="78"/>
      <c r="C18" s="79" t="s">
        <v>34</v>
      </c>
      <c r="D18" s="79" t="s">
        <v>35</v>
      </c>
      <c r="E18" s="15"/>
      <c r="F18" s="15"/>
      <c r="G18" s="15"/>
      <c r="H18" s="15"/>
      <c r="I18" s="15"/>
    </row>
    <row r="19" spans="1:9" s="2" customFormat="1" x14ac:dyDescent="0.25">
      <c r="A19" s="18"/>
      <c r="B19" s="80" t="s">
        <v>13</v>
      </c>
      <c r="C19" s="81" t="s">
        <v>14</v>
      </c>
      <c r="D19" s="81" t="s">
        <v>14</v>
      </c>
      <c r="E19" s="15"/>
      <c r="F19" s="15"/>
      <c r="G19" s="15"/>
      <c r="H19" s="15"/>
      <c r="I19" s="15"/>
    </row>
    <row r="20" spans="1:9" s="2" customFormat="1" x14ac:dyDescent="0.25">
      <c r="A20" s="18"/>
      <c r="B20" s="80" t="s">
        <v>15</v>
      </c>
      <c r="C20" s="81" t="s">
        <v>14</v>
      </c>
      <c r="D20" s="81" t="s">
        <v>14</v>
      </c>
      <c r="E20" s="15"/>
      <c r="F20" s="15"/>
      <c r="G20" s="15"/>
      <c r="H20" s="15"/>
      <c r="I20" s="15"/>
    </row>
    <row r="21" spans="1:9" s="2" customFormat="1" x14ac:dyDescent="0.25">
      <c r="A21" s="18"/>
      <c r="B21" s="80" t="s">
        <v>16</v>
      </c>
      <c r="C21" s="81" t="s">
        <v>14</v>
      </c>
      <c r="D21" s="81" t="s">
        <v>14</v>
      </c>
      <c r="E21" s="15"/>
      <c r="F21" s="15"/>
      <c r="G21" s="15"/>
      <c r="H21" s="15"/>
      <c r="I21" s="15"/>
    </row>
    <row r="22" spans="1:9" s="2" customFormat="1" x14ac:dyDescent="0.25">
      <c r="A22" s="18"/>
      <c r="B22" s="41"/>
      <c r="C22" s="40"/>
      <c r="D22" s="40"/>
      <c r="E22" s="15"/>
      <c r="F22" s="15"/>
      <c r="G22" s="15"/>
      <c r="H22" s="15"/>
      <c r="I22" s="15"/>
    </row>
    <row r="23" spans="1:9" s="2" customFormat="1" x14ac:dyDescent="0.25">
      <c r="A23" s="18"/>
      <c r="B23" s="20"/>
      <c r="C23" s="19"/>
      <c r="D23" s="15"/>
      <c r="E23" s="15"/>
      <c r="F23" s="15"/>
      <c r="G23" s="15"/>
      <c r="H23" s="15"/>
      <c r="I23" s="15"/>
    </row>
    <row r="24" spans="1:9" s="2" customFormat="1" x14ac:dyDescent="0.25">
      <c r="A24" s="18"/>
      <c r="B24" s="39" t="s">
        <v>17</v>
      </c>
      <c r="C24" s="16"/>
      <c r="D24" s="15"/>
      <c r="E24" s="15"/>
      <c r="F24" s="15"/>
      <c r="G24" s="15"/>
      <c r="H24" s="15"/>
      <c r="I24" s="15"/>
    </row>
    <row r="25" spans="1:9" s="2" customFormat="1" ht="7" customHeight="1" x14ac:dyDescent="0.25">
      <c r="A25" s="18"/>
      <c r="B25" s="39"/>
      <c r="C25" s="16"/>
      <c r="D25" s="15"/>
      <c r="E25" s="15"/>
      <c r="F25" s="15"/>
      <c r="G25" s="15"/>
      <c r="H25" s="15"/>
      <c r="I25" s="15"/>
    </row>
    <row r="26" spans="1:9" s="2" customFormat="1" x14ac:dyDescent="0.25">
      <c r="A26" s="18" t="s">
        <v>25</v>
      </c>
      <c r="B26" s="98" t="s">
        <v>74</v>
      </c>
      <c r="C26" s="16"/>
      <c r="D26" s="15"/>
      <c r="E26" s="15"/>
      <c r="F26" s="15"/>
      <c r="G26" s="15"/>
      <c r="H26" s="15"/>
      <c r="I26" s="15"/>
    </row>
    <row r="27" spans="1:9" s="2" customFormat="1" x14ac:dyDescent="0.25">
      <c r="A27" s="18" t="s">
        <v>26</v>
      </c>
      <c r="B27" s="98" t="s">
        <v>75</v>
      </c>
      <c r="C27" s="16"/>
      <c r="D27" s="15"/>
      <c r="E27" s="15"/>
      <c r="F27" s="15"/>
      <c r="G27" s="15"/>
      <c r="H27" s="15"/>
      <c r="I27" s="15"/>
    </row>
    <row r="28" spans="1:9" s="2" customFormat="1" x14ac:dyDescent="0.25">
      <c r="A28" s="18" t="s">
        <v>23</v>
      </c>
      <c r="B28" s="17" t="s">
        <v>70</v>
      </c>
      <c r="C28" s="16"/>
      <c r="D28" s="15"/>
      <c r="E28" s="15"/>
      <c r="F28" s="15"/>
      <c r="G28" s="15"/>
      <c r="H28" s="15"/>
      <c r="I28" s="15"/>
    </row>
    <row r="29" spans="1:9" s="2" customFormat="1" x14ac:dyDescent="0.25">
      <c r="A29" s="18" t="s">
        <v>18</v>
      </c>
      <c r="B29" s="17" t="s">
        <v>64</v>
      </c>
      <c r="C29" s="16"/>
      <c r="D29" s="15"/>
      <c r="E29" s="15"/>
      <c r="F29" s="15"/>
      <c r="G29" s="15"/>
      <c r="H29" s="15"/>
      <c r="I29" s="15"/>
    </row>
    <row r="30" spans="1:9" s="2" customFormat="1" x14ac:dyDescent="0.25">
      <c r="A30" s="18" t="s">
        <v>24</v>
      </c>
      <c r="B30" s="17" t="s">
        <v>19</v>
      </c>
      <c r="C30" s="16"/>
      <c r="D30" s="15"/>
      <c r="E30" s="15"/>
      <c r="F30" s="15"/>
      <c r="G30" s="15"/>
      <c r="H30" s="15"/>
      <c r="I30" s="15"/>
    </row>
    <row r="31" spans="1:9" s="2" customFormat="1" x14ac:dyDescent="0.25">
      <c r="A31" s="18" t="s">
        <v>65</v>
      </c>
      <c r="B31" s="17" t="s">
        <v>54</v>
      </c>
      <c r="C31" s="16"/>
      <c r="D31" s="15"/>
      <c r="E31" s="15"/>
      <c r="F31" s="15"/>
      <c r="G31" s="15"/>
      <c r="H31" s="15"/>
      <c r="I31" s="15"/>
    </row>
    <row r="32" spans="1:9" s="2" customFormat="1" x14ac:dyDescent="0.25">
      <c r="A32" s="18" t="s">
        <v>89</v>
      </c>
      <c r="B32" s="84" t="s">
        <v>55</v>
      </c>
      <c r="C32" s="16"/>
      <c r="D32" s="15"/>
      <c r="E32" s="15"/>
      <c r="F32" s="15"/>
      <c r="G32" s="15"/>
      <c r="H32" s="15"/>
      <c r="I32" s="15"/>
    </row>
    <row r="33" spans="1:12" s="2" customFormat="1" x14ac:dyDescent="0.25">
      <c r="A33" s="18"/>
      <c r="B33" s="17"/>
      <c r="C33" s="16"/>
      <c r="D33" s="15"/>
      <c r="E33" s="15"/>
      <c r="F33" s="15"/>
      <c r="G33" s="15"/>
      <c r="H33" s="15"/>
      <c r="I33" s="15"/>
    </row>
    <row r="34" spans="1:12" s="2" customFormat="1" x14ac:dyDescent="0.25">
      <c r="A34" s="18"/>
      <c r="B34" s="39" t="s">
        <v>20</v>
      </c>
      <c r="C34" s="16"/>
      <c r="D34" s="15"/>
      <c r="E34" s="15"/>
      <c r="F34" s="15"/>
      <c r="G34" s="15"/>
      <c r="H34" s="15"/>
      <c r="I34" s="15"/>
    </row>
    <row r="35" spans="1:12" s="2" customFormat="1" ht="7" customHeight="1" x14ac:dyDescent="0.25">
      <c r="A35" s="18"/>
      <c r="B35" s="39"/>
      <c r="C35" s="16"/>
      <c r="D35" s="15"/>
      <c r="E35" s="15"/>
      <c r="F35" s="15"/>
      <c r="G35" s="15"/>
      <c r="H35" s="15"/>
      <c r="I35" s="15"/>
    </row>
    <row r="36" spans="1:12" x14ac:dyDescent="0.25">
      <c r="E36" s="11" t="s">
        <v>28</v>
      </c>
    </row>
    <row r="37" spans="1:12" x14ac:dyDescent="0.25">
      <c r="E37" s="62"/>
    </row>
    <row r="38" spans="1:12" x14ac:dyDescent="0.25">
      <c r="B38" s="9"/>
      <c r="C38" s="63"/>
      <c r="D38" s="85"/>
      <c r="E38" s="5"/>
      <c r="F38" s="5"/>
    </row>
    <row r="39" spans="1:12" ht="32.5" customHeight="1" x14ac:dyDescent="0.25">
      <c r="B39" s="67" t="s">
        <v>47</v>
      </c>
      <c r="C39" s="67" t="s">
        <v>48</v>
      </c>
      <c r="D39" s="68" t="s">
        <v>51</v>
      </c>
      <c r="E39" s="48" t="s">
        <v>27</v>
      </c>
      <c r="F39" s="47" t="s">
        <v>73</v>
      </c>
      <c r="G39" s="68" t="s">
        <v>51</v>
      </c>
    </row>
    <row r="40" spans="1:12" x14ac:dyDescent="0.25">
      <c r="B40" s="49"/>
      <c r="C40" s="49"/>
      <c r="D40" s="52">
        <v>0</v>
      </c>
      <c r="E40" s="52">
        <v>0</v>
      </c>
      <c r="F40" s="52">
        <v>0</v>
      </c>
      <c r="G40" s="52">
        <f ca="1">SUM(D40:G40)</f>
        <v>0</v>
      </c>
    </row>
    <row r="41" spans="1:12" x14ac:dyDescent="0.25">
      <c r="B41" s="6"/>
      <c r="C41" s="6"/>
      <c r="D41" s="4" t="s">
        <v>66</v>
      </c>
      <c r="E41" s="5"/>
      <c r="F41" s="97" t="s">
        <v>6</v>
      </c>
      <c r="G41" s="4" t="s">
        <v>66</v>
      </c>
    </row>
    <row r="42" spans="1:12" x14ac:dyDescent="0.25">
      <c r="B42" s="6"/>
      <c r="C42" s="6"/>
      <c r="D42" s="5"/>
      <c r="E42" s="5"/>
      <c r="F42" s="8"/>
      <c r="G42" s="8"/>
      <c r="H42" s="8"/>
    </row>
    <row r="43" spans="1:12" x14ac:dyDescent="0.25">
      <c r="B43" s="6"/>
      <c r="C43" s="6"/>
      <c r="D43" s="5"/>
      <c r="E43" s="5"/>
      <c r="F43" s="8"/>
      <c r="G43" s="8"/>
      <c r="H43" s="8"/>
    </row>
    <row r="44" spans="1:12" x14ac:dyDescent="0.25">
      <c r="B44" s="6"/>
      <c r="C44" s="6"/>
      <c r="D44" s="5"/>
      <c r="E44" s="5"/>
      <c r="F44" s="8"/>
      <c r="G44" s="8"/>
      <c r="H44" s="8"/>
    </row>
    <row r="45" spans="1:12" x14ac:dyDescent="0.25">
      <c r="B45" s="101" t="s">
        <v>69</v>
      </c>
      <c r="C45" s="101"/>
      <c r="D45" s="101"/>
      <c r="E45" s="14"/>
      <c r="F45" s="102" t="s">
        <v>29</v>
      </c>
      <c r="G45" s="103"/>
      <c r="H45" s="103"/>
      <c r="I45" s="103"/>
      <c r="J45" s="103"/>
      <c r="K45" s="103"/>
      <c r="L45" s="104"/>
    </row>
    <row r="46" spans="1:12" s="2" customFormat="1" x14ac:dyDescent="0.25">
      <c r="B46" s="42"/>
      <c r="C46" s="42"/>
      <c r="D46" s="42"/>
      <c r="E46" s="43"/>
      <c r="G46" s="46"/>
      <c r="H46" s="44"/>
    </row>
    <row r="47" spans="1:12" x14ac:dyDescent="0.25">
      <c r="B47" s="82" t="s">
        <v>77</v>
      </c>
      <c r="D47" s="5"/>
      <c r="G47" s="8"/>
      <c r="H47" s="8"/>
    </row>
    <row r="48" spans="1:12" x14ac:dyDescent="0.25">
      <c r="B48" s="82"/>
      <c r="D48" s="5"/>
      <c r="G48" s="8"/>
      <c r="H48" s="8"/>
    </row>
    <row r="49" spans="1:13" s="66" customFormat="1" ht="50" x14ac:dyDescent="0.35">
      <c r="B49" s="67" t="s">
        <v>47</v>
      </c>
      <c r="C49" s="67" t="s">
        <v>48</v>
      </c>
      <c r="D49" s="68" t="s">
        <v>62</v>
      </c>
      <c r="E49" s="65"/>
      <c r="F49" s="67" t="s">
        <v>85</v>
      </c>
      <c r="G49" s="67" t="s">
        <v>30</v>
      </c>
      <c r="H49" s="67" t="s">
        <v>86</v>
      </c>
      <c r="I49" s="67" t="s">
        <v>31</v>
      </c>
      <c r="K49" s="67" t="s">
        <v>50</v>
      </c>
      <c r="L49" s="67" t="s">
        <v>32</v>
      </c>
    </row>
    <row r="50" spans="1:13" x14ac:dyDescent="0.25">
      <c r="A50" s="93" t="s">
        <v>87</v>
      </c>
      <c r="B50" s="49"/>
      <c r="C50" s="71"/>
      <c r="D50" s="52">
        <v>0</v>
      </c>
      <c r="E50" s="99" t="s">
        <v>67</v>
      </c>
      <c r="F50" s="90">
        <v>0</v>
      </c>
      <c r="G50" s="91">
        <f>+F50*1%</f>
        <v>0</v>
      </c>
      <c r="H50" s="91">
        <v>0</v>
      </c>
      <c r="I50" s="91">
        <f>+H50*10%</f>
        <v>0</v>
      </c>
      <c r="K50" s="92">
        <f>+D50</f>
        <v>0</v>
      </c>
      <c r="L50" s="100" t="str">
        <f>+IF(AND(K50&lt;G50,K50&lt;I50),"Sí","No")</f>
        <v>No</v>
      </c>
      <c r="M50" s="66"/>
    </row>
    <row r="51" spans="1:13" ht="14.5" x14ac:dyDescent="0.35">
      <c r="A51" s="93" t="s">
        <v>88</v>
      </c>
      <c r="B51"/>
      <c r="C51"/>
      <c r="D51"/>
      <c r="F51" s="11" t="s">
        <v>61</v>
      </c>
      <c r="G51" s="8"/>
      <c r="H51" s="4" t="s">
        <v>66</v>
      </c>
      <c r="K51" s="4" t="s">
        <v>67</v>
      </c>
    </row>
    <row r="52" spans="1:13" x14ac:dyDescent="0.25">
      <c r="C52" s="72" t="s">
        <v>76</v>
      </c>
      <c r="D52" s="29">
        <f>+F40</f>
        <v>0</v>
      </c>
      <c r="E52" s="45" t="s">
        <v>6</v>
      </c>
      <c r="G52" s="8"/>
      <c r="H52" s="8"/>
    </row>
    <row r="53" spans="1:13" ht="13" thickBot="1" x14ac:dyDescent="0.3">
      <c r="C53" s="94" t="s">
        <v>2</v>
      </c>
      <c r="D53" s="96">
        <f>+D50+D52</f>
        <v>0</v>
      </c>
      <c r="E53" s="12"/>
      <c r="G53" s="8"/>
      <c r="H53" s="8"/>
    </row>
    <row r="54" spans="1:13" ht="13" thickTop="1" x14ac:dyDescent="0.25">
      <c r="G54" s="8"/>
      <c r="H54" s="8"/>
    </row>
    <row r="55" spans="1:13" x14ac:dyDescent="0.25">
      <c r="G55" s="8"/>
      <c r="H55" s="8"/>
    </row>
    <row r="56" spans="1:13" x14ac:dyDescent="0.25">
      <c r="B56" s="82" t="s">
        <v>84</v>
      </c>
      <c r="D56" s="5"/>
      <c r="G56" s="8"/>
      <c r="H56" s="8"/>
    </row>
    <row r="57" spans="1:13" x14ac:dyDescent="0.25">
      <c r="B57" s="82"/>
      <c r="D57" s="5"/>
      <c r="G57" s="8"/>
      <c r="H57" s="8"/>
    </row>
    <row r="58" spans="1:13" ht="25" x14ac:dyDescent="0.25">
      <c r="B58" s="67" t="s">
        <v>47</v>
      </c>
      <c r="C58" s="67" t="s">
        <v>48</v>
      </c>
      <c r="D58" s="68" t="s">
        <v>62</v>
      </c>
      <c r="G58" s="8"/>
      <c r="H58" s="8"/>
    </row>
    <row r="59" spans="1:13" x14ac:dyDescent="0.25">
      <c r="B59" s="49"/>
      <c r="C59" s="71"/>
      <c r="D59" s="52">
        <v>0</v>
      </c>
      <c r="E59" s="95" t="s">
        <v>66</v>
      </c>
      <c r="G59" s="8"/>
      <c r="H59" s="8"/>
    </row>
    <row r="60" spans="1:13" x14ac:dyDescent="0.25">
      <c r="B60" s="54"/>
      <c r="C60" s="73"/>
      <c r="D60" s="73"/>
      <c r="G60" s="8"/>
      <c r="H60" s="8"/>
    </row>
    <row r="61" spans="1:13" x14ac:dyDescent="0.25">
      <c r="C61" s="75" t="s">
        <v>78</v>
      </c>
      <c r="D61" s="74">
        <f>+G87</f>
        <v>0</v>
      </c>
      <c r="E61" s="45" t="s">
        <v>1</v>
      </c>
      <c r="G61" s="8"/>
      <c r="H61" s="8"/>
    </row>
    <row r="62" spans="1:13" ht="13" thickBot="1" x14ac:dyDescent="0.3">
      <c r="C62" s="94" t="s">
        <v>2</v>
      </c>
      <c r="D62" s="96">
        <f>SUM(D61:D61)</f>
        <v>0</v>
      </c>
      <c r="G62" s="8"/>
      <c r="H62" s="8"/>
    </row>
    <row r="63" spans="1:13" ht="13" thickTop="1" x14ac:dyDescent="0.25">
      <c r="C63" s="6"/>
      <c r="D63" s="5"/>
      <c r="G63" s="8"/>
      <c r="H63" s="8"/>
    </row>
    <row r="64" spans="1:13" x14ac:dyDescent="0.25">
      <c r="C64" s="6"/>
      <c r="D64" s="5"/>
      <c r="G64" s="8"/>
      <c r="H64" s="8"/>
    </row>
    <row r="65" spans="1:8" x14ac:dyDescent="0.25">
      <c r="C65" s="6"/>
      <c r="D65" s="5"/>
      <c r="G65" s="8"/>
      <c r="H65" s="8"/>
    </row>
    <row r="66" spans="1:8" x14ac:dyDescent="0.25">
      <c r="C66" s="6"/>
      <c r="D66" s="86" t="s">
        <v>71</v>
      </c>
      <c r="E66" s="73"/>
      <c r="F66" s="73"/>
      <c r="G66" s="87"/>
      <c r="H66" s="8"/>
    </row>
    <row r="67" spans="1:8" x14ac:dyDescent="0.25">
      <c r="C67" s="6"/>
      <c r="D67" s="5"/>
      <c r="G67" s="8"/>
      <c r="H67" s="8"/>
    </row>
    <row r="68" spans="1:8" x14ac:dyDescent="0.25">
      <c r="C68" s="6"/>
      <c r="D68" s="5"/>
      <c r="G68" s="8"/>
      <c r="H68" s="8"/>
    </row>
    <row r="69" spans="1:8" x14ac:dyDescent="0.25">
      <c r="B69" s="3"/>
      <c r="C69" s="6"/>
      <c r="D69" s="5"/>
      <c r="E69" s="5"/>
      <c r="F69" s="5"/>
    </row>
    <row r="70" spans="1:8" x14ac:dyDescent="0.25">
      <c r="A70" s="7"/>
      <c r="B70" s="13"/>
      <c r="C70" s="6"/>
      <c r="D70" s="5"/>
      <c r="E70" s="5"/>
      <c r="F70" s="5"/>
    </row>
    <row r="71" spans="1:8" ht="37.5" x14ac:dyDescent="0.25">
      <c r="A71" s="7"/>
      <c r="B71" s="67" t="s">
        <v>7</v>
      </c>
      <c r="C71" s="67" t="s">
        <v>79</v>
      </c>
      <c r="D71" s="68" t="s">
        <v>80</v>
      </c>
      <c r="E71" s="68" t="s">
        <v>81</v>
      </c>
      <c r="F71" s="68" t="s">
        <v>82</v>
      </c>
      <c r="G71" s="67" t="s">
        <v>83</v>
      </c>
    </row>
    <row r="72" spans="1:8" x14ac:dyDescent="0.25">
      <c r="A72" s="7"/>
      <c r="B72" s="49"/>
      <c r="C72" s="50"/>
      <c r="D72" s="51"/>
      <c r="E72" s="51"/>
      <c r="F72" s="52"/>
      <c r="G72" s="53"/>
    </row>
    <row r="73" spans="1:8" x14ac:dyDescent="0.25">
      <c r="A73" s="7"/>
      <c r="B73" s="49"/>
      <c r="C73" s="50"/>
      <c r="D73" s="51"/>
      <c r="E73" s="51"/>
      <c r="F73" s="52"/>
      <c r="G73" s="53"/>
    </row>
    <row r="74" spans="1:8" x14ac:dyDescent="0.25">
      <c r="A74" s="7"/>
      <c r="B74" s="49"/>
      <c r="C74" s="50"/>
      <c r="D74" s="51"/>
      <c r="E74" s="51"/>
      <c r="F74" s="52"/>
      <c r="G74" s="53"/>
    </row>
    <row r="75" spans="1:8" x14ac:dyDescent="0.25">
      <c r="A75" s="7"/>
      <c r="B75" s="49"/>
      <c r="C75" s="50"/>
      <c r="D75" s="51"/>
      <c r="E75" s="51"/>
      <c r="F75" s="52"/>
      <c r="G75" s="53"/>
    </row>
    <row r="76" spans="1:8" x14ac:dyDescent="0.25">
      <c r="A76" s="7"/>
      <c r="B76" s="49"/>
      <c r="C76" s="50"/>
      <c r="D76" s="51"/>
      <c r="E76" s="51"/>
      <c r="F76" s="52"/>
      <c r="G76" s="53"/>
    </row>
    <row r="77" spans="1:8" x14ac:dyDescent="0.25">
      <c r="A77" s="7"/>
      <c r="B77" s="49"/>
      <c r="C77" s="50"/>
      <c r="D77" s="51"/>
      <c r="E77" s="51"/>
      <c r="F77" s="52"/>
      <c r="G77" s="53"/>
    </row>
    <row r="78" spans="1:8" x14ac:dyDescent="0.25">
      <c r="A78" s="7"/>
      <c r="B78" s="61"/>
      <c r="C78" s="50"/>
      <c r="D78" s="51"/>
      <c r="E78" s="51"/>
      <c r="F78" s="52"/>
      <c r="G78" s="53"/>
    </row>
    <row r="79" spans="1:8" x14ac:dyDescent="0.25">
      <c r="A79" s="7"/>
      <c r="B79" s="49"/>
      <c r="C79" s="50"/>
      <c r="D79" s="51"/>
      <c r="E79" s="51"/>
      <c r="F79" s="52"/>
      <c r="G79" s="53"/>
    </row>
    <row r="80" spans="1:8" x14ac:dyDescent="0.25">
      <c r="A80" s="7"/>
      <c r="B80" s="49"/>
      <c r="C80" s="50"/>
      <c r="D80" s="51"/>
      <c r="E80" s="51"/>
      <c r="F80" s="52"/>
      <c r="G80" s="53"/>
    </row>
    <row r="81" spans="1:7" x14ac:dyDescent="0.25">
      <c r="A81" s="7"/>
      <c r="B81" s="49"/>
      <c r="C81" s="50"/>
      <c r="D81" s="51"/>
      <c r="E81" s="51"/>
      <c r="F81" s="52"/>
      <c r="G81" s="53"/>
    </row>
    <row r="82" spans="1:7" x14ac:dyDescent="0.25">
      <c r="A82" s="7"/>
      <c r="B82" s="49"/>
      <c r="C82" s="50"/>
      <c r="D82" s="51"/>
      <c r="E82" s="51"/>
      <c r="F82" s="52"/>
      <c r="G82" s="53"/>
    </row>
    <row r="83" spans="1:7" x14ac:dyDescent="0.25">
      <c r="A83" s="7"/>
      <c r="B83" s="49"/>
      <c r="C83" s="50"/>
      <c r="D83" s="51"/>
      <c r="E83" s="51"/>
      <c r="F83" s="52"/>
      <c r="G83" s="53"/>
    </row>
    <row r="84" spans="1:7" x14ac:dyDescent="0.25">
      <c r="A84" s="7"/>
      <c r="B84" s="49"/>
      <c r="C84" s="50"/>
      <c r="D84" s="51"/>
      <c r="E84" s="51"/>
      <c r="F84" s="52"/>
      <c r="G84" s="53"/>
    </row>
    <row r="85" spans="1:7" x14ac:dyDescent="0.25">
      <c r="A85" s="7"/>
      <c r="B85" s="49"/>
      <c r="C85" s="50"/>
      <c r="D85" s="51"/>
      <c r="E85" s="51"/>
      <c r="F85" s="52"/>
      <c r="G85" s="53"/>
    </row>
    <row r="86" spans="1:7" ht="4.5" customHeight="1" x14ac:dyDescent="0.25">
      <c r="A86" s="7"/>
      <c r="B86" s="54"/>
      <c r="C86" s="55"/>
      <c r="D86" s="56"/>
      <c r="E86" s="56"/>
      <c r="F86" s="57"/>
      <c r="G86" s="58"/>
    </row>
    <row r="87" spans="1:7" ht="13" thickBot="1" x14ac:dyDescent="0.3">
      <c r="A87" s="7"/>
      <c r="B87" s="6"/>
      <c r="C87" s="6"/>
      <c r="D87" s="5"/>
      <c r="E87" s="5"/>
      <c r="F87" s="59"/>
      <c r="G87" s="60">
        <f>+SUM(G72:G85)</f>
        <v>0</v>
      </c>
    </row>
    <row r="88" spans="1:7" ht="13" thickTop="1" x14ac:dyDescent="0.25">
      <c r="A88" s="7"/>
      <c r="B88" s="6"/>
      <c r="C88" s="6"/>
      <c r="D88" s="5"/>
      <c r="E88" s="5"/>
      <c r="F88" s="5"/>
      <c r="G88" s="97" t="s">
        <v>1</v>
      </c>
    </row>
    <row r="89" spans="1:7" x14ac:dyDescent="0.25">
      <c r="A89" s="7"/>
      <c r="C89" s="6"/>
      <c r="D89" s="5"/>
      <c r="E89" s="5"/>
      <c r="F89" s="5"/>
    </row>
    <row r="90" spans="1:7" x14ac:dyDescent="0.25">
      <c r="A90" s="7"/>
      <c r="B90" s="6"/>
      <c r="C90" s="6"/>
      <c r="D90" s="5"/>
      <c r="E90" s="5"/>
      <c r="F90" s="5"/>
    </row>
    <row r="91" spans="1:7" x14ac:dyDescent="0.25">
      <c r="B91" s="39" t="s">
        <v>21</v>
      </c>
    </row>
    <row r="92" spans="1:7" ht="7" customHeight="1" x14ac:dyDescent="0.25">
      <c r="B92" s="39"/>
    </row>
    <row r="93" spans="1:7" x14ac:dyDescent="0.25">
      <c r="A93" s="10"/>
      <c r="B93" s="1" t="s">
        <v>59</v>
      </c>
    </row>
    <row r="94" spans="1:7" x14ac:dyDescent="0.25">
      <c r="A94" s="62"/>
      <c r="B94" s="1" t="s">
        <v>58</v>
      </c>
    </row>
    <row r="95" spans="1:7" x14ac:dyDescent="0.25">
      <c r="A95" s="4"/>
      <c r="B95" s="1" t="s">
        <v>22</v>
      </c>
    </row>
    <row r="96" spans="1:7" x14ac:dyDescent="0.25">
      <c r="A96" s="64"/>
      <c r="B96" s="1" t="s">
        <v>56</v>
      </c>
    </row>
    <row r="97" spans="1:2" x14ac:dyDescent="0.25">
      <c r="A97" s="64"/>
      <c r="B97" s="1" t="s">
        <v>57</v>
      </c>
    </row>
    <row r="98" spans="1:2" x14ac:dyDescent="0.25">
      <c r="A98" s="64"/>
      <c r="B98" s="1" t="s">
        <v>60</v>
      </c>
    </row>
    <row r="99" spans="1:2" x14ac:dyDescent="0.25">
      <c r="A99" s="64"/>
    </row>
    <row r="100" spans="1:2" x14ac:dyDescent="0.25">
      <c r="A100" s="69"/>
      <c r="B100" s="39" t="s">
        <v>72</v>
      </c>
    </row>
    <row r="101" spans="1:2" ht="7" customHeight="1" x14ac:dyDescent="0.25">
      <c r="A101" s="69"/>
      <c r="B101" s="39"/>
    </row>
    <row r="102" spans="1:2" x14ac:dyDescent="0.25">
      <c r="A102" s="69" t="s">
        <v>36</v>
      </c>
      <c r="B102" s="39"/>
    </row>
    <row r="103" spans="1:2" x14ac:dyDescent="0.25">
      <c r="A103" s="69" t="s">
        <v>37</v>
      </c>
      <c r="B103" s="39"/>
    </row>
    <row r="104" spans="1:2" x14ac:dyDescent="0.25">
      <c r="A104" s="69" t="s">
        <v>38</v>
      </c>
      <c r="B104" s="39"/>
    </row>
    <row r="105" spans="1:2" x14ac:dyDescent="0.25">
      <c r="A105" s="69"/>
      <c r="B105" s="39"/>
    </row>
    <row r="106" spans="1:2" x14ac:dyDescent="0.25">
      <c r="A106" s="69"/>
      <c r="B106" s="39" t="s">
        <v>39</v>
      </c>
    </row>
    <row r="107" spans="1:2" ht="7" customHeight="1" x14ac:dyDescent="0.25">
      <c r="A107" s="69"/>
      <c r="B107" s="39"/>
    </row>
    <row r="108" spans="1:2" x14ac:dyDescent="0.25">
      <c r="A108" s="69" t="s">
        <v>40</v>
      </c>
      <c r="B108" s="39"/>
    </row>
    <row r="109" spans="1:2" x14ac:dyDescent="0.25">
      <c r="A109" s="69" t="s">
        <v>41</v>
      </c>
      <c r="B109" s="39"/>
    </row>
    <row r="110" spans="1:2" x14ac:dyDescent="0.25">
      <c r="A110" s="69" t="s">
        <v>42</v>
      </c>
      <c r="B110" s="39"/>
    </row>
    <row r="111" spans="1:2" x14ac:dyDescent="0.25">
      <c r="A111" s="69"/>
      <c r="B111" s="70"/>
    </row>
    <row r="112" spans="1:2" x14ac:dyDescent="0.25">
      <c r="A112" s="69"/>
      <c r="B112" s="39" t="s">
        <v>43</v>
      </c>
    </row>
    <row r="113" spans="1:2" ht="7" customHeight="1" x14ac:dyDescent="0.25">
      <c r="A113" s="69"/>
      <c r="B113" s="39"/>
    </row>
    <row r="114" spans="1:2" x14ac:dyDescent="0.25">
      <c r="A114" s="69" t="s">
        <v>44</v>
      </c>
      <c r="B114" s="39"/>
    </row>
    <row r="115" spans="1:2" x14ac:dyDescent="0.25">
      <c r="A115" s="69" t="s">
        <v>45</v>
      </c>
      <c r="B115" s="39"/>
    </row>
    <row r="116" spans="1:2" x14ac:dyDescent="0.25">
      <c r="A116" s="69" t="s">
        <v>46</v>
      </c>
      <c r="B116" s="39"/>
    </row>
    <row r="117" spans="1:2" x14ac:dyDescent="0.25">
      <c r="A117" s="69"/>
      <c r="B117" s="70"/>
    </row>
    <row r="118" spans="1:2" x14ac:dyDescent="0.25">
      <c r="B118" s="39" t="s">
        <v>0</v>
      </c>
    </row>
    <row r="119" spans="1:2" ht="7" customHeight="1" x14ac:dyDescent="0.25">
      <c r="B119" s="39"/>
    </row>
    <row r="120" spans="1:2" x14ac:dyDescent="0.25">
      <c r="B120" s="11" t="s">
        <v>49</v>
      </c>
    </row>
  </sheetData>
  <mergeCells count="2">
    <mergeCell ref="B45:D45"/>
    <mergeCell ref="F45:L4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7381-2B10-430A-9EDB-6D94AED1D6C4}">
  <dimension ref="B2"/>
  <sheetViews>
    <sheetView showGridLines="0" zoomScale="80" zoomScaleNormal="80" workbookViewId="0">
      <selection activeCell="D17" sqref="D17"/>
    </sheetView>
  </sheetViews>
  <sheetFormatPr baseColWidth="10" defaultRowHeight="14.5" x14ac:dyDescent="0.35"/>
  <sheetData>
    <row r="2" spans="2:2" x14ac:dyDescent="0.35">
      <c r="B2" s="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130.09</vt:lpstr>
      <vt:lpstr>Base mayores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dcterms:created xsi:type="dcterms:W3CDTF">2023-03-07T17:39:18Z</dcterms:created>
  <dcterms:modified xsi:type="dcterms:W3CDTF">2026-04-17T00:01:38Z</dcterms:modified>
</cp:coreProperties>
</file>