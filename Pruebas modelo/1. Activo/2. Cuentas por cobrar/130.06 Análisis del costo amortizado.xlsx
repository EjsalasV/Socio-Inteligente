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2. Cuentas por cobrar\"/>
    </mc:Choice>
  </mc:AlternateContent>
  <xr:revisionPtr revIDLastSave="0" documentId="13_ncr:1_{F4D9AE6C-50A4-4362-BCF3-F6096DC3FCB4}" xr6:coauthVersionLast="47" xr6:coauthVersionMax="47" xr10:uidLastSave="{00000000-0000-0000-0000-000000000000}"/>
  <bookViews>
    <workbookView xWindow="-110" yWindow="-110" windowWidth="19420" windowHeight="10300" xr2:uid="{834EB0A0-04CB-4CA6-B27E-5BBE31111C4C}"/>
  </bookViews>
  <sheets>
    <sheet name="130.06.01" sheetId="1" r:id="rId1"/>
    <sheet name="130.06.02" sheetId="6" r:id="rId2"/>
    <sheet name="Base de mayores contables" sheetId="9" r:id="rId3"/>
    <sheet name="Hoja4" sheetId="5" state="hidden" r:id="rId4"/>
  </sheets>
  <definedNames>
    <definedName name="_xlnm._FilterDatabase" localSheetId="0" hidden="1">'130.06.01'!$R$52:$U$72</definedName>
  </definedNames>
  <calcPr calcId="191029"/>
  <pivotCaches>
    <pivotCache cacheId="30" r:id="rId5"/>
    <pivotCache cacheId="3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1" i="1" l="1"/>
  <c r="D109" i="1" l="1"/>
  <c r="F96" i="1"/>
  <c r="E99" i="1"/>
  <c r="R53" i="1"/>
  <c r="S53" i="1" s="1"/>
  <c r="T53" i="1" s="1"/>
  <c r="U53" i="1" s="1"/>
  <c r="K72" i="1"/>
  <c r="D93" i="1" l="1"/>
  <c r="D99" i="1" s="1"/>
  <c r="F97" i="1" l="1"/>
  <c r="F95" i="1"/>
  <c r="F94" i="1"/>
  <c r="F93" i="1"/>
  <c r="F84" i="1"/>
  <c r="D129" i="1" s="1"/>
  <c r="E84" i="1"/>
  <c r="D84" i="1"/>
  <c r="G82" i="1"/>
  <c r="G81" i="1"/>
  <c r="G80" i="1"/>
  <c r="G79" i="1"/>
  <c r="D120" i="1" l="1"/>
  <c r="D121" i="1" s="1"/>
  <c r="F99" i="1"/>
  <c r="G84" i="1"/>
  <c r="O72" i="1" l="1"/>
  <c r="R70" i="1" l="1"/>
  <c r="S70" i="1" s="1"/>
  <c r="T70" i="1" s="1"/>
  <c r="U70" i="1" s="1"/>
  <c r="R69" i="1"/>
  <c r="S69" i="1" s="1"/>
  <c r="T69" i="1" s="1"/>
  <c r="U69" i="1" s="1"/>
  <c r="R68" i="1"/>
  <c r="S68" i="1" s="1"/>
  <c r="T68" i="1" s="1"/>
  <c r="U68" i="1" s="1"/>
  <c r="R67" i="1"/>
  <c r="S67" i="1" s="1"/>
  <c r="T67" i="1" s="1"/>
  <c r="U67" i="1" s="1"/>
  <c r="R66" i="1"/>
  <c r="S66" i="1" s="1"/>
  <c r="T66" i="1" s="1"/>
  <c r="U66" i="1" s="1"/>
  <c r="R65" i="1"/>
  <c r="S65" i="1" s="1"/>
  <c r="T65" i="1" s="1"/>
  <c r="U65" i="1" s="1"/>
  <c r="R64" i="1"/>
  <c r="S64" i="1" s="1"/>
  <c r="T64" i="1" s="1"/>
  <c r="U64" i="1" s="1"/>
  <c r="R63" i="1"/>
  <c r="S63" i="1" s="1"/>
  <c r="T63" i="1" s="1"/>
  <c r="U63" i="1" s="1"/>
  <c r="R62" i="1"/>
  <c r="S62" i="1" s="1"/>
  <c r="T62" i="1" s="1"/>
  <c r="U62" i="1" s="1"/>
  <c r="R61" i="1"/>
  <c r="S61" i="1" s="1"/>
  <c r="T61" i="1" s="1"/>
  <c r="U61" i="1" s="1"/>
  <c r="R60" i="1"/>
  <c r="S60" i="1" s="1"/>
  <c r="T60" i="1" s="1"/>
  <c r="U60" i="1" s="1"/>
  <c r="R59" i="1"/>
  <c r="S59" i="1" s="1"/>
  <c r="T59" i="1" s="1"/>
  <c r="U59" i="1" s="1"/>
  <c r="R58" i="1"/>
  <c r="S58" i="1" s="1"/>
  <c r="T58" i="1" s="1"/>
  <c r="U58" i="1" s="1"/>
  <c r="R57" i="1"/>
  <c r="S57" i="1" s="1"/>
  <c r="T57" i="1" s="1"/>
  <c r="U57" i="1" s="1"/>
  <c r="R56" i="1"/>
  <c r="S56" i="1" s="1"/>
  <c r="T56" i="1" s="1"/>
  <c r="U56" i="1" s="1"/>
  <c r="R55" i="1"/>
  <c r="S55" i="1" s="1"/>
  <c r="T55" i="1" s="1"/>
  <c r="U55" i="1" s="1"/>
  <c r="R54" i="1"/>
  <c r="S54" i="1" s="1"/>
  <c r="T54" i="1" s="1"/>
  <c r="U54" i="1" s="1"/>
  <c r="U72" i="1" l="1"/>
  <c r="D111" i="1" s="1"/>
  <c r="D112" i="1" s="1"/>
</calcChain>
</file>

<file path=xl/sharedStrings.xml><?xml version="1.0" encoding="utf-8"?>
<sst xmlns="http://schemas.openxmlformats.org/spreadsheetml/2006/main" count="257" uniqueCount="137">
  <si>
    <t>Preparado por:</t>
  </si>
  <si>
    <t>Revisado por:</t>
  </si>
  <si>
    <t>Objetivo:</t>
  </si>
  <si>
    <t>Saldo</t>
  </si>
  <si>
    <t>Código de cliente</t>
  </si>
  <si>
    <t>Nombre del cliente</t>
  </si>
  <si>
    <t>Tipo</t>
  </si>
  <si>
    <t>Fecha de contabilización</t>
  </si>
  <si>
    <t>Fecha de vencimiento</t>
  </si>
  <si>
    <t>Número de referencia del SN</t>
  </si>
  <si>
    <t>VNA</t>
  </si>
  <si>
    <t>Deterioro</t>
  </si>
  <si>
    <t>Días por vencer</t>
  </si>
  <si>
    <t>T%</t>
  </si>
  <si>
    <t>Valor presente</t>
  </si>
  <si>
    <t xml:space="preserve">Fecha </t>
  </si>
  <si>
    <t>Comentario</t>
  </si>
  <si>
    <t>Total general</t>
  </si>
  <si>
    <t>Total</t>
  </si>
  <si>
    <t>Código</t>
  </si>
  <si>
    <t>(-) Interés implícito devengado</t>
  </si>
  <si>
    <t>Cuenta</t>
  </si>
  <si>
    <t>Mes</t>
  </si>
  <si>
    <t>Fecha</t>
  </si>
  <si>
    <t>Trans_id</t>
  </si>
  <si>
    <t>Debe</t>
  </si>
  <si>
    <t>Haber</t>
  </si>
  <si>
    <t>Movimiento</t>
  </si>
  <si>
    <t>Activos</t>
  </si>
  <si>
    <t>31/12/2022</t>
  </si>
  <si>
    <t>REG. INTERES IMPLICITO PERIODO 2022</t>
  </si>
  <si>
    <t>(-) Interés implícito devengado relacionados locales</t>
  </si>
  <si>
    <t>Reverso</t>
  </si>
  <si>
    <t>Saldo Inicial</t>
  </si>
  <si>
    <t xml:space="preserve">Adición </t>
  </si>
  <si>
    <t>Saldo Neto</t>
  </si>
  <si>
    <t>Suma de Saldo Neto</t>
  </si>
  <si>
    <t>[1]</t>
  </si>
  <si>
    <t>Diferencia</t>
  </si>
  <si>
    <t>Ingresos Operacionales</t>
  </si>
  <si>
    <t>Gastos Operacionales</t>
  </si>
  <si>
    <t>Suma de Movimiento</t>
  </si>
  <si>
    <t>[2]</t>
  </si>
  <si>
    <t xml:space="preserve">Contracuenta </t>
  </si>
  <si>
    <t xml:space="preserve">Activo </t>
  </si>
  <si>
    <t xml:space="preserve">Pasivo </t>
  </si>
  <si>
    <t>Tasas referenciales a diciembre 2022</t>
  </si>
  <si>
    <t>Ingreso</t>
  </si>
  <si>
    <t>Gasto</t>
  </si>
  <si>
    <t>COMPAÑÍA MODELO S.A.</t>
  </si>
  <si>
    <t xml:space="preserve">ANÁLISIS DEL COSTO AMORTIZADO </t>
  </si>
  <si>
    <t>Marcas de auditoría:</t>
  </si>
  <si>
    <t>Base de decisión: Materialidad</t>
  </si>
  <si>
    <t xml:space="preserve">Conclusión: </t>
  </si>
  <si>
    <t>a)</t>
  </si>
  <si>
    <t>b)</t>
  </si>
  <si>
    <t>c)</t>
  </si>
  <si>
    <t>d)</t>
  </si>
  <si>
    <t>Ref.</t>
  </si>
  <si>
    <t>General</t>
  </si>
  <si>
    <t>XXX.XXX</t>
  </si>
  <si>
    <t>Desempeño</t>
  </si>
  <si>
    <t>Errores Triviales</t>
  </si>
  <si>
    <t>Procedimientos:</t>
  </si>
  <si>
    <t>Sumatoria</t>
  </si>
  <si>
    <t>p/t 130</t>
  </si>
  <si>
    <t xml:space="preserve">Notas aclaratorias: </t>
  </si>
  <si>
    <t>XX</t>
  </si>
  <si>
    <t>AL 31 DE DICIEMBRE DE 20XX</t>
  </si>
  <si>
    <t>*** El número de filas depende las cuentas por cobrar que presenta la Compañía Modelo S.A.</t>
  </si>
  <si>
    <t>*** El formato depende del anexo entregado por la Compañía Modelo</t>
  </si>
  <si>
    <t>Preliminar</t>
  </si>
  <si>
    <t>Final</t>
  </si>
  <si>
    <t>Desarrollo:</t>
  </si>
  <si>
    <t>A</t>
  </si>
  <si>
    <t>B</t>
  </si>
  <si>
    <t>C</t>
  </si>
  <si>
    <t>Observaciones:</t>
  </si>
  <si>
    <t>Obs. 1</t>
  </si>
  <si>
    <t>Obs. 2</t>
  </si>
  <si>
    <t>Obs. 3</t>
  </si>
  <si>
    <t>Código cuenta contable</t>
  </si>
  <si>
    <t>Nombre cuenta contable</t>
  </si>
  <si>
    <t>Saldo según EEFF al _/_/20xx</t>
  </si>
  <si>
    <t>***(Concluir en base al objetivo)</t>
  </si>
  <si>
    <t>FECHA DE CORTE: _/_/20XX</t>
  </si>
  <si>
    <t>Según Estado Financiero al 31/12/202x (Año de revisión)</t>
  </si>
  <si>
    <t>Información proporcionada por el cliente</t>
  </si>
  <si>
    <t>Cálculos de Auditoría</t>
  </si>
  <si>
    <t>Tomado de mayores contables al 31/xx/20xx (Año de revisión)</t>
  </si>
  <si>
    <t>Según Estado Financiero al 31/12/202x (Año anterior)</t>
  </si>
  <si>
    <t>1.-</t>
  </si>
  <si>
    <t>2.-</t>
  </si>
  <si>
    <t>4.-</t>
  </si>
  <si>
    <t>5.-</t>
  </si>
  <si>
    <t>6.-</t>
  </si>
  <si>
    <t>Interés implícito</t>
  </si>
  <si>
    <t>Saldo según detalle</t>
  </si>
  <si>
    <t>XXX</t>
  </si>
  <si>
    <t>Tasa utilizada</t>
  </si>
  <si>
    <t xml:space="preserve">Recálculo del interés implícito </t>
  </si>
  <si>
    <t>Validar la exactitud del saldo registrado en el interés implícito de las cuentas por cobrar al _/_/20XX.</t>
  </si>
  <si>
    <t xml:space="preserve">Documentar en el papel de trabajo y concluir en base al objetivo. </t>
  </si>
  <si>
    <t>Movimiento costo amortizado</t>
  </si>
  <si>
    <t>4) Cruce ingreso costo amortizado vs estado de resultados</t>
  </si>
  <si>
    <t>pt/1600.XX</t>
  </si>
  <si>
    <t>p/t 1500.XX</t>
  </si>
  <si>
    <t>3) Cruce gasto costo amortizado vs estado de resultados</t>
  </si>
  <si>
    <t>[3]</t>
  </si>
  <si>
    <t>Análisis de la tasa de descuento utlizada por la Compañía</t>
  </si>
  <si>
    <t xml:space="preserve">Validar que la tasa de descueto utilizada por la Compañía sea adecuada. </t>
  </si>
  <si>
    <t>Identificar las cuentas que no constan en el detalle de costo amortizado proporcionado por la compañía y las que no están en el detalle de cuentas por cobrar consolidado al _/_/20XX.</t>
  </si>
  <si>
    <t>Nro.  documento</t>
  </si>
  <si>
    <t>Días cálculo</t>
  </si>
  <si>
    <t>Tasa diaria</t>
  </si>
  <si>
    <r>
      <rPr>
        <b/>
        <sz val="8"/>
        <color rgb="FF002060"/>
        <rFont val="Tahoma"/>
        <family val="2"/>
      </rPr>
      <t>¿</t>
    </r>
    <r>
      <rPr>
        <b/>
        <sz val="10"/>
        <color rgb="FF002060"/>
        <rFont val="Tahoma"/>
        <family val="2"/>
      </rPr>
      <t>Es adecuada?</t>
    </r>
  </si>
  <si>
    <t>Cruce con estados financieros</t>
  </si>
  <si>
    <t>Conciliar con el detalle proporcionado por la compañía con estados financieros al _/_/20XX.</t>
  </si>
  <si>
    <t>3.-</t>
  </si>
  <si>
    <t>p/t 130.06.01</t>
  </si>
  <si>
    <r>
      <t>***</t>
    </r>
    <r>
      <rPr>
        <b/>
        <sz val="10"/>
        <color rgb="FFFF0000"/>
        <rFont val="Tahoma"/>
        <family val="2"/>
      </rPr>
      <t>Nota</t>
    </r>
    <r>
      <rPr>
        <sz val="10"/>
        <color rgb="FFFF0000"/>
        <rFont val="Tahoma"/>
        <family val="2"/>
      </rPr>
      <t>: El auditor selecciona la tasa de descuento tras la evaluación a la tasa de descuento utilizada por la Compañía. Una de las fuentes a considerarse es el BCE.</t>
    </r>
  </si>
  <si>
    <t>Verificaciones:</t>
  </si>
  <si>
    <t xml:space="preserve">Tasa referencial </t>
  </si>
  <si>
    <t>130.06.01</t>
  </si>
  <si>
    <t>Solicitar a la Compañía el detalle del cálculo del interes implícito de las cuentas por cobrar al _/_/20XX.</t>
  </si>
  <si>
    <r>
      <t xml:space="preserve">Hacer un recálculo del interés implícito trayendo a valor presente el saldo de las cuentas por cobrar al _/_/20XX. Según tasa de descuento definina en </t>
    </r>
    <r>
      <rPr>
        <b/>
        <sz val="10"/>
        <color rgb="FFFF0000"/>
        <rFont val="Tahoma"/>
        <family val="2"/>
      </rPr>
      <t>p/t 130.06.02</t>
    </r>
  </si>
  <si>
    <t>Sí</t>
  </si>
  <si>
    <t>No</t>
  </si>
  <si>
    <t>_/_/20xx</t>
  </si>
  <si>
    <t>Saldo según recálculo</t>
  </si>
  <si>
    <t>Saldo según movimiento</t>
  </si>
  <si>
    <t>Saldo según movimiento CXC</t>
  </si>
  <si>
    <t>Saldo según movimiento CXP</t>
  </si>
  <si>
    <t>***Referenciar con el papel del análisis del costo amortizado en las cuentas por pagar</t>
  </si>
  <si>
    <t>***Incluir base de mayores contables de las cuentas de interés implícito</t>
  </si>
  <si>
    <t>1) Cruce saldos del detalle vs estado de situación financiera</t>
  </si>
  <si>
    <t>2) Cruce recálculo interés implícito vs estado de situación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</si>
</sst>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3"/>
      <name val="Tahoma"/>
      <family val="2"/>
    </font>
    <font>
      <b/>
      <sz val="10"/>
      <color theme="8" tint="-0.499984740745262"/>
      <name val="Tahoma"/>
      <family val="2"/>
    </font>
    <font>
      <sz val="11"/>
      <color indexed="8"/>
      <name val="Calibri"/>
      <family val="2"/>
    </font>
    <font>
      <sz val="10"/>
      <color rgb="FF000000"/>
      <name val="Tahoma"/>
      <family val="2"/>
    </font>
    <font>
      <b/>
      <sz val="10"/>
      <color rgb="FF002060"/>
      <name val="Tahoma"/>
      <family val="2"/>
    </font>
    <font>
      <sz val="10"/>
      <color theme="1"/>
      <name val="Calibri"/>
      <family val="2"/>
      <charset val="238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charset val="238"/>
    </font>
    <font>
      <sz val="10"/>
      <color rgb="FFFF0000"/>
      <name val="Tahoma"/>
      <family val="2"/>
    </font>
    <font>
      <sz val="10"/>
      <color theme="4" tint="-0.249977111117893"/>
      <name val="Tahoma"/>
      <family val="2"/>
    </font>
    <font>
      <sz val="10"/>
      <color rgb="FF0000FF"/>
      <name val="Tahoma"/>
      <family val="2"/>
    </font>
    <font>
      <i/>
      <sz val="10"/>
      <color theme="1"/>
      <name val="Tahoma"/>
      <family val="2"/>
    </font>
    <font>
      <b/>
      <u/>
      <sz val="10"/>
      <color rgb="FF0000FF"/>
      <name val="Tahoma"/>
      <family val="2"/>
    </font>
    <font>
      <b/>
      <sz val="10"/>
      <color rgb="FF0000FF"/>
      <name val="Tahoma"/>
      <family val="2"/>
    </font>
    <font>
      <b/>
      <sz val="10"/>
      <name val="Tahoma"/>
      <family val="2"/>
    </font>
    <font>
      <u/>
      <sz val="10"/>
      <name val="Tahoma"/>
      <family val="2"/>
    </font>
    <font>
      <sz val="10"/>
      <color theme="0"/>
      <name val="Tahoma"/>
      <family val="2"/>
    </font>
    <font>
      <b/>
      <sz val="8"/>
      <color rgb="FF00206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</cellStyleXfs>
  <cellXfs count="144">
    <xf numFmtId="0" fontId="0" fillId="0" borderId="0" xfId="0"/>
    <xf numFmtId="0" fontId="2" fillId="2" borderId="0" xfId="0" applyFont="1" applyFill="1"/>
    <xf numFmtId="0" fontId="6" fillId="2" borderId="0" xfId="4" applyFont="1" applyFill="1"/>
    <xf numFmtId="0" fontId="6" fillId="2" borderId="0" xfId="4" applyFont="1" applyFill="1" applyAlignment="1">
      <alignment horizontal="center" vertical="center"/>
    </xf>
    <xf numFmtId="0" fontId="8" fillId="2" borderId="0" xfId="6" applyFont="1" applyFill="1" applyAlignment="1">
      <alignment vertical="center"/>
    </xf>
    <xf numFmtId="0" fontId="4" fillId="2" borderId="0" xfId="3" applyFont="1" applyFill="1" applyAlignment="1" applyProtection="1">
      <alignment horizontal="left" vertical="center"/>
      <protection hidden="1"/>
    </xf>
    <xf numFmtId="0" fontId="9" fillId="2" borderId="0" xfId="3" applyFont="1" applyFill="1" applyAlignment="1" applyProtection="1">
      <alignment horizontal="left" vertical="center"/>
      <protection hidden="1"/>
    </xf>
    <xf numFmtId="0" fontId="4" fillId="2" borderId="3" xfId="3" applyFont="1" applyFill="1" applyBorder="1" applyAlignment="1" applyProtection="1">
      <alignment horizontal="left" vertical="center"/>
      <protection hidden="1"/>
    </xf>
    <xf numFmtId="0" fontId="11" fillId="2" borderId="0" xfId="5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6" fillId="2" borderId="0" xfId="5" applyFont="1" applyFill="1"/>
    <xf numFmtId="0" fontId="11" fillId="2" borderId="0" xfId="5" applyFont="1" applyFill="1"/>
    <xf numFmtId="0" fontId="11" fillId="2" borderId="0" xfId="5" applyFont="1" applyFill="1" applyAlignment="1">
      <alignment horizontal="left" wrapText="1"/>
    </xf>
    <xf numFmtId="0" fontId="6" fillId="2" borderId="0" xfId="7" applyFont="1" applyFill="1"/>
    <xf numFmtId="0" fontId="2" fillId="2" borderId="0" xfId="5" applyFont="1" applyFill="1"/>
    <xf numFmtId="14" fontId="2" fillId="2" borderId="0" xfId="0" applyNumberFormat="1" applyFont="1" applyFill="1"/>
    <xf numFmtId="14" fontId="8" fillId="2" borderId="0" xfId="6" applyNumberFormat="1" applyFont="1" applyFill="1" applyAlignment="1">
      <alignment vertical="center"/>
    </xf>
    <xf numFmtId="0" fontId="2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4" fontId="2" fillId="0" borderId="0" xfId="0" applyNumberFormat="1" applyFont="1"/>
    <xf numFmtId="0" fontId="12" fillId="0" borderId="0" xfId="0" applyFont="1"/>
    <xf numFmtId="0" fontId="13" fillId="0" borderId="0" xfId="0" applyFont="1"/>
    <xf numFmtId="0" fontId="4" fillId="2" borderId="0" xfId="0" applyFont="1" applyFill="1"/>
    <xf numFmtId="0" fontId="14" fillId="3" borderId="4" xfId="0" applyFont="1" applyFill="1" applyBorder="1" applyAlignment="1">
      <alignment horizontal="center" vertical="center"/>
    </xf>
    <xf numFmtId="14" fontId="14" fillId="3" borderId="4" xfId="0" applyNumberFormat="1" applyFont="1" applyFill="1" applyBorder="1" applyAlignment="1">
      <alignment horizontal="center" vertical="center"/>
    </xf>
    <xf numFmtId="43" fontId="14" fillId="3" borderId="4" xfId="0" applyNumberFormat="1" applyFont="1" applyFill="1" applyBorder="1" applyAlignment="1">
      <alignment horizontal="center" vertical="center"/>
    </xf>
    <xf numFmtId="165" fontId="13" fillId="0" borderId="0" xfId="0" applyNumberFormat="1" applyFont="1"/>
    <xf numFmtId="43" fontId="14" fillId="3" borderId="0" xfId="0" applyNumberFormat="1" applyFont="1" applyFill="1" applyBorder="1" applyAlignment="1">
      <alignment horizontal="center" vertical="center"/>
    </xf>
    <xf numFmtId="0" fontId="15" fillId="0" borderId="0" xfId="0" applyFont="1"/>
    <xf numFmtId="43" fontId="15" fillId="0" borderId="0" xfId="0" applyNumberFormat="1" applyFont="1"/>
    <xf numFmtId="0" fontId="2" fillId="0" borderId="0" xfId="0" applyFont="1" applyFill="1"/>
    <xf numFmtId="14" fontId="2" fillId="0" borderId="0" xfId="0" applyNumberFormat="1" applyFont="1" applyFill="1"/>
    <xf numFmtId="0" fontId="4" fillId="0" borderId="0" xfId="0" applyFont="1"/>
    <xf numFmtId="0" fontId="16" fillId="0" borderId="0" xfId="0" applyFont="1"/>
    <xf numFmtId="0" fontId="6" fillId="2" borderId="0" xfId="0" applyFont="1" applyFill="1"/>
    <xf numFmtId="0" fontId="17" fillId="2" borderId="0" xfId="0" applyFont="1" applyFill="1"/>
    <xf numFmtId="164" fontId="6" fillId="2" borderId="0" xfId="1" applyNumberFormat="1" applyFont="1" applyFill="1"/>
    <xf numFmtId="0" fontId="16" fillId="2" borderId="0" xfId="0" applyFont="1" applyFill="1" applyAlignment="1">
      <alignment horizontal="left"/>
    </xf>
    <xf numFmtId="43" fontId="16" fillId="2" borderId="0" xfId="1" applyFont="1" applyFill="1" applyAlignment="1">
      <alignment horizontal="right"/>
    </xf>
    <xf numFmtId="3" fontId="16" fillId="2" borderId="0" xfId="1" applyNumberFormat="1" applyFont="1" applyFill="1" applyBorder="1"/>
    <xf numFmtId="0" fontId="16" fillId="0" borderId="0" xfId="0" applyFont="1" applyBorder="1"/>
    <xf numFmtId="0" fontId="7" fillId="0" borderId="0" xfId="0" applyFont="1" applyAlignment="1">
      <alignment horizontal="center"/>
    </xf>
    <xf numFmtId="164" fontId="4" fillId="0" borderId="5" xfId="0" applyNumberFormat="1" applyFont="1" applyBorder="1"/>
    <xf numFmtId="0" fontId="18" fillId="2" borderId="0" xfId="0" applyFont="1" applyFill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14" fontId="2" fillId="0" borderId="0" xfId="0" applyNumberFormat="1" applyFont="1" applyBorder="1"/>
    <xf numFmtId="164" fontId="2" fillId="0" borderId="0" xfId="1" applyNumberFormat="1" applyFont="1" applyBorder="1"/>
    <xf numFmtId="9" fontId="2" fillId="0" borderId="0" xfId="2" applyFont="1" applyBorder="1"/>
    <xf numFmtId="164" fontId="2" fillId="0" borderId="0" xfId="0" applyNumberFormat="1" applyFont="1"/>
    <xf numFmtId="0" fontId="16" fillId="0" borderId="0" xfId="0" applyFont="1" applyAlignment="1">
      <alignment horizontal="right"/>
    </xf>
    <xf numFmtId="0" fontId="4" fillId="0" borderId="0" xfId="0" applyFont="1" applyFill="1"/>
    <xf numFmtId="0" fontId="6" fillId="0" borderId="0" xfId="0" applyFont="1" applyFill="1"/>
    <xf numFmtId="0" fontId="7" fillId="0" borderId="0" xfId="0" applyFont="1" applyFill="1" applyAlignment="1">
      <alignment horizontal="center"/>
    </xf>
    <xf numFmtId="0" fontId="19" fillId="0" borderId="0" xfId="0" applyFont="1"/>
    <xf numFmtId="0" fontId="17" fillId="0" borderId="0" xfId="0" applyFont="1"/>
    <xf numFmtId="0" fontId="2" fillId="0" borderId="2" xfId="0" applyFont="1" applyBorder="1"/>
    <xf numFmtId="164" fontId="16" fillId="0" borderId="0" xfId="1" applyNumberFormat="1" applyFont="1"/>
    <xf numFmtId="3" fontId="2" fillId="0" borderId="0" xfId="0" applyNumberFormat="1" applyFont="1"/>
    <xf numFmtId="0" fontId="7" fillId="0" borderId="0" xfId="0" applyFont="1" applyAlignment="1">
      <alignment horizontal="right"/>
    </xf>
    <xf numFmtId="3" fontId="11" fillId="0" borderId="0" xfId="0" applyNumberFormat="1" applyFont="1" applyAlignment="1">
      <alignment horizontal="right" vertical="center" wrapText="1"/>
    </xf>
    <xf numFmtId="14" fontId="7" fillId="0" borderId="0" xfId="0" applyNumberFormat="1" applyFont="1" applyFill="1" applyAlignment="1">
      <alignment horizontal="center"/>
    </xf>
    <xf numFmtId="0" fontId="12" fillId="2" borderId="0" xfId="3" applyFont="1" applyFill="1" applyAlignment="1" applyProtection="1">
      <alignment horizontal="left" vertical="center"/>
      <protection hidden="1"/>
    </xf>
    <xf numFmtId="164" fontId="16" fillId="2" borderId="0" xfId="1" applyNumberFormat="1" applyFont="1" applyFill="1" applyBorder="1"/>
    <xf numFmtId="0" fontId="20" fillId="0" borderId="0" xfId="0" applyFont="1"/>
    <xf numFmtId="0" fontId="16" fillId="0" borderId="0" xfId="0" applyFont="1" applyFill="1"/>
    <xf numFmtId="0" fontId="12" fillId="2" borderId="0" xfId="3" applyFont="1" applyFill="1" applyBorder="1" applyAlignment="1" applyProtection="1">
      <alignment horizontal="left" vertical="center"/>
      <protection hidden="1"/>
    </xf>
    <xf numFmtId="0" fontId="9" fillId="2" borderId="0" xfId="3" applyFont="1" applyFill="1" applyBorder="1" applyAlignment="1" applyProtection="1">
      <alignment horizontal="left" vertical="center"/>
      <protection hidden="1"/>
    </xf>
    <xf numFmtId="0" fontId="12" fillId="4" borderId="1" xfId="0" applyFont="1" applyFill="1" applyBorder="1" applyAlignment="1" applyProtection="1">
      <alignment horizontal="center" vertical="center"/>
      <protection hidden="1"/>
    </xf>
    <xf numFmtId="0" fontId="12" fillId="4" borderId="2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/>
    <xf numFmtId="164" fontId="2" fillId="0" borderId="2" xfId="1" applyNumberFormat="1" applyFont="1" applyBorder="1"/>
    <xf numFmtId="9" fontId="2" fillId="0" borderId="2" xfId="2" applyFont="1" applyBorder="1"/>
    <xf numFmtId="164" fontId="2" fillId="0" borderId="2" xfId="1" applyNumberFormat="1" applyFont="1" applyFill="1" applyBorder="1"/>
    <xf numFmtId="0" fontId="2" fillId="0" borderId="0" xfId="0" applyFont="1" applyFill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164" fontId="4" fillId="0" borderId="5" xfId="1" applyNumberFormat="1" applyFont="1" applyBorder="1"/>
    <xf numFmtId="0" fontId="21" fillId="2" borderId="0" xfId="0" applyFont="1" applyFill="1" applyAlignment="1">
      <alignment horizontal="center" vertical="center"/>
    </xf>
    <xf numFmtId="164" fontId="6" fillId="0" borderId="2" xfId="1" applyNumberFormat="1" applyFont="1" applyFill="1" applyBorder="1"/>
    <xf numFmtId="164" fontId="6" fillId="0" borderId="2" xfId="1" applyNumberFormat="1" applyFont="1" applyBorder="1"/>
    <xf numFmtId="164" fontId="4" fillId="2" borderId="5" xfId="1" applyNumberFormat="1" applyFont="1" applyFill="1" applyBorder="1"/>
    <xf numFmtId="0" fontId="4" fillId="0" borderId="0" xfId="0" applyFont="1" applyBorder="1"/>
    <xf numFmtId="0" fontId="6" fillId="2" borderId="2" xfId="0" applyFont="1" applyFill="1" applyBorder="1"/>
    <xf numFmtId="164" fontId="6" fillId="2" borderId="2" xfId="1" applyNumberFormat="1" applyFont="1" applyFill="1" applyBorder="1"/>
    <xf numFmtId="0" fontId="6" fillId="2" borderId="0" xfId="0" applyFont="1" applyFill="1" applyBorder="1"/>
    <xf numFmtId="164" fontId="6" fillId="2" borderId="0" xfId="1" applyNumberFormat="1" applyFont="1" applyFill="1" applyBorder="1"/>
    <xf numFmtId="0" fontId="21" fillId="2" borderId="0" xfId="0" applyFont="1" applyFill="1" applyAlignment="1">
      <alignment horizontal="left"/>
    </xf>
    <xf numFmtId="164" fontId="2" fillId="0" borderId="6" xfId="1" applyNumberFormat="1" applyFont="1" applyFill="1" applyBorder="1"/>
    <xf numFmtId="0" fontId="4" fillId="2" borderId="0" xfId="3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Alignment="1">
      <alignment horizontal="left" vertical="top"/>
    </xf>
    <xf numFmtId="0" fontId="16" fillId="0" borderId="2" xfId="0" applyFont="1" applyBorder="1"/>
    <xf numFmtId="0" fontId="12" fillId="5" borderId="2" xfId="0" applyFont="1" applyFill="1" applyBorder="1" applyAlignment="1">
      <alignment horizontal="center" vertical="center" wrapText="1"/>
    </xf>
    <xf numFmtId="164" fontId="2" fillId="0" borderId="6" xfId="1" applyNumberFormat="1" applyFont="1" applyBorder="1"/>
    <xf numFmtId="164" fontId="6" fillId="0" borderId="6" xfId="1" applyNumberFormat="1" applyFont="1" applyBorder="1"/>
    <xf numFmtId="3" fontId="2" fillId="0" borderId="0" xfId="0" applyNumberFormat="1" applyFont="1" applyAlignment="1">
      <alignment horizontal="right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1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43" fontId="7" fillId="6" borderId="0" xfId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2" xfId="0" quotePrefix="1" applyFont="1" applyBorder="1" applyAlignment="1">
      <alignment horizontal="center"/>
    </xf>
    <xf numFmtId="0" fontId="4" fillId="2" borderId="0" xfId="5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Border="1" applyAlignment="1">
      <alignment horizontal="center" vertical="center" wrapText="1"/>
    </xf>
    <xf numFmtId="0" fontId="16" fillId="2" borderId="0" xfId="0" applyFont="1" applyFill="1" applyAlignment="1" applyProtection="1">
      <alignment horizontal="center" vertical="center"/>
      <protection hidden="1"/>
    </xf>
    <xf numFmtId="0" fontId="6" fillId="0" borderId="2" xfId="5" applyFont="1" applyBorder="1" applyAlignment="1">
      <alignment horizontal="center"/>
    </xf>
    <xf numFmtId="0" fontId="23" fillId="2" borderId="0" xfId="8" applyFont="1" applyFill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1" xfId="0" applyFont="1" applyFill="1" applyBorder="1"/>
    <xf numFmtId="0" fontId="2" fillId="2" borderId="2" xfId="5" applyFont="1" applyFill="1" applyBorder="1" applyAlignment="1" applyProtection="1">
      <alignment horizontal="center" vertical="center"/>
      <protection hidden="1"/>
    </xf>
    <xf numFmtId="0" fontId="2" fillId="6" borderId="2" xfId="9" applyFont="1" applyFill="1" applyBorder="1" applyAlignment="1">
      <alignment horizontal="center" vertical="center" wrapText="1"/>
    </xf>
    <xf numFmtId="0" fontId="22" fillId="2" borderId="0" xfId="0" applyFont="1" applyFill="1"/>
    <xf numFmtId="0" fontId="12" fillId="0" borderId="0" xfId="0" applyFont="1" applyFill="1" applyAlignment="1">
      <alignment horizontal="left" vertical="top"/>
    </xf>
    <xf numFmtId="0" fontId="2" fillId="2" borderId="0" xfId="0" applyFont="1" applyFill="1" applyBorder="1"/>
    <xf numFmtId="0" fontId="2" fillId="0" borderId="2" xfId="1" applyNumberFormat="1" applyFont="1" applyBorder="1"/>
    <xf numFmtId="164" fontId="2" fillId="0" borderId="2" xfId="0" applyNumberFormat="1" applyFont="1" applyBorder="1"/>
    <xf numFmtId="49" fontId="2" fillId="0" borderId="2" xfId="0" applyNumberFormat="1" applyFont="1" applyBorder="1" applyAlignment="1">
      <alignment horizontal="center" vertical="center"/>
    </xf>
    <xf numFmtId="0" fontId="12" fillId="2" borderId="0" xfId="5" applyFont="1" applyFill="1"/>
    <xf numFmtId="0" fontId="22" fillId="2" borderId="0" xfId="5" applyFont="1" applyFill="1"/>
    <xf numFmtId="164" fontId="4" fillId="0" borderId="6" xfId="1" applyNumberFormat="1" applyFont="1" applyBorder="1"/>
    <xf numFmtId="164" fontId="2" fillId="0" borderId="0" xfId="0" applyNumberFormat="1" applyFont="1" applyBorder="1"/>
    <xf numFmtId="0" fontId="24" fillId="2" borderId="0" xfId="0" applyFont="1" applyFill="1"/>
    <xf numFmtId="0" fontId="22" fillId="0" borderId="0" xfId="0" applyFont="1" applyFill="1"/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>
      <alignment horizontal="left"/>
    </xf>
    <xf numFmtId="0" fontId="7" fillId="0" borderId="0" xfId="0" applyFont="1" applyFill="1"/>
    <xf numFmtId="43" fontId="7" fillId="2" borderId="0" xfId="1" applyFont="1" applyFill="1" applyAlignment="1">
      <alignment horizontal="right"/>
    </xf>
    <xf numFmtId="164" fontId="7" fillId="0" borderId="5" xfId="1" applyNumberFormat="1" applyFont="1" applyBorder="1"/>
    <xf numFmtId="164" fontId="7" fillId="2" borderId="5" xfId="1" applyNumberFormat="1" applyFont="1" applyFill="1" applyBorder="1"/>
    <xf numFmtId="0" fontId="2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6" fillId="2" borderId="0" xfId="0" applyFont="1" applyFill="1" applyBorder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12" fillId="7" borderId="1" xfId="0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</cellXfs>
  <cellStyles count="10">
    <cellStyle name="Millares" xfId="1" builtinId="3"/>
    <cellStyle name="Normal" xfId="0" builtinId="0"/>
    <cellStyle name="Normal 2 10" xfId="5" xr:uid="{8A8119CB-E92E-4671-886F-2A19ED3E012C}"/>
    <cellStyle name="Normal 2 2" xfId="9" xr:uid="{506274A8-B93B-4E77-956A-B5D1F142B0A5}"/>
    <cellStyle name="Normal 2 3 2 5" xfId="4" xr:uid="{327B9196-B006-4ED2-A632-B769488C842F}"/>
    <cellStyle name="Normal 3 2" xfId="6" xr:uid="{3E485012-EF5A-40B0-8C71-CDFF82A9196D}"/>
    <cellStyle name="Normal 7" xfId="3" xr:uid="{331277D0-4655-49C4-9DC8-095BCF94753B}"/>
    <cellStyle name="Normal_2102 Sumaria de Efectivo y Equivalentes" xfId="7" xr:uid="{82A8A812-ECB8-415A-9E3F-2A3FBD5E0B9E}"/>
    <cellStyle name="Normal_2102.1.1 Analisis de Partidas Conciliatorias" xfId="8" xr:uid="{4F600EFC-CE25-4850-AAFA-485EBF4319E1}"/>
    <cellStyle name="Porcentaje" xfId="2" builtinId="5"/>
  </cellStyles>
  <dxfs count="1"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373062</xdr:colOff>
      <xdr:row>50</xdr:row>
      <xdr:rowOff>71438</xdr:rowOff>
    </xdr:from>
    <xdr:to>
      <xdr:col>15</xdr:col>
      <xdr:colOff>1409700</xdr:colOff>
      <xdr:row>50</xdr:row>
      <xdr:rowOff>85725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EE010E88-D5D9-415F-9AA5-8C858B4059D4}"/>
            </a:ext>
          </a:extLst>
        </xdr:cNvPr>
        <xdr:cNvCxnSpPr/>
      </xdr:nvCxnSpPr>
      <xdr:spPr>
        <a:xfrm>
          <a:off x="809625" y="4865688"/>
          <a:ext cx="19245263" cy="142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214312</xdr:colOff>
      <xdr:row>76</xdr:row>
      <xdr:rowOff>71437</xdr:rowOff>
    </xdr:from>
    <xdr:to>
      <xdr:col>5</xdr:col>
      <xdr:colOff>1176312</xdr:colOff>
      <xdr:row>76</xdr:row>
      <xdr:rowOff>71438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113E5C02-D8E3-46DA-B7E1-12240F786315}"/>
            </a:ext>
          </a:extLst>
        </xdr:cNvPr>
        <xdr:cNvCxnSpPr/>
      </xdr:nvCxnSpPr>
      <xdr:spPr>
        <a:xfrm flipV="1">
          <a:off x="5222875" y="10747375"/>
          <a:ext cx="2232000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285750</xdr:colOff>
      <xdr:row>50</xdr:row>
      <xdr:rowOff>85725</xdr:rowOff>
    </xdr:from>
    <xdr:to>
      <xdr:col>21</xdr:col>
      <xdr:colOff>0</xdr:colOff>
      <xdr:row>50</xdr:row>
      <xdr:rowOff>87313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3E4C0D50-184F-4350-BAE5-EDC9C54F60BD}"/>
            </a:ext>
          </a:extLst>
        </xdr:cNvPr>
        <xdr:cNvCxnSpPr/>
      </xdr:nvCxnSpPr>
      <xdr:spPr>
        <a:xfrm flipV="1">
          <a:off x="21740813" y="7983538"/>
          <a:ext cx="4460875" cy="15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15880</xdr:colOff>
      <xdr:row>49</xdr:row>
      <xdr:rowOff>79371</xdr:rowOff>
    </xdr:from>
    <xdr:ext cx="211297" cy="211297"/>
    <xdr:pic>
      <xdr:nvPicPr>
        <xdr:cNvPr id="6" name="Imagen 5">
          <a:extLst>
            <a:ext uri="{FF2B5EF4-FFF2-40B4-BE49-F238E27FC236}">
              <a16:creationId xmlns:a16="http://schemas.microsoft.com/office/drawing/2014/main" id="{96BA627D-ECA1-4AB2-80AC-8A4AD2C74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5" y="619918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17</xdr:col>
      <xdr:colOff>31752</xdr:colOff>
      <xdr:row>49</xdr:row>
      <xdr:rowOff>126998</xdr:rowOff>
    </xdr:from>
    <xdr:to>
      <xdr:col>17</xdr:col>
      <xdr:colOff>243049</xdr:colOff>
      <xdr:row>51</xdr:row>
      <xdr:rowOff>20795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016771C-EB3C-477A-BFC9-CF5E5295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7815" y="548481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261943</xdr:colOff>
      <xdr:row>135</xdr:row>
      <xdr:rowOff>23814</xdr:rowOff>
    </xdr:from>
    <xdr:ext cx="174625" cy="174625"/>
    <xdr:pic>
      <xdr:nvPicPr>
        <xdr:cNvPr id="9" name="Imagen 8">
          <a:extLst>
            <a:ext uri="{FF2B5EF4-FFF2-40B4-BE49-F238E27FC236}">
              <a16:creationId xmlns:a16="http://schemas.microsoft.com/office/drawing/2014/main" id="{B3F7EBB4-32D3-4336-955B-1277089B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43" y="100322064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261938</xdr:colOff>
      <xdr:row>136</xdr:row>
      <xdr:rowOff>47625</xdr:rowOff>
    </xdr:from>
    <xdr:to>
      <xdr:col>1</xdr:col>
      <xdr:colOff>0</xdr:colOff>
      <xdr:row>137</xdr:row>
      <xdr:rowOff>63500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A7F825C-71EE-4577-BA9A-20D7FBE14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8" y="10052050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255351</xdr:colOff>
      <xdr:row>137</xdr:row>
      <xdr:rowOff>41031</xdr:rowOff>
    </xdr:from>
    <xdr:to>
      <xdr:col>0</xdr:col>
      <xdr:colOff>419349</xdr:colOff>
      <xdr:row>138</xdr:row>
      <xdr:rowOff>46279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78B0FE1-38EF-40FC-8CCB-828DE87A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351" y="100521844"/>
          <a:ext cx="163998" cy="163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1103327</xdr:colOff>
      <xdr:row>71</xdr:row>
      <xdr:rowOff>15877</xdr:rowOff>
    </xdr:from>
    <xdr:ext cx="174625" cy="174625"/>
    <xdr:pic>
      <xdr:nvPicPr>
        <xdr:cNvPr id="14" name="Imagen 13">
          <a:extLst>
            <a:ext uri="{FF2B5EF4-FFF2-40B4-BE49-F238E27FC236}">
              <a16:creationId xmlns:a16="http://schemas.microsoft.com/office/drawing/2014/main" id="{0EFE4980-1DCB-4B59-8671-7AB0043FB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2827" y="8719344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777881</xdr:colOff>
      <xdr:row>71</xdr:row>
      <xdr:rowOff>23813</xdr:rowOff>
    </xdr:from>
    <xdr:ext cx="174625" cy="174625"/>
    <xdr:pic>
      <xdr:nvPicPr>
        <xdr:cNvPr id="15" name="Imagen 14">
          <a:extLst>
            <a:ext uri="{FF2B5EF4-FFF2-40B4-BE49-F238E27FC236}">
              <a16:creationId xmlns:a16="http://schemas.microsoft.com/office/drawing/2014/main" id="{0888962C-F2F6-4CAD-B2FC-40DE00565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47506" y="11318876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254005</xdr:colOff>
      <xdr:row>138</xdr:row>
      <xdr:rowOff>31747</xdr:rowOff>
    </xdr:from>
    <xdr:ext cx="158750" cy="158750"/>
    <xdr:pic>
      <xdr:nvPicPr>
        <xdr:cNvPr id="16" name="Imagen 15">
          <a:extLst>
            <a:ext uri="{FF2B5EF4-FFF2-40B4-BE49-F238E27FC236}">
              <a16:creationId xmlns:a16="http://schemas.microsoft.com/office/drawing/2014/main" id="{AF7FA983-542E-4DCE-B5B3-8E9B76B81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5" y="23066372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1246187</xdr:colOff>
      <xdr:row>75</xdr:row>
      <xdr:rowOff>119063</xdr:rowOff>
    </xdr:from>
    <xdr:to>
      <xdr:col>4</xdr:col>
      <xdr:colOff>156187</xdr:colOff>
      <xdr:row>76</xdr:row>
      <xdr:rowOff>140313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0031503-86D8-44F4-AC4A-224228CC7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4750" y="10636251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1855787</xdr:colOff>
      <xdr:row>108</xdr:row>
      <xdr:rowOff>15875</xdr:rowOff>
    </xdr:from>
    <xdr:ext cx="158750" cy="158750"/>
    <xdr:pic>
      <xdr:nvPicPr>
        <xdr:cNvPr id="20" name="Imagen 19">
          <a:extLst>
            <a:ext uri="{FF2B5EF4-FFF2-40B4-BE49-F238E27FC236}">
              <a16:creationId xmlns:a16="http://schemas.microsoft.com/office/drawing/2014/main" id="{3328DD7A-4E98-4BCC-85D0-615986AD4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1100" y="17787938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1841500</xdr:colOff>
      <xdr:row>98</xdr:row>
      <xdr:rowOff>31750</xdr:rowOff>
    </xdr:from>
    <xdr:ext cx="158750" cy="158750"/>
    <xdr:pic>
      <xdr:nvPicPr>
        <xdr:cNvPr id="21" name="Imagen 20">
          <a:extLst>
            <a:ext uri="{FF2B5EF4-FFF2-40B4-BE49-F238E27FC236}">
              <a16:creationId xmlns:a16="http://schemas.microsoft.com/office/drawing/2014/main" id="{47A9751C-E25F-4BF7-B5A9-898C7834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4063" y="91955938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515935</xdr:colOff>
      <xdr:row>75</xdr:row>
      <xdr:rowOff>111125</xdr:rowOff>
    </xdr:from>
    <xdr:to>
      <xdr:col>3</xdr:col>
      <xdr:colOff>695935</xdr:colOff>
      <xdr:row>76</xdr:row>
      <xdr:rowOff>132375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ED4F6F4-F829-4745-9EBE-832048836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48" y="12057063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254000</xdr:colOff>
      <xdr:row>139</xdr:row>
      <xdr:rowOff>15873</xdr:rowOff>
    </xdr:from>
    <xdr:to>
      <xdr:col>0</xdr:col>
      <xdr:colOff>412750</xdr:colOff>
      <xdr:row>140</xdr:row>
      <xdr:rowOff>15873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CC9D512-4E38-405E-AF88-95E3BD8BF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23209248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349248</xdr:colOff>
      <xdr:row>47</xdr:row>
      <xdr:rowOff>269874</xdr:rowOff>
    </xdr:from>
    <xdr:to>
      <xdr:col>15</xdr:col>
      <xdr:colOff>1309687</xdr:colOff>
      <xdr:row>49</xdr:row>
      <xdr:rowOff>111125</xdr:rowOff>
    </xdr:to>
    <xdr:sp macro="" textlink="">
      <xdr:nvSpPr>
        <xdr:cNvPr id="4" name="Abrir llave 3">
          <a:extLst>
            <a:ext uri="{FF2B5EF4-FFF2-40B4-BE49-F238E27FC236}">
              <a16:creationId xmlns:a16="http://schemas.microsoft.com/office/drawing/2014/main" id="{8AC06BBC-EC93-4ECF-B5DD-F676845AD891}"/>
            </a:ext>
          </a:extLst>
        </xdr:cNvPr>
        <xdr:cNvSpPr/>
      </xdr:nvSpPr>
      <xdr:spPr>
        <a:xfrm rot="5400000">
          <a:off x="10624342" y="-3774282"/>
          <a:ext cx="349251" cy="20042189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579438</xdr:colOff>
      <xdr:row>75</xdr:row>
      <xdr:rowOff>127000</xdr:rowOff>
    </xdr:from>
    <xdr:to>
      <xdr:col>6</xdr:col>
      <xdr:colOff>759438</xdr:colOff>
      <xdr:row>76</xdr:row>
      <xdr:rowOff>148250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9FD2F1F-85AC-4D00-8FA3-8D50EF69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4188" y="1064418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238125</xdr:colOff>
      <xdr:row>140</xdr:row>
      <xdr:rowOff>15875</xdr:rowOff>
    </xdr:from>
    <xdr:to>
      <xdr:col>0</xdr:col>
      <xdr:colOff>418125</xdr:colOff>
      <xdr:row>141</xdr:row>
      <xdr:rowOff>37125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C66BD95-BEE0-4333-B0C9-563A71B1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24320500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1833563</xdr:colOff>
      <xdr:row>83</xdr:row>
      <xdr:rowOff>15875</xdr:rowOff>
    </xdr:from>
    <xdr:ext cx="180000" cy="180000"/>
    <xdr:pic>
      <xdr:nvPicPr>
        <xdr:cNvPr id="33" name="Imagen 32">
          <a:extLst>
            <a:ext uri="{FF2B5EF4-FFF2-40B4-BE49-F238E27FC236}">
              <a16:creationId xmlns:a16="http://schemas.microsoft.com/office/drawing/2014/main" id="{4E9767D3-B308-449E-B0DF-66882F98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1172368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635001</xdr:colOff>
      <xdr:row>37</xdr:row>
      <xdr:rowOff>119063</xdr:rowOff>
    </xdr:from>
    <xdr:ext cx="211297" cy="211297"/>
    <xdr:pic>
      <xdr:nvPicPr>
        <xdr:cNvPr id="34" name="Imagen 33">
          <a:extLst>
            <a:ext uri="{FF2B5EF4-FFF2-40B4-BE49-F238E27FC236}">
              <a16:creationId xmlns:a16="http://schemas.microsoft.com/office/drawing/2014/main" id="{6FA86A73-FDBD-4EF9-A6E1-D78A705A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6" y="5635626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238125</xdr:colOff>
      <xdr:row>76</xdr:row>
      <xdr:rowOff>79372</xdr:rowOff>
    </xdr:from>
    <xdr:to>
      <xdr:col>2</xdr:col>
      <xdr:colOff>2041437</xdr:colOff>
      <xdr:row>76</xdr:row>
      <xdr:rowOff>79373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CF18ECED-8BD1-4649-B548-576B603DC2FA}"/>
            </a:ext>
          </a:extLst>
        </xdr:cNvPr>
        <xdr:cNvCxnSpPr/>
      </xdr:nvCxnSpPr>
      <xdr:spPr>
        <a:xfrm flipV="1">
          <a:off x="666750" y="12184060"/>
          <a:ext cx="3240000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180000</xdr:colOff>
      <xdr:row>77</xdr:row>
      <xdr:rowOff>21250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0715A93-A19F-485A-B4AC-C7E82D9A9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210468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1103327</xdr:colOff>
      <xdr:row>71</xdr:row>
      <xdr:rowOff>15877</xdr:rowOff>
    </xdr:from>
    <xdr:ext cx="174625" cy="174625"/>
    <xdr:pic>
      <xdr:nvPicPr>
        <xdr:cNvPr id="32" name="Imagen 31">
          <a:extLst>
            <a:ext uri="{FF2B5EF4-FFF2-40B4-BE49-F238E27FC236}">
              <a16:creationId xmlns:a16="http://schemas.microsoft.com/office/drawing/2014/main" id="{DF6457BD-2C72-4A25-AD6E-6DC0FF088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0265" y="1131094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7937</xdr:colOff>
      <xdr:row>37</xdr:row>
      <xdr:rowOff>111125</xdr:rowOff>
    </xdr:from>
    <xdr:to>
      <xdr:col>2</xdr:col>
      <xdr:colOff>219234</xdr:colOff>
      <xdr:row>39</xdr:row>
      <xdr:rowOff>4922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8C4F608-ADB1-4E9C-B0E3-DBC6DF68D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250" y="5627688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219234</xdr:colOff>
      <xdr:row>38</xdr:row>
      <xdr:rowOff>55562</xdr:rowOff>
    </xdr:from>
    <xdr:to>
      <xdr:col>3</xdr:col>
      <xdr:colOff>1222375</xdr:colOff>
      <xdr:row>38</xdr:row>
      <xdr:rowOff>58024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74B8091-CB77-4551-B320-9F6F5F4E77CE}"/>
            </a:ext>
          </a:extLst>
        </xdr:cNvPr>
        <xdr:cNvCxnSpPr>
          <a:stCxn id="27" idx="3"/>
        </xdr:cNvCxnSpPr>
      </xdr:nvCxnSpPr>
      <xdr:spPr>
        <a:xfrm flipV="1">
          <a:off x="2084547" y="5730875"/>
          <a:ext cx="3098641" cy="246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136525</xdr:rowOff>
    </xdr:from>
    <xdr:to>
      <xdr:col>7</xdr:col>
      <xdr:colOff>419907</xdr:colOff>
      <xdr:row>23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C0EF62-F979-4291-B639-053945C995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628"/>
        <a:stretch/>
      </xdr:blipFill>
      <xdr:spPr>
        <a:xfrm>
          <a:off x="0" y="454025"/>
          <a:ext cx="5753907" cy="3235325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17</xdr:row>
      <xdr:rowOff>28575</xdr:rowOff>
    </xdr:from>
    <xdr:to>
      <xdr:col>3</xdr:col>
      <xdr:colOff>628650</xdr:colOff>
      <xdr:row>18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EF118C8-1513-4A21-BCB6-968E6BA9545B}"/>
            </a:ext>
          </a:extLst>
        </xdr:cNvPr>
        <xdr:cNvSpPr/>
      </xdr:nvSpPr>
      <xdr:spPr>
        <a:xfrm>
          <a:off x="123825" y="3267075"/>
          <a:ext cx="2790825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619125</xdr:colOff>
      <xdr:row>17</xdr:row>
      <xdr:rowOff>123825</xdr:rowOff>
    </xdr:from>
    <xdr:to>
      <xdr:col>7</xdr:col>
      <xdr:colOff>752475</xdr:colOff>
      <xdr:row>17</xdr:row>
      <xdr:rowOff>133350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9A5C56D7-27AA-4299-9524-39DEFD060E46}"/>
            </a:ext>
          </a:extLst>
        </xdr:cNvPr>
        <xdr:cNvCxnSpPr/>
      </xdr:nvCxnSpPr>
      <xdr:spPr>
        <a:xfrm>
          <a:off x="2905125" y="3362325"/>
          <a:ext cx="3181350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eston" refreshedDate="45009.250831944446" createdVersion="7" refreshedVersion="7" minRefreshableVersion="3" recordCount="9" xr:uid="{B759B094-3769-4369-B6F2-4DA1437DC83B}">
  <cacheSource type="worksheet">
    <worksheetSource ref="C26:L35" sheet="Hoja4"/>
  </cacheSource>
  <cacheFields count="10">
    <cacheField name="Código" numFmtId="0">
      <sharedItems containsSemiMixedTypes="0" containsString="0" containsNumber="1" containsInteger="1" minValue="401030103" maxValue="602040305" count="2">
        <n v="401030103"/>
        <n v="602040305"/>
      </sharedItems>
    </cacheField>
    <cacheField name="Cuenta" numFmtId="0">
      <sharedItems count="2">
        <s v="Ingresos Operacionales"/>
        <s v="Gastos Operacionales"/>
      </sharedItems>
    </cacheField>
    <cacheField name="Mes" numFmtId="0">
      <sharedItems containsSemiMixedTypes="0" containsString="0" containsNumber="1" containsInteger="1" minValue="12" maxValue="12"/>
    </cacheField>
    <cacheField name="Fecha" numFmtId="0">
      <sharedItems/>
    </cacheField>
    <cacheField name="Trans_id" numFmtId="0">
      <sharedItems containsSemiMixedTypes="0" containsString="0" containsNumber="1" containsInteger="1" minValue="33665" maxValue="33665"/>
    </cacheField>
    <cacheField name="Comentario" numFmtId="0">
      <sharedItems/>
    </cacheField>
    <cacheField name="Debe" numFmtId="43">
      <sharedItems containsString="0" containsBlank="1" containsNumber="1" minValue="14662.5" maxValue="65915.19"/>
    </cacheField>
    <cacheField name="Haber" numFmtId="43">
      <sharedItems containsString="0" containsBlank="1" containsNumber="1" minValue="1528.5" maxValue="47200.93"/>
    </cacheField>
    <cacheField name="Movimiento" numFmtId="43">
      <sharedItems containsSemiMixedTypes="0" containsString="0" containsNumber="1" minValue="-47200.93" maxValue="65915.19"/>
    </cacheField>
    <cacheField name="Contracuenta " numFmtId="0">
      <sharedItems count="2">
        <s v="Activo "/>
        <s v="Pasivo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eston" refreshedDate="45027.803244444447" createdVersion="7" refreshedVersion="7" minRefreshableVersion="3" recordCount="8" xr:uid="{0C76DB0D-5413-425A-A94E-7800121891EC}">
  <cacheSource type="worksheet">
    <worksheetSource ref="C6:M14" sheet="Hoja4"/>
  </cacheSource>
  <cacheFields count="11">
    <cacheField name="Código" numFmtId="0">
      <sharedItems containsSemiMixedTypes="0" containsString="0" containsNumber="1" containsInteger="1" minValue="101030103" maxValue="103030109" count="4">
        <n v="101030103"/>
        <n v="101030211"/>
        <n v="101040105"/>
        <n v="103030109"/>
      </sharedItems>
    </cacheField>
    <cacheField name="Cuenta" numFmtId="0">
      <sharedItems count="2">
        <s v="(-) Interés implícito devengado"/>
        <s v="(-) Interés implícito devengado relacionados locales"/>
      </sharedItems>
    </cacheField>
    <cacheField name="Mes" numFmtId="0">
      <sharedItems containsMixedTypes="1" containsNumber="1" containsInteger="1" minValue="2021" maxValue="2021"/>
    </cacheField>
    <cacheField name="Fecha" numFmtId="0">
      <sharedItems/>
    </cacheField>
    <cacheField name="Trans_id" numFmtId="0">
      <sharedItems containsString="0" containsBlank="1" containsNumber="1" containsInteger="1" minValue="33665" maxValue="33665"/>
    </cacheField>
    <cacheField name="Comentario" numFmtId="0">
      <sharedItems/>
    </cacheField>
    <cacheField name="Debe" numFmtId="165">
      <sharedItems containsSemiMixedTypes="0" containsString="0" containsNumber="1" minValue="0" maxValue="17085.95"/>
    </cacheField>
    <cacheField name="Haber" numFmtId="165">
      <sharedItems containsSemiMixedTypes="0" containsString="0" containsNumber="1" minValue="0" maxValue="65915.19"/>
    </cacheField>
    <cacheField name="Saldo Neto" numFmtId="165">
      <sharedItems containsSemiMixedTypes="0" containsString="0" containsNumber="1" minValue="-80811.490000000005" maxValue="17085.95"/>
    </cacheField>
    <cacheField name="Saldo" numFmtId="165">
      <sharedItems containsSemiMixedTypes="0" containsString="0" containsNumber="1" minValue="-106211.68" maxValue="0"/>
    </cacheField>
    <cacheField name="Movimiento" numFmtId="0">
      <sharedItems count="3">
        <s v="Saldo Inicial"/>
        <s v="Adición "/>
        <s v="Revers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2"/>
    <s v="31/12/2022"/>
    <n v="33665"/>
    <s v="REG. INTERES IMPLICITO PERIODO 2022"/>
    <m/>
    <n v="17085.95"/>
    <n v="-17085.95"/>
    <x v="0"/>
  </r>
  <r>
    <x v="0"/>
    <x v="0"/>
    <n v="12"/>
    <s v="31/12/2022"/>
    <n v="33665"/>
    <s v="REG. INTERES IMPLICITO PERIODO 2022"/>
    <m/>
    <n v="23796.17"/>
    <n v="-23796.17"/>
    <x v="1"/>
  </r>
  <r>
    <x v="0"/>
    <x v="0"/>
    <n v="12"/>
    <s v="31/12/2022"/>
    <n v="33665"/>
    <s v="REG. INTERES IMPLICITO PERIODO 2022"/>
    <m/>
    <n v="22117.11"/>
    <n v="-22117.11"/>
    <x v="1"/>
  </r>
  <r>
    <x v="0"/>
    <x v="0"/>
    <n v="12"/>
    <s v="31/12/2022"/>
    <n v="33665"/>
    <s v="REG. INTERES IMPLICITO PERIODO 2022"/>
    <m/>
    <n v="1528.5"/>
    <n v="-1528.5"/>
    <x v="1"/>
  </r>
  <r>
    <x v="0"/>
    <x v="0"/>
    <n v="12"/>
    <s v="31/12/2022"/>
    <n v="33665"/>
    <s v="REG. INTERES IMPLICITO PERIODO 2022"/>
    <m/>
    <n v="47200.93"/>
    <n v="-47200.93"/>
    <x v="1"/>
  </r>
  <r>
    <x v="0"/>
    <x v="0"/>
    <n v="12"/>
    <s v="31/12/2022"/>
    <n v="33665"/>
    <s v="REG. INTERES IMPLICITO PERIODO 2022"/>
    <m/>
    <n v="6670.83"/>
    <n v="-6670.83"/>
    <x v="1"/>
  </r>
  <r>
    <x v="1"/>
    <x v="1"/>
    <n v="12"/>
    <s v="31/12/2022"/>
    <n v="33665"/>
    <s v="REG. INTERES IMPLICITO PERIODO 2022"/>
    <n v="14662.5"/>
    <m/>
    <n v="14662.5"/>
    <x v="0"/>
  </r>
  <r>
    <x v="1"/>
    <x v="1"/>
    <n v="12"/>
    <s v="31/12/2022"/>
    <n v="33665"/>
    <s v="REG. INTERES IMPLICITO PERIODO 2022"/>
    <n v="65915.19"/>
    <m/>
    <n v="65915.19"/>
    <x v="0"/>
  </r>
  <r>
    <x v="1"/>
    <x v="1"/>
    <n v="12"/>
    <s v="31/12/2022"/>
    <n v="33665"/>
    <s v="REG. INTERES IMPLICITO PERIODO 2022"/>
    <n v="25400.19"/>
    <m/>
    <n v="25400.1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2021"/>
    <s v="Activos"/>
    <m/>
    <s v="(-) Interés implícito devengado"/>
    <n v="0"/>
    <n v="0"/>
    <n v="-34222.6"/>
    <n v="-34222.6"/>
    <x v="0"/>
  </r>
  <r>
    <x v="0"/>
    <x v="0"/>
    <s v="31/12/2022"/>
    <s v="31/12/2022"/>
    <n v="33665"/>
    <s v="REG. INTERES IMPLICITO PERIODO 2022"/>
    <n v="0"/>
    <n v="14662.5"/>
    <n v="-14662.5"/>
    <n v="-48885.1"/>
    <x v="1"/>
  </r>
  <r>
    <x v="1"/>
    <x v="0"/>
    <n v="2021"/>
    <s v="Activos"/>
    <m/>
    <s v="(-) Interés implícito devengado"/>
    <n v="0"/>
    <n v="0"/>
    <n v="-17085.95"/>
    <n v="-17085.95"/>
    <x v="0"/>
  </r>
  <r>
    <x v="1"/>
    <x v="0"/>
    <s v="31/12/2022"/>
    <s v="31/12/2022"/>
    <n v="33665"/>
    <s v="REG. INTERES IMPLICITO PERIODO 2022"/>
    <n v="17085.95"/>
    <n v="0"/>
    <n v="17085.95"/>
    <n v="0"/>
    <x v="2"/>
  </r>
  <r>
    <x v="2"/>
    <x v="0"/>
    <n v="2021"/>
    <s v="Activos"/>
    <m/>
    <s v="(-) Interés implícito devengado"/>
    <n v="0"/>
    <n v="0"/>
    <n v="-34097.32"/>
    <n v="-34097.32"/>
    <x v="0"/>
  </r>
  <r>
    <x v="2"/>
    <x v="0"/>
    <s v="31/12/2022"/>
    <s v="31/12/2022"/>
    <n v="33665"/>
    <s v="REG. INTERES IMPLICITO PERIODO 2022"/>
    <n v="0"/>
    <n v="65915.19"/>
    <n v="-65915.19"/>
    <n v="-100012.51"/>
    <x v="1"/>
  </r>
  <r>
    <x v="3"/>
    <x v="1"/>
    <n v="2021"/>
    <s v="Activos"/>
    <m/>
    <s v="(-) Interés implícito devengado relacionados locales"/>
    <n v="0"/>
    <n v="0"/>
    <n v="-80811.490000000005"/>
    <n v="-80811.490000000005"/>
    <x v="0"/>
  </r>
  <r>
    <x v="3"/>
    <x v="1"/>
    <s v="31/12/2022"/>
    <s v="31/12/2022"/>
    <n v="33665"/>
    <s v="REG. INTERES IMPLICITO PERIODO 2022"/>
    <n v="0"/>
    <n v="25400.19"/>
    <n v="-25400.19"/>
    <n v="-106211.6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68065-E833-4C1E-AEB9-D32C83C964BA}" name="TablaDinámica36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C17:H23" firstHeaderRow="1" firstDataRow="2" firstDataCol="2"/>
  <pivotFields count="11"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dataField="1" compact="0" numFmtId="165" outline="0" showAll="0"/>
    <pivotField compact="0" numFmtId="165" outline="0" showAll="0"/>
    <pivotField axis="axisCol" compact="0" outline="0" showAll="0">
      <items count="4">
        <item x="0"/>
        <item x="2"/>
        <item x="1"/>
        <item t="default"/>
      </items>
    </pivotField>
  </pivotFields>
  <rowFields count="2">
    <field x="0"/>
    <field x="1"/>
  </rowFields>
  <rowItems count="5">
    <i>
      <x/>
      <x/>
    </i>
    <i>
      <x v="1"/>
      <x/>
    </i>
    <i>
      <x v="2"/>
      <x/>
    </i>
    <i>
      <x v="3"/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a de Saldo Neto" fld="8" baseField="0" baseItem="0"/>
  </dataFields>
  <formats count="1">
    <format dxfId="0">
      <pivotArea outline="0" fieldPosition="0">
        <references count="2">
          <reference field="0" count="0" selected="0"/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1A005-FCFB-4E80-9608-3E0C498FC720}" name="TablaDinámica2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G40:I43" firstHeaderRow="2" firstDataRow="2" firstDataCol="2" rowPageCount="1" colPageCount="1"/>
  <pivotFields count="10">
    <pivotField axis="axisRow" compact="0" outline="0" showAll="0" defaultSubtotal="0">
      <items count="2">
        <item x="0"/>
        <item x="1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axis="axisPage" compact="0" outline="0" multipleItemSelectionAllowed="1" showAll="0">
      <items count="3">
        <item h="1" x="0"/>
        <item x="1"/>
        <item t="default"/>
      </items>
    </pivotField>
  </pivotFields>
  <rowFields count="2">
    <field x="0"/>
    <field x="1"/>
  </rowFields>
  <rowItems count="2">
    <i>
      <x/>
      <x v="1"/>
    </i>
    <i t="grand">
      <x/>
    </i>
  </rowItems>
  <colItems count="1">
    <i/>
  </colItems>
  <pageFields count="1">
    <pageField fld="9" hier="-1"/>
  </pageFields>
  <dataFields count="1">
    <dataField name="Suma de Movimiento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6139-4DBF-4EED-964F-A929EBDDCF3D}">
  <dimension ref="A1:V189"/>
  <sheetViews>
    <sheetView showGridLines="0" tabSelected="1" topLeftCell="A35" zoomScale="80" zoomScaleNormal="80" workbookViewId="0">
      <selection activeCell="S56" sqref="S56"/>
    </sheetView>
  </sheetViews>
  <sheetFormatPr baseColWidth="10" defaultColWidth="11.453125" defaultRowHeight="12.5" outlineLevelRow="1" x14ac:dyDescent="0.25"/>
  <cols>
    <col min="1" max="1" width="6.1796875" style="17" customWidth="1"/>
    <col min="2" max="2" width="20.54296875" style="17" customWidth="1"/>
    <col min="3" max="3" width="30" style="17" customWidth="1"/>
    <col min="4" max="5" width="18.1796875" style="17" customWidth="1"/>
    <col min="6" max="6" width="17.81640625" style="17" customWidth="1"/>
    <col min="7" max="7" width="19" style="21" bestFit="1" customWidth="1"/>
    <col min="8" max="8" width="24.54296875" style="17" bestFit="1" customWidth="1"/>
    <col min="9" max="9" width="15.453125" style="17" customWidth="1"/>
    <col min="10" max="10" width="18.54296875" style="17" customWidth="1"/>
    <col min="11" max="11" width="33.81640625" style="17" customWidth="1"/>
    <col min="12" max="12" width="12.54296875" style="17" bestFit="1" customWidth="1"/>
    <col min="13" max="13" width="14.453125" style="17" bestFit="1" customWidth="1"/>
    <col min="14" max="14" width="18.81640625" style="17" customWidth="1"/>
    <col min="15" max="15" width="14.453125" style="17" bestFit="1" customWidth="1"/>
    <col min="16" max="16" width="21.81640625" style="17" customWidth="1"/>
    <col min="17" max="17" width="2.81640625" style="47" customWidth="1"/>
    <col min="18" max="18" width="11.453125" style="17" customWidth="1"/>
    <col min="19" max="19" width="20.1796875" style="17" customWidth="1"/>
    <col min="20" max="20" width="16.1796875" style="17" customWidth="1"/>
    <col min="21" max="21" width="14.1796875" style="17" customWidth="1"/>
    <col min="22" max="16384" width="11.453125" style="17"/>
  </cols>
  <sheetData>
    <row r="1" spans="1:22" x14ac:dyDescent="0.25">
      <c r="A1" s="1"/>
      <c r="B1" s="1"/>
      <c r="C1" s="1"/>
      <c r="D1" s="1"/>
      <c r="E1" s="1"/>
      <c r="F1" s="1"/>
      <c r="J1" s="1"/>
      <c r="Q1" s="17"/>
    </row>
    <row r="2" spans="1:22" x14ac:dyDescent="0.25">
      <c r="A2" s="2"/>
      <c r="B2" s="3"/>
      <c r="C2" s="3"/>
      <c r="D2" s="2"/>
      <c r="E2" s="2"/>
      <c r="F2" s="1"/>
      <c r="J2" s="1"/>
      <c r="Q2" s="17"/>
      <c r="S2" s="70" t="s">
        <v>0</v>
      </c>
      <c r="T2" s="70" t="s">
        <v>1</v>
      </c>
      <c r="U2" s="71" t="s">
        <v>58</v>
      </c>
    </row>
    <row r="3" spans="1:22" x14ac:dyDescent="0.25">
      <c r="A3" s="2"/>
      <c r="B3" s="4"/>
      <c r="C3" s="4"/>
      <c r="D3" s="2"/>
      <c r="E3" s="2"/>
      <c r="F3" s="1"/>
      <c r="G3" s="15"/>
      <c r="H3" s="1"/>
      <c r="I3" s="1"/>
      <c r="J3" s="1"/>
      <c r="Q3" s="17"/>
      <c r="S3" s="116" t="s">
        <v>67</v>
      </c>
      <c r="T3" s="117" t="s">
        <v>67</v>
      </c>
      <c r="U3" s="72" t="s">
        <v>123</v>
      </c>
    </row>
    <row r="4" spans="1:22" x14ac:dyDescent="0.25">
      <c r="A4" s="2"/>
      <c r="B4" s="4"/>
      <c r="C4" s="4"/>
      <c r="D4" s="2"/>
      <c r="E4" s="2"/>
      <c r="F4" s="1"/>
      <c r="G4" s="15"/>
      <c r="H4" s="1"/>
      <c r="I4" s="1"/>
      <c r="J4" s="1"/>
      <c r="Q4" s="17"/>
      <c r="U4" s="109"/>
      <c r="V4" s="110"/>
    </row>
    <row r="5" spans="1:22" x14ac:dyDescent="0.25">
      <c r="A5" s="2"/>
      <c r="B5" s="4"/>
      <c r="C5" s="4"/>
      <c r="D5" s="2"/>
      <c r="E5" s="2"/>
      <c r="F5" s="1"/>
      <c r="G5" s="15"/>
      <c r="H5" s="1"/>
      <c r="I5" s="1"/>
      <c r="J5" s="1"/>
      <c r="Q5" s="17"/>
      <c r="U5" s="109"/>
      <c r="V5" s="110"/>
    </row>
    <row r="6" spans="1:22" x14ac:dyDescent="0.25">
      <c r="A6" s="2"/>
      <c r="B6" s="68" t="s">
        <v>49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</row>
    <row r="7" spans="1:22" x14ac:dyDescent="0.25">
      <c r="A7" s="2"/>
      <c r="B7" s="64" t="s">
        <v>50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5">
      <c r="A8" s="2"/>
      <c r="B8" s="95" t="s">
        <v>68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</row>
    <row r="9" spans="1:22" x14ac:dyDescent="0.25">
      <c r="A9" s="2"/>
      <c r="B9" s="119" t="s">
        <v>85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</row>
    <row r="10" spans="1:22" ht="6" customHeight="1" thickBot="1" x14ac:dyDescent="0.3">
      <c r="A10" s="2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13" thickTop="1" x14ac:dyDescent="0.25">
      <c r="A11" s="2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</row>
    <row r="12" spans="1:22" x14ac:dyDescent="0.25">
      <c r="A12" s="1"/>
      <c r="B12" s="66" t="s">
        <v>2</v>
      </c>
      <c r="C12" s="8"/>
      <c r="D12" s="4"/>
      <c r="E12" s="4"/>
      <c r="F12" s="1"/>
      <c r="G12" s="15"/>
      <c r="H12" s="1"/>
      <c r="I12" s="1"/>
      <c r="J12" s="1"/>
      <c r="Q12" s="17"/>
    </row>
    <row r="13" spans="1:22" ht="7" customHeight="1" x14ac:dyDescent="0.25">
      <c r="A13" s="1"/>
      <c r="B13" s="66"/>
      <c r="C13" s="8"/>
      <c r="D13" s="4"/>
      <c r="E13" s="4"/>
      <c r="F13" s="1"/>
      <c r="G13" s="15"/>
      <c r="H13" s="1"/>
      <c r="I13" s="1"/>
      <c r="J13" s="1"/>
      <c r="Q13" s="17"/>
    </row>
    <row r="14" spans="1:22" x14ac:dyDescent="0.25">
      <c r="A14" s="9"/>
      <c r="B14" s="10" t="s">
        <v>101</v>
      </c>
      <c r="C14" s="11"/>
      <c r="D14" s="4"/>
      <c r="E14" s="4"/>
      <c r="F14" s="1"/>
      <c r="G14" s="15"/>
      <c r="H14" s="1"/>
      <c r="I14" s="1"/>
      <c r="J14" s="1"/>
      <c r="Q14" s="17"/>
    </row>
    <row r="15" spans="1:22" x14ac:dyDescent="0.25">
      <c r="A15" s="9"/>
      <c r="B15" s="10"/>
      <c r="C15" s="11"/>
      <c r="D15" s="4"/>
      <c r="E15" s="4"/>
      <c r="F15" s="1"/>
      <c r="G15" s="15"/>
      <c r="H15" s="1"/>
      <c r="I15" s="1"/>
      <c r="J15" s="1"/>
      <c r="Q15" s="17"/>
    </row>
    <row r="16" spans="1:22" x14ac:dyDescent="0.25">
      <c r="A16" s="9"/>
      <c r="B16" s="66" t="s">
        <v>52</v>
      </c>
      <c r="D16" s="4"/>
      <c r="E16" s="4"/>
      <c r="F16" s="1"/>
      <c r="G16" s="15"/>
      <c r="H16" s="1"/>
      <c r="I16" s="1"/>
      <c r="J16" s="1"/>
      <c r="Q16" s="17"/>
    </row>
    <row r="17" spans="1:17" ht="7" customHeight="1" x14ac:dyDescent="0.25">
      <c r="A17" s="9"/>
      <c r="B17" s="66"/>
      <c r="D17" s="4"/>
      <c r="E17" s="4"/>
      <c r="F17" s="1"/>
      <c r="G17" s="15"/>
      <c r="H17" s="1"/>
      <c r="I17" s="1"/>
      <c r="J17" s="1"/>
      <c r="Q17" s="17"/>
    </row>
    <row r="18" spans="1:17" x14ac:dyDescent="0.25">
      <c r="A18" s="9"/>
      <c r="B18" s="66"/>
      <c r="D18" s="4"/>
      <c r="E18" s="4"/>
      <c r="F18" s="1"/>
      <c r="G18" s="15"/>
      <c r="H18" s="1"/>
      <c r="I18" s="1"/>
      <c r="J18" s="1"/>
      <c r="Q18" s="17"/>
    </row>
    <row r="19" spans="1:17" x14ac:dyDescent="0.25">
      <c r="A19" s="9"/>
      <c r="B19" s="113"/>
      <c r="C19" s="114" t="s">
        <v>71</v>
      </c>
      <c r="D19" s="114" t="s">
        <v>72</v>
      </c>
      <c r="E19" s="4"/>
      <c r="F19" s="1"/>
      <c r="G19" s="15"/>
      <c r="H19" s="1"/>
      <c r="I19" s="1"/>
      <c r="J19" s="1"/>
      <c r="Q19" s="17"/>
    </row>
    <row r="20" spans="1:17" x14ac:dyDescent="0.25">
      <c r="A20" s="9"/>
      <c r="B20" s="115" t="s">
        <v>59</v>
      </c>
      <c r="C20" s="112" t="s">
        <v>60</v>
      </c>
      <c r="D20" s="112" t="s">
        <v>60</v>
      </c>
      <c r="E20" s="4"/>
      <c r="F20" s="1"/>
      <c r="G20" s="15"/>
      <c r="H20" s="1"/>
      <c r="I20" s="1"/>
      <c r="J20" s="1"/>
      <c r="Q20" s="17"/>
    </row>
    <row r="21" spans="1:17" x14ac:dyDescent="0.25">
      <c r="A21" s="9"/>
      <c r="B21" s="115" t="s">
        <v>61</v>
      </c>
      <c r="C21" s="112" t="s">
        <v>60</v>
      </c>
      <c r="D21" s="112" t="s">
        <v>60</v>
      </c>
      <c r="E21" s="4"/>
      <c r="F21" s="1"/>
      <c r="G21" s="15"/>
      <c r="H21" s="1"/>
      <c r="I21" s="1"/>
      <c r="J21" s="1"/>
      <c r="Q21" s="17"/>
    </row>
    <row r="22" spans="1:17" x14ac:dyDescent="0.25">
      <c r="A22" s="9"/>
      <c r="B22" s="115" t="s">
        <v>62</v>
      </c>
      <c r="C22" s="112" t="s">
        <v>60</v>
      </c>
      <c r="D22" s="112" t="s">
        <v>60</v>
      </c>
      <c r="E22" s="4"/>
      <c r="F22" s="1"/>
      <c r="G22" s="15"/>
      <c r="H22" s="1"/>
      <c r="I22" s="1"/>
      <c r="J22" s="1"/>
      <c r="Q22" s="17"/>
    </row>
    <row r="23" spans="1:17" x14ac:dyDescent="0.25">
      <c r="A23" s="9"/>
      <c r="B23" s="10"/>
      <c r="C23" s="11"/>
      <c r="D23" s="4"/>
      <c r="E23" s="4"/>
      <c r="F23" s="1"/>
      <c r="G23" s="15"/>
      <c r="H23" s="1"/>
      <c r="I23" s="1"/>
      <c r="J23" s="1"/>
      <c r="Q23" s="17"/>
    </row>
    <row r="24" spans="1:17" x14ac:dyDescent="0.25">
      <c r="A24" s="9"/>
      <c r="B24" s="10"/>
      <c r="C24" s="12"/>
      <c r="D24" s="4"/>
      <c r="E24" s="4"/>
      <c r="F24" s="4"/>
      <c r="G24" s="15"/>
      <c r="H24" s="1"/>
      <c r="I24" s="1"/>
      <c r="J24" s="1"/>
      <c r="Q24" s="17"/>
    </row>
    <row r="25" spans="1:17" x14ac:dyDescent="0.25">
      <c r="A25" s="9"/>
      <c r="B25" s="66" t="s">
        <v>63</v>
      </c>
      <c r="C25" s="8"/>
      <c r="D25" s="4"/>
      <c r="E25" s="4"/>
      <c r="F25" s="4"/>
      <c r="G25" s="15"/>
      <c r="H25" s="1"/>
      <c r="I25" s="1"/>
      <c r="J25" s="1"/>
      <c r="Q25" s="17"/>
    </row>
    <row r="26" spans="1:17" ht="7" customHeight="1" x14ac:dyDescent="0.25">
      <c r="A26" s="9"/>
      <c r="B26" s="66"/>
      <c r="C26" s="8"/>
      <c r="D26" s="4"/>
      <c r="E26" s="4"/>
      <c r="F26" s="4"/>
      <c r="G26" s="15"/>
      <c r="H26" s="1"/>
      <c r="I26" s="1"/>
      <c r="J26" s="1"/>
      <c r="Q26" s="17"/>
    </row>
    <row r="27" spans="1:17" x14ac:dyDescent="0.25">
      <c r="A27" s="9" t="s">
        <v>91</v>
      </c>
      <c r="B27" s="13" t="s">
        <v>124</v>
      </c>
      <c r="C27" s="8"/>
      <c r="D27" s="4"/>
      <c r="E27" s="4"/>
      <c r="F27" s="4"/>
      <c r="G27" s="15"/>
      <c r="H27" s="1"/>
      <c r="I27" s="1"/>
      <c r="J27" s="1"/>
      <c r="Q27" s="17"/>
    </row>
    <row r="28" spans="1:17" x14ac:dyDescent="0.25">
      <c r="A28" s="9" t="s">
        <v>92</v>
      </c>
      <c r="B28" s="13" t="s">
        <v>110</v>
      </c>
      <c r="C28" s="8"/>
      <c r="D28" s="4"/>
      <c r="E28" s="4"/>
      <c r="F28" s="4"/>
      <c r="G28" s="16"/>
      <c r="H28" s="4"/>
      <c r="I28" s="1"/>
      <c r="J28" s="1"/>
      <c r="Q28" s="17"/>
    </row>
    <row r="29" spans="1:17" x14ac:dyDescent="0.25">
      <c r="A29" s="9" t="s">
        <v>118</v>
      </c>
      <c r="B29" s="13" t="s">
        <v>125</v>
      </c>
      <c r="C29" s="8"/>
      <c r="D29" s="4"/>
      <c r="E29" s="4"/>
      <c r="F29" s="4"/>
      <c r="G29" s="16"/>
      <c r="H29" s="4"/>
      <c r="I29" s="1"/>
      <c r="J29" s="1"/>
      <c r="Q29" s="17"/>
    </row>
    <row r="30" spans="1:17" x14ac:dyDescent="0.25">
      <c r="A30" s="9" t="s">
        <v>93</v>
      </c>
      <c r="B30" s="13" t="s">
        <v>111</v>
      </c>
      <c r="C30" s="8"/>
      <c r="D30" s="4"/>
      <c r="E30" s="4"/>
      <c r="F30" s="4"/>
      <c r="G30" s="16"/>
      <c r="H30" s="4"/>
      <c r="I30" s="1"/>
      <c r="J30" s="1"/>
      <c r="Q30" s="17"/>
    </row>
    <row r="31" spans="1:17" x14ac:dyDescent="0.25">
      <c r="A31" s="9" t="s">
        <v>94</v>
      </c>
      <c r="B31" s="13" t="s">
        <v>117</v>
      </c>
      <c r="C31" s="8"/>
      <c r="D31" s="4"/>
      <c r="E31" s="4"/>
      <c r="F31" s="4"/>
      <c r="G31" s="16"/>
      <c r="H31" s="4"/>
      <c r="I31" s="1"/>
      <c r="J31" s="1"/>
      <c r="Q31" s="17"/>
    </row>
    <row r="32" spans="1:17" x14ac:dyDescent="0.25">
      <c r="A32" s="9" t="s">
        <v>95</v>
      </c>
      <c r="B32" s="14" t="s">
        <v>102</v>
      </c>
      <c r="C32" s="8"/>
      <c r="D32" s="4"/>
      <c r="E32" s="4"/>
      <c r="F32" s="4"/>
      <c r="G32" s="16"/>
      <c r="H32" s="4"/>
      <c r="I32" s="1"/>
      <c r="J32" s="1"/>
      <c r="Q32" s="17"/>
    </row>
    <row r="33" spans="1:19" x14ac:dyDescent="0.25">
      <c r="A33" s="1"/>
      <c r="B33" s="14"/>
      <c r="C33" s="8"/>
      <c r="D33" s="4"/>
      <c r="E33" s="4"/>
      <c r="F33" s="4"/>
      <c r="G33" s="16"/>
      <c r="H33" s="4"/>
      <c r="I33" s="1"/>
      <c r="J33" s="1"/>
      <c r="Q33" s="17"/>
    </row>
    <row r="34" spans="1:19" x14ac:dyDescent="0.25">
      <c r="A34" s="1"/>
      <c r="B34" s="66" t="s">
        <v>73</v>
      </c>
      <c r="C34" s="8"/>
      <c r="D34" s="4"/>
      <c r="E34" s="4"/>
      <c r="F34" s="4"/>
      <c r="G34" s="16"/>
      <c r="H34" s="4"/>
      <c r="I34" s="1"/>
      <c r="J34" s="1"/>
      <c r="Q34" s="17"/>
    </row>
    <row r="35" spans="1:19" ht="7" customHeight="1" x14ac:dyDescent="0.25">
      <c r="A35" s="1"/>
      <c r="B35" s="14"/>
      <c r="C35" s="8"/>
      <c r="D35" s="4"/>
      <c r="E35" s="4"/>
      <c r="F35" s="4"/>
      <c r="G35" s="16"/>
      <c r="H35" s="4"/>
      <c r="I35" s="1"/>
      <c r="J35" s="1"/>
      <c r="Q35" s="17"/>
    </row>
    <row r="36" spans="1:19" x14ac:dyDescent="0.25">
      <c r="A36" s="1"/>
      <c r="B36" s="14"/>
      <c r="C36" s="8"/>
      <c r="D36" s="4"/>
      <c r="E36" s="4"/>
      <c r="F36" s="4"/>
      <c r="G36" s="16"/>
      <c r="H36" s="4"/>
      <c r="I36" s="1"/>
      <c r="J36" s="1"/>
      <c r="Q36" s="17"/>
    </row>
    <row r="37" spans="1:19" x14ac:dyDescent="0.25">
      <c r="A37" s="1"/>
      <c r="B37" s="125" t="s">
        <v>109</v>
      </c>
      <c r="C37" s="8"/>
      <c r="D37" s="4"/>
      <c r="E37" s="4"/>
      <c r="F37" s="4"/>
      <c r="G37" s="16"/>
      <c r="H37" s="4"/>
      <c r="I37" s="1"/>
      <c r="J37" s="1"/>
      <c r="Q37" s="17"/>
    </row>
    <row r="38" spans="1:19" x14ac:dyDescent="0.25">
      <c r="A38" s="1"/>
      <c r="B38" s="14"/>
      <c r="C38" s="8"/>
      <c r="D38" s="4"/>
      <c r="E38" s="4"/>
      <c r="F38" s="4"/>
      <c r="G38" s="16"/>
      <c r="H38" s="4"/>
      <c r="I38" s="1"/>
      <c r="J38" s="1"/>
      <c r="Q38" s="17"/>
    </row>
    <row r="39" spans="1:19" x14ac:dyDescent="0.25">
      <c r="A39" s="1"/>
      <c r="B39" s="14"/>
      <c r="C39" s="8"/>
      <c r="D39" s="4"/>
      <c r="E39" s="4"/>
      <c r="F39" s="4"/>
      <c r="G39" s="16"/>
      <c r="H39" s="4"/>
      <c r="I39" s="1"/>
      <c r="J39" s="1"/>
      <c r="Q39" s="17"/>
    </row>
    <row r="40" spans="1:19" x14ac:dyDescent="0.25">
      <c r="A40" s="128" t="s">
        <v>126</v>
      </c>
      <c r="B40" s="73" t="s">
        <v>99</v>
      </c>
      <c r="C40" s="73" t="s">
        <v>115</v>
      </c>
      <c r="D40" s="73" t="s">
        <v>16</v>
      </c>
      <c r="F40" s="4"/>
      <c r="G40" s="16"/>
      <c r="H40" s="4"/>
      <c r="I40" s="1"/>
      <c r="J40" s="1"/>
      <c r="Q40" s="17"/>
    </row>
    <row r="41" spans="1:19" x14ac:dyDescent="0.25">
      <c r="A41" s="128" t="s">
        <v>127</v>
      </c>
      <c r="B41" s="104" t="s">
        <v>98</v>
      </c>
      <c r="C41" s="123" t="s">
        <v>126</v>
      </c>
      <c r="D41" s="123"/>
      <c r="F41" s="4"/>
      <c r="G41" s="16"/>
      <c r="H41" s="4"/>
      <c r="I41" s="1"/>
      <c r="J41" s="1"/>
      <c r="Q41" s="17"/>
    </row>
    <row r="42" spans="1:19" x14ac:dyDescent="0.25">
      <c r="A42" s="1"/>
      <c r="B42" s="14"/>
      <c r="C42" s="111"/>
      <c r="D42" s="4"/>
      <c r="E42" s="4"/>
      <c r="F42" s="4"/>
      <c r="G42" s="16"/>
      <c r="H42" s="4"/>
      <c r="I42" s="1"/>
      <c r="J42" s="1"/>
      <c r="Q42" s="17"/>
    </row>
    <row r="43" spans="1:19" x14ac:dyDescent="0.25">
      <c r="A43" s="1"/>
      <c r="B43" s="14"/>
      <c r="C43" s="8"/>
      <c r="D43" s="4"/>
      <c r="E43" s="4"/>
      <c r="F43" s="4"/>
      <c r="G43" s="16"/>
      <c r="H43" s="4"/>
      <c r="I43" s="1"/>
      <c r="J43" s="1"/>
      <c r="Q43" s="17"/>
    </row>
    <row r="44" spans="1:19" x14ac:dyDescent="0.25">
      <c r="A44" s="1"/>
      <c r="B44" s="14"/>
      <c r="C44" s="8"/>
      <c r="D44" s="4"/>
      <c r="E44" s="4"/>
      <c r="F44" s="4"/>
      <c r="G44" s="16"/>
      <c r="H44" s="4"/>
      <c r="I44" s="1"/>
      <c r="J44" s="1"/>
      <c r="Q44" s="17"/>
    </row>
    <row r="45" spans="1:19" x14ac:dyDescent="0.25">
      <c r="A45" s="1"/>
      <c r="B45" s="125" t="s">
        <v>100</v>
      </c>
      <c r="C45" s="8"/>
      <c r="D45" s="4"/>
      <c r="E45" s="4"/>
      <c r="F45" s="4"/>
      <c r="G45" s="16"/>
      <c r="H45" s="4"/>
      <c r="J45" s="120"/>
      <c r="K45" s="47"/>
      <c r="L45" s="47"/>
      <c r="Q45" s="17"/>
    </row>
    <row r="46" spans="1:19" x14ac:dyDescent="0.25">
      <c r="A46" s="1"/>
      <c r="B46" s="124"/>
      <c r="C46" s="8"/>
      <c r="D46" s="4"/>
      <c r="E46" s="4"/>
      <c r="F46" s="4"/>
      <c r="G46" s="16"/>
      <c r="H46" s="4"/>
      <c r="I46" s="42" t="s">
        <v>69</v>
      </c>
      <c r="J46" s="120"/>
      <c r="K46" s="47"/>
      <c r="L46" s="47"/>
      <c r="Q46" s="17"/>
    </row>
    <row r="47" spans="1:19" x14ac:dyDescent="0.25">
      <c r="A47" s="1"/>
      <c r="B47" s="66"/>
      <c r="C47" s="8"/>
      <c r="D47" s="4"/>
      <c r="E47" s="4"/>
      <c r="F47" s="4"/>
      <c r="G47" s="16"/>
      <c r="H47" s="4"/>
      <c r="I47" s="42" t="s">
        <v>70</v>
      </c>
      <c r="J47" s="120"/>
      <c r="K47" s="47"/>
      <c r="L47" s="47"/>
      <c r="Q47" s="17"/>
    </row>
    <row r="48" spans="1:19" x14ac:dyDescent="0.25">
      <c r="A48" s="1"/>
      <c r="B48" s="14"/>
      <c r="C48" s="8"/>
      <c r="D48" s="4"/>
      <c r="E48" s="4"/>
      <c r="F48" s="4"/>
      <c r="G48" s="16"/>
      <c r="H48" s="4"/>
      <c r="I48" s="1"/>
      <c r="J48" s="1"/>
      <c r="Q48" s="17"/>
      <c r="R48" s="73" t="s">
        <v>15</v>
      </c>
      <c r="S48" s="73" t="s">
        <v>122</v>
      </c>
    </row>
    <row r="49" spans="2:21" x14ac:dyDescent="0.25">
      <c r="Q49" s="17"/>
      <c r="R49" s="103" t="s">
        <v>128</v>
      </c>
      <c r="S49" s="104">
        <v>0</v>
      </c>
      <c r="T49" s="130" t="s">
        <v>119</v>
      </c>
    </row>
    <row r="50" spans="2:21" x14ac:dyDescent="0.25">
      <c r="Q50" s="17"/>
    </row>
    <row r="51" spans="2:21" x14ac:dyDescent="0.25">
      <c r="B51" s="101"/>
      <c r="Q51" s="22"/>
      <c r="R51" s="101"/>
    </row>
    <row r="52" spans="2:21" ht="25" x14ac:dyDescent="0.25">
      <c r="B52" s="73" t="s">
        <v>81</v>
      </c>
      <c r="C52" s="73" t="s">
        <v>82</v>
      </c>
      <c r="D52" s="73" t="s">
        <v>4</v>
      </c>
      <c r="E52" s="73" t="s">
        <v>5</v>
      </c>
      <c r="F52" s="73" t="s">
        <v>6</v>
      </c>
      <c r="G52" s="73" t="s">
        <v>112</v>
      </c>
      <c r="H52" s="73" t="s">
        <v>7</v>
      </c>
      <c r="I52" s="73" t="s">
        <v>8</v>
      </c>
      <c r="J52" s="73" t="s">
        <v>9</v>
      </c>
      <c r="K52" s="73" t="s">
        <v>3</v>
      </c>
      <c r="L52" s="73" t="s">
        <v>113</v>
      </c>
      <c r="M52" s="73" t="s">
        <v>114</v>
      </c>
      <c r="N52" s="73" t="s">
        <v>10</v>
      </c>
      <c r="O52" s="73" t="s">
        <v>96</v>
      </c>
      <c r="P52" s="73" t="s">
        <v>11</v>
      </c>
      <c r="Q52" s="22"/>
      <c r="R52" s="73" t="s">
        <v>12</v>
      </c>
      <c r="S52" s="73" t="s">
        <v>13</v>
      </c>
      <c r="T52" s="73" t="s">
        <v>14</v>
      </c>
      <c r="U52" s="73" t="s">
        <v>96</v>
      </c>
    </row>
    <row r="53" spans="2:21" outlineLevel="1" x14ac:dyDescent="0.25">
      <c r="B53" s="74"/>
      <c r="C53" s="58"/>
      <c r="D53" s="58"/>
      <c r="E53" s="58"/>
      <c r="F53" s="58"/>
      <c r="G53" s="58"/>
      <c r="H53" s="58"/>
      <c r="I53" s="75"/>
      <c r="J53" s="58"/>
      <c r="K53" s="76"/>
      <c r="L53" s="58"/>
      <c r="M53" s="77"/>
      <c r="N53" s="76"/>
      <c r="O53" s="76"/>
      <c r="P53" s="76"/>
      <c r="R53" s="121" t="e">
        <f>+$R$49-I53</f>
        <v>#VALUE!</v>
      </c>
      <c r="S53" s="77" t="e">
        <f>+R53/365*$S$49</f>
        <v>#VALUE!</v>
      </c>
      <c r="T53" s="76" t="e">
        <f>+K53/(1+S53)</f>
        <v>#VALUE!</v>
      </c>
      <c r="U53" s="76" t="e">
        <f>+K53-T53</f>
        <v>#VALUE!</v>
      </c>
    </row>
    <row r="54" spans="2:21" outlineLevel="1" x14ac:dyDescent="0.25">
      <c r="B54" s="74"/>
      <c r="C54" s="58"/>
      <c r="D54" s="58"/>
      <c r="E54" s="58"/>
      <c r="F54" s="58"/>
      <c r="G54" s="58"/>
      <c r="H54" s="58"/>
      <c r="I54" s="75"/>
      <c r="J54" s="58"/>
      <c r="K54" s="76"/>
      <c r="L54" s="58"/>
      <c r="M54" s="77"/>
      <c r="N54" s="76"/>
      <c r="O54" s="76"/>
      <c r="P54" s="76"/>
      <c r="R54" s="76" t="e">
        <f t="shared" ref="R54:R70" si="0">+$R$49-I54</f>
        <v>#VALUE!</v>
      </c>
      <c r="S54" s="77" t="e">
        <f t="shared" ref="S54:S70" si="1">+R54/365*$S$49</f>
        <v>#VALUE!</v>
      </c>
      <c r="T54" s="76" t="e">
        <f t="shared" ref="T54:T70" si="2">+K54/(1+S54)</f>
        <v>#VALUE!</v>
      </c>
      <c r="U54" s="76" t="e">
        <f t="shared" ref="U54:U70" si="3">+K54-T54</f>
        <v>#VALUE!</v>
      </c>
    </row>
    <row r="55" spans="2:21" outlineLevel="1" x14ac:dyDescent="0.25">
      <c r="B55" s="74"/>
      <c r="C55" s="58"/>
      <c r="D55" s="58"/>
      <c r="E55" s="58"/>
      <c r="F55" s="58"/>
      <c r="G55" s="58"/>
      <c r="H55" s="58"/>
      <c r="I55" s="75"/>
      <c r="J55" s="58"/>
      <c r="K55" s="76"/>
      <c r="L55" s="58"/>
      <c r="M55" s="77"/>
      <c r="N55" s="76"/>
      <c r="O55" s="76"/>
      <c r="P55" s="76"/>
      <c r="R55" s="76" t="e">
        <f t="shared" si="0"/>
        <v>#VALUE!</v>
      </c>
      <c r="S55" s="77" t="e">
        <f t="shared" si="1"/>
        <v>#VALUE!</v>
      </c>
      <c r="T55" s="76" t="e">
        <f t="shared" si="2"/>
        <v>#VALUE!</v>
      </c>
      <c r="U55" s="76" t="e">
        <f t="shared" si="3"/>
        <v>#VALUE!</v>
      </c>
    </row>
    <row r="56" spans="2:21" outlineLevel="1" x14ac:dyDescent="0.25">
      <c r="B56" s="74"/>
      <c r="C56" s="58"/>
      <c r="D56" s="58"/>
      <c r="E56" s="58"/>
      <c r="F56" s="58"/>
      <c r="G56" s="58"/>
      <c r="H56" s="58"/>
      <c r="I56" s="75"/>
      <c r="J56" s="58"/>
      <c r="K56" s="76"/>
      <c r="L56" s="58"/>
      <c r="M56" s="77"/>
      <c r="N56" s="76"/>
      <c r="O56" s="76"/>
      <c r="P56" s="76"/>
      <c r="R56" s="76" t="e">
        <f t="shared" si="0"/>
        <v>#VALUE!</v>
      </c>
      <c r="S56" s="77" t="e">
        <f t="shared" si="1"/>
        <v>#VALUE!</v>
      </c>
      <c r="T56" s="76" t="e">
        <f t="shared" si="2"/>
        <v>#VALUE!</v>
      </c>
      <c r="U56" s="76" t="e">
        <f t="shared" si="3"/>
        <v>#VALUE!</v>
      </c>
    </row>
    <row r="57" spans="2:21" outlineLevel="1" x14ac:dyDescent="0.25">
      <c r="B57" s="74"/>
      <c r="C57" s="58"/>
      <c r="D57" s="58"/>
      <c r="E57" s="58"/>
      <c r="F57" s="58"/>
      <c r="G57" s="58"/>
      <c r="H57" s="58"/>
      <c r="I57" s="75"/>
      <c r="J57" s="58"/>
      <c r="K57" s="76"/>
      <c r="L57" s="58"/>
      <c r="M57" s="77"/>
      <c r="N57" s="76"/>
      <c r="O57" s="76"/>
      <c r="P57" s="76"/>
      <c r="R57" s="76" t="e">
        <f t="shared" si="0"/>
        <v>#VALUE!</v>
      </c>
      <c r="S57" s="77" t="e">
        <f t="shared" si="1"/>
        <v>#VALUE!</v>
      </c>
      <c r="T57" s="76" t="e">
        <f t="shared" si="2"/>
        <v>#VALUE!</v>
      </c>
      <c r="U57" s="76" t="e">
        <f t="shared" si="3"/>
        <v>#VALUE!</v>
      </c>
    </row>
    <row r="58" spans="2:21" outlineLevel="1" x14ac:dyDescent="0.25">
      <c r="B58" s="74"/>
      <c r="C58" s="58"/>
      <c r="D58" s="58"/>
      <c r="E58" s="58"/>
      <c r="F58" s="58"/>
      <c r="G58" s="58"/>
      <c r="H58" s="58"/>
      <c r="I58" s="75"/>
      <c r="J58" s="58"/>
      <c r="K58" s="76"/>
      <c r="L58" s="58"/>
      <c r="M58" s="77"/>
      <c r="N58" s="76"/>
      <c r="O58" s="76"/>
      <c r="P58" s="76"/>
      <c r="R58" s="76" t="e">
        <f t="shared" si="0"/>
        <v>#VALUE!</v>
      </c>
      <c r="S58" s="77" t="e">
        <f t="shared" si="1"/>
        <v>#VALUE!</v>
      </c>
      <c r="T58" s="76" t="e">
        <f t="shared" si="2"/>
        <v>#VALUE!</v>
      </c>
      <c r="U58" s="76" t="e">
        <f t="shared" si="3"/>
        <v>#VALUE!</v>
      </c>
    </row>
    <row r="59" spans="2:21" outlineLevel="1" x14ac:dyDescent="0.25">
      <c r="B59" s="74"/>
      <c r="C59" s="58"/>
      <c r="D59" s="58"/>
      <c r="E59" s="58"/>
      <c r="F59" s="58"/>
      <c r="G59" s="58"/>
      <c r="H59" s="58"/>
      <c r="I59" s="75"/>
      <c r="J59" s="58"/>
      <c r="K59" s="76"/>
      <c r="L59" s="58"/>
      <c r="M59" s="77"/>
      <c r="N59" s="76"/>
      <c r="O59" s="76"/>
      <c r="P59" s="76"/>
      <c r="R59" s="76" t="e">
        <f t="shared" si="0"/>
        <v>#VALUE!</v>
      </c>
      <c r="S59" s="77" t="e">
        <f t="shared" si="1"/>
        <v>#VALUE!</v>
      </c>
      <c r="T59" s="76" t="e">
        <f t="shared" si="2"/>
        <v>#VALUE!</v>
      </c>
      <c r="U59" s="76" t="e">
        <f t="shared" si="3"/>
        <v>#VALUE!</v>
      </c>
    </row>
    <row r="60" spans="2:21" outlineLevel="1" x14ac:dyDescent="0.25">
      <c r="B60" s="96"/>
      <c r="C60" s="58"/>
      <c r="D60" s="58"/>
      <c r="E60" s="58"/>
      <c r="F60" s="58"/>
      <c r="G60" s="58"/>
      <c r="H60" s="58"/>
      <c r="I60" s="75"/>
      <c r="J60" s="58"/>
      <c r="K60" s="76"/>
      <c r="L60" s="58"/>
      <c r="M60" s="77"/>
      <c r="N60" s="76"/>
      <c r="O60" s="76"/>
      <c r="P60" s="76"/>
      <c r="R60" s="76" t="e">
        <f t="shared" si="0"/>
        <v>#VALUE!</v>
      </c>
      <c r="S60" s="77" t="e">
        <f t="shared" si="1"/>
        <v>#VALUE!</v>
      </c>
      <c r="T60" s="76" t="e">
        <f t="shared" si="2"/>
        <v>#VALUE!</v>
      </c>
      <c r="U60" s="76" t="e">
        <f t="shared" si="3"/>
        <v>#VALUE!</v>
      </c>
    </row>
    <row r="61" spans="2:21" outlineLevel="1" x14ac:dyDescent="0.25">
      <c r="B61" s="96"/>
      <c r="C61" s="58"/>
      <c r="D61" s="58"/>
      <c r="E61" s="58"/>
      <c r="F61" s="58"/>
      <c r="G61" s="58"/>
      <c r="H61" s="58"/>
      <c r="I61" s="75"/>
      <c r="J61" s="58"/>
      <c r="K61" s="76"/>
      <c r="L61" s="58"/>
      <c r="M61" s="77"/>
      <c r="N61" s="76"/>
      <c r="O61" s="76"/>
      <c r="P61" s="76"/>
      <c r="R61" s="76" t="e">
        <f t="shared" si="0"/>
        <v>#VALUE!</v>
      </c>
      <c r="S61" s="77" t="e">
        <f t="shared" si="1"/>
        <v>#VALUE!</v>
      </c>
      <c r="T61" s="76" t="e">
        <f t="shared" si="2"/>
        <v>#VALUE!</v>
      </c>
      <c r="U61" s="76" t="e">
        <f t="shared" si="3"/>
        <v>#VALUE!</v>
      </c>
    </row>
    <row r="62" spans="2:21" outlineLevel="1" x14ac:dyDescent="0.25">
      <c r="B62" s="74"/>
      <c r="C62" s="58"/>
      <c r="D62" s="58"/>
      <c r="E62" s="58"/>
      <c r="F62" s="58"/>
      <c r="G62" s="58"/>
      <c r="H62" s="58"/>
      <c r="I62" s="75"/>
      <c r="J62" s="58"/>
      <c r="K62" s="76"/>
      <c r="L62" s="58"/>
      <c r="M62" s="77"/>
      <c r="N62" s="76"/>
      <c r="O62" s="76"/>
      <c r="P62" s="76"/>
      <c r="R62" s="76" t="e">
        <f t="shared" si="0"/>
        <v>#VALUE!</v>
      </c>
      <c r="S62" s="77" t="e">
        <f t="shared" si="1"/>
        <v>#VALUE!</v>
      </c>
      <c r="T62" s="76" t="e">
        <f t="shared" si="2"/>
        <v>#VALUE!</v>
      </c>
      <c r="U62" s="76" t="e">
        <f t="shared" si="3"/>
        <v>#VALUE!</v>
      </c>
    </row>
    <row r="63" spans="2:21" outlineLevel="1" x14ac:dyDescent="0.25">
      <c r="B63" s="74"/>
      <c r="C63" s="58"/>
      <c r="D63" s="58"/>
      <c r="E63" s="58"/>
      <c r="F63" s="58"/>
      <c r="G63" s="58"/>
      <c r="H63" s="58"/>
      <c r="I63" s="75"/>
      <c r="J63" s="58"/>
      <c r="K63" s="76"/>
      <c r="L63" s="58"/>
      <c r="M63" s="77"/>
      <c r="N63" s="76"/>
      <c r="O63" s="76"/>
      <c r="P63" s="76"/>
      <c r="R63" s="76" t="e">
        <f t="shared" si="0"/>
        <v>#VALUE!</v>
      </c>
      <c r="S63" s="77" t="e">
        <f t="shared" si="1"/>
        <v>#VALUE!</v>
      </c>
      <c r="T63" s="76" t="e">
        <f t="shared" si="2"/>
        <v>#VALUE!</v>
      </c>
      <c r="U63" s="76" t="e">
        <f t="shared" si="3"/>
        <v>#VALUE!</v>
      </c>
    </row>
    <row r="64" spans="2:21" outlineLevel="1" x14ac:dyDescent="0.25">
      <c r="B64" s="74"/>
      <c r="C64" s="58"/>
      <c r="D64" s="58"/>
      <c r="E64" s="58"/>
      <c r="F64" s="58"/>
      <c r="G64" s="58"/>
      <c r="H64" s="58"/>
      <c r="I64" s="75"/>
      <c r="J64" s="58"/>
      <c r="K64" s="76"/>
      <c r="L64" s="58"/>
      <c r="M64" s="77"/>
      <c r="N64" s="76"/>
      <c r="O64" s="76"/>
      <c r="P64" s="76"/>
      <c r="R64" s="76" t="e">
        <f t="shared" si="0"/>
        <v>#VALUE!</v>
      </c>
      <c r="S64" s="77" t="e">
        <f t="shared" si="1"/>
        <v>#VALUE!</v>
      </c>
      <c r="T64" s="76" t="e">
        <f t="shared" si="2"/>
        <v>#VALUE!</v>
      </c>
      <c r="U64" s="76" t="e">
        <f t="shared" si="3"/>
        <v>#VALUE!</v>
      </c>
    </row>
    <row r="65" spans="2:22" outlineLevel="1" x14ac:dyDescent="0.25">
      <c r="B65" s="74"/>
      <c r="C65" s="58"/>
      <c r="D65" s="58"/>
      <c r="E65" s="58"/>
      <c r="F65" s="58"/>
      <c r="G65" s="58"/>
      <c r="H65" s="58"/>
      <c r="I65" s="75"/>
      <c r="J65" s="58"/>
      <c r="K65" s="76"/>
      <c r="L65" s="58"/>
      <c r="M65" s="77"/>
      <c r="N65" s="76"/>
      <c r="O65" s="76"/>
      <c r="P65" s="76"/>
      <c r="R65" s="76" t="e">
        <f t="shared" si="0"/>
        <v>#VALUE!</v>
      </c>
      <c r="S65" s="77" t="e">
        <f t="shared" si="1"/>
        <v>#VALUE!</v>
      </c>
      <c r="T65" s="76" t="e">
        <f t="shared" si="2"/>
        <v>#VALUE!</v>
      </c>
      <c r="U65" s="76" t="e">
        <f t="shared" si="3"/>
        <v>#VALUE!</v>
      </c>
    </row>
    <row r="66" spans="2:22" outlineLevel="1" x14ac:dyDescent="0.25">
      <c r="B66" s="74"/>
      <c r="C66" s="58"/>
      <c r="D66" s="58"/>
      <c r="E66" s="58"/>
      <c r="F66" s="58"/>
      <c r="G66" s="58"/>
      <c r="H66" s="58"/>
      <c r="I66" s="75"/>
      <c r="J66" s="58"/>
      <c r="K66" s="76"/>
      <c r="L66" s="58"/>
      <c r="M66" s="77"/>
      <c r="N66" s="76"/>
      <c r="O66" s="76"/>
      <c r="P66" s="76"/>
      <c r="R66" s="76" t="e">
        <f t="shared" si="0"/>
        <v>#VALUE!</v>
      </c>
      <c r="S66" s="77" t="e">
        <f t="shared" si="1"/>
        <v>#VALUE!</v>
      </c>
      <c r="T66" s="76" t="e">
        <f t="shared" si="2"/>
        <v>#VALUE!</v>
      </c>
      <c r="U66" s="76" t="e">
        <f t="shared" si="3"/>
        <v>#VALUE!</v>
      </c>
    </row>
    <row r="67" spans="2:22" outlineLevel="1" x14ac:dyDescent="0.25">
      <c r="B67" s="74"/>
      <c r="C67" s="58"/>
      <c r="D67" s="58"/>
      <c r="E67" s="58"/>
      <c r="F67" s="58"/>
      <c r="G67" s="58"/>
      <c r="H67" s="58"/>
      <c r="I67" s="75"/>
      <c r="J67" s="58"/>
      <c r="K67" s="76"/>
      <c r="L67" s="58"/>
      <c r="M67" s="77"/>
      <c r="N67" s="76"/>
      <c r="O67" s="76"/>
      <c r="P67" s="76"/>
      <c r="R67" s="76" t="e">
        <f t="shared" si="0"/>
        <v>#VALUE!</v>
      </c>
      <c r="S67" s="77" t="e">
        <f t="shared" si="1"/>
        <v>#VALUE!</v>
      </c>
      <c r="T67" s="76" t="e">
        <f t="shared" si="2"/>
        <v>#VALUE!</v>
      </c>
      <c r="U67" s="76" t="e">
        <f t="shared" si="3"/>
        <v>#VALUE!</v>
      </c>
    </row>
    <row r="68" spans="2:22" outlineLevel="1" x14ac:dyDescent="0.25">
      <c r="B68" s="74"/>
      <c r="C68" s="58"/>
      <c r="D68" s="58"/>
      <c r="E68" s="58"/>
      <c r="F68" s="58"/>
      <c r="G68" s="58"/>
      <c r="H68" s="58"/>
      <c r="I68" s="75"/>
      <c r="J68" s="58"/>
      <c r="K68" s="76"/>
      <c r="L68" s="58"/>
      <c r="M68" s="77"/>
      <c r="N68" s="76"/>
      <c r="O68" s="76"/>
      <c r="P68" s="76"/>
      <c r="R68" s="76" t="e">
        <f t="shared" si="0"/>
        <v>#VALUE!</v>
      </c>
      <c r="S68" s="77" t="e">
        <f t="shared" si="1"/>
        <v>#VALUE!</v>
      </c>
      <c r="T68" s="76" t="e">
        <f t="shared" si="2"/>
        <v>#VALUE!</v>
      </c>
      <c r="U68" s="76" t="e">
        <f t="shared" si="3"/>
        <v>#VALUE!</v>
      </c>
    </row>
    <row r="69" spans="2:22" outlineLevel="1" x14ac:dyDescent="0.25">
      <c r="B69" s="74"/>
      <c r="C69" s="58"/>
      <c r="D69" s="58"/>
      <c r="E69" s="58"/>
      <c r="F69" s="58"/>
      <c r="G69" s="58"/>
      <c r="H69" s="58"/>
      <c r="I69" s="75"/>
      <c r="J69" s="58"/>
      <c r="K69" s="76"/>
      <c r="L69" s="58"/>
      <c r="M69" s="77"/>
      <c r="N69" s="76"/>
      <c r="O69" s="76"/>
      <c r="P69" s="76"/>
      <c r="R69" s="76" t="e">
        <f t="shared" si="0"/>
        <v>#VALUE!</v>
      </c>
      <c r="S69" s="77" t="e">
        <f t="shared" si="1"/>
        <v>#VALUE!</v>
      </c>
      <c r="T69" s="76" t="e">
        <f t="shared" si="2"/>
        <v>#VALUE!</v>
      </c>
      <c r="U69" s="76" t="e">
        <f t="shared" si="3"/>
        <v>#VALUE!</v>
      </c>
    </row>
    <row r="70" spans="2:22" outlineLevel="1" x14ac:dyDescent="0.25">
      <c r="B70" s="74"/>
      <c r="C70" s="58"/>
      <c r="D70" s="58"/>
      <c r="E70" s="58"/>
      <c r="F70" s="58"/>
      <c r="G70" s="58"/>
      <c r="H70" s="58"/>
      <c r="I70" s="75"/>
      <c r="J70" s="58"/>
      <c r="K70" s="76"/>
      <c r="L70" s="58"/>
      <c r="M70" s="77"/>
      <c r="N70" s="76"/>
      <c r="O70" s="76"/>
      <c r="P70" s="76"/>
      <c r="R70" s="76" t="e">
        <f t="shared" si="0"/>
        <v>#VALUE!</v>
      </c>
      <c r="S70" s="77" t="e">
        <f t="shared" si="1"/>
        <v>#VALUE!</v>
      </c>
      <c r="T70" s="76" t="e">
        <f t="shared" si="2"/>
        <v>#VALUE!</v>
      </c>
      <c r="U70" s="76" t="e">
        <f t="shared" si="3"/>
        <v>#VALUE!</v>
      </c>
    </row>
    <row r="71" spans="2:22" s="35" customFormat="1" ht="5" customHeight="1" outlineLevel="1" x14ac:dyDescent="0.25">
      <c r="B71" s="46"/>
      <c r="C71" s="47"/>
      <c r="D71" s="47"/>
      <c r="E71" s="47"/>
      <c r="F71" s="47"/>
      <c r="G71" s="47"/>
      <c r="H71" s="48"/>
      <c r="I71" s="48"/>
      <c r="J71" s="47"/>
      <c r="K71" s="47"/>
      <c r="L71" s="47"/>
      <c r="M71" s="50"/>
      <c r="N71" s="49"/>
      <c r="O71" s="49"/>
      <c r="P71" s="49"/>
      <c r="Q71" s="42"/>
      <c r="R71" s="49"/>
      <c r="S71" s="50"/>
      <c r="T71" s="49"/>
      <c r="U71" s="49"/>
      <c r="V71" s="17"/>
    </row>
    <row r="72" spans="2:22" ht="13" thickBot="1" x14ac:dyDescent="0.3">
      <c r="B72" s="80"/>
      <c r="C72" s="47"/>
      <c r="D72" s="47"/>
      <c r="E72" s="47"/>
      <c r="F72" s="47"/>
      <c r="G72" s="47"/>
      <c r="H72" s="48"/>
      <c r="I72" s="47"/>
      <c r="J72" s="80"/>
      <c r="K72" s="44">
        <f>+SUM(K53:K70)</f>
        <v>0</v>
      </c>
      <c r="L72" s="47"/>
      <c r="M72" s="47"/>
      <c r="N72" s="80"/>
      <c r="O72" s="44">
        <f>+SUM(O53:O70)</f>
        <v>0</v>
      </c>
      <c r="P72" s="47"/>
      <c r="R72" s="47"/>
      <c r="S72" s="47"/>
      <c r="T72" s="81"/>
      <c r="U72" s="44" t="e">
        <f>+SUM(U53:U70)</f>
        <v>#VALUE!</v>
      </c>
    </row>
    <row r="73" spans="2:22" ht="13" thickTop="1" x14ac:dyDescent="0.25">
      <c r="T73" s="45"/>
      <c r="U73" s="136" t="s">
        <v>37</v>
      </c>
    </row>
    <row r="75" spans="2:22" x14ac:dyDescent="0.25">
      <c r="B75" s="118" t="s">
        <v>103</v>
      </c>
      <c r="C75" s="36"/>
      <c r="D75" s="36"/>
      <c r="E75" s="36"/>
      <c r="F75" s="36"/>
      <c r="G75" s="36"/>
    </row>
    <row r="76" spans="2:22" x14ac:dyDescent="0.25">
      <c r="B76" s="36"/>
      <c r="C76" s="36"/>
      <c r="D76" s="36"/>
      <c r="E76" s="36"/>
      <c r="F76" s="36"/>
      <c r="G76" s="36"/>
    </row>
    <row r="77" spans="2:22" x14ac:dyDescent="0.25">
      <c r="B77" s="102"/>
      <c r="C77" s="36"/>
      <c r="D77" s="36"/>
      <c r="E77" s="36"/>
      <c r="F77" s="36"/>
      <c r="G77" s="17"/>
    </row>
    <row r="78" spans="2:22" ht="25" x14ac:dyDescent="0.25">
      <c r="B78" s="73" t="s">
        <v>81</v>
      </c>
      <c r="C78" s="73" t="s">
        <v>82</v>
      </c>
      <c r="D78" s="73" t="s">
        <v>83</v>
      </c>
      <c r="E78" s="73" t="s">
        <v>48</v>
      </c>
      <c r="F78" s="73" t="s">
        <v>47</v>
      </c>
      <c r="G78" s="73" t="s">
        <v>83</v>
      </c>
    </row>
    <row r="79" spans="2:22" x14ac:dyDescent="0.25">
      <c r="B79" s="58"/>
      <c r="C79" s="58"/>
      <c r="D79" s="76"/>
      <c r="E79" s="76"/>
      <c r="F79" s="76"/>
      <c r="G79" s="76">
        <f>+D79+E79+F79</f>
        <v>0</v>
      </c>
    </row>
    <row r="80" spans="2:22" x14ac:dyDescent="0.25">
      <c r="B80" s="58"/>
      <c r="C80" s="58"/>
      <c r="D80" s="76"/>
      <c r="E80" s="76"/>
      <c r="F80" s="76"/>
      <c r="G80" s="76">
        <f t="shared" ref="G80:G82" si="4">+D80+E80+F80</f>
        <v>0</v>
      </c>
    </row>
    <row r="81" spans="2:17" x14ac:dyDescent="0.25">
      <c r="B81" s="58"/>
      <c r="C81" s="58"/>
      <c r="D81" s="76"/>
      <c r="E81" s="76"/>
      <c r="F81" s="76"/>
      <c r="G81" s="76">
        <f t="shared" si="4"/>
        <v>0</v>
      </c>
    </row>
    <row r="82" spans="2:17" x14ac:dyDescent="0.25">
      <c r="B82" s="58"/>
      <c r="C82" s="58"/>
      <c r="D82" s="76"/>
      <c r="E82" s="76"/>
      <c r="F82" s="76"/>
      <c r="G82" s="76">
        <f t="shared" si="4"/>
        <v>0</v>
      </c>
    </row>
    <row r="83" spans="2:17" ht="6" customHeight="1" x14ac:dyDescent="0.25">
      <c r="B83" s="47"/>
      <c r="C83" s="47"/>
      <c r="D83" s="49"/>
      <c r="E83" s="49"/>
      <c r="F83" s="49"/>
      <c r="G83" s="49"/>
    </row>
    <row r="84" spans="2:17" ht="13" thickBot="1" x14ac:dyDescent="0.3">
      <c r="B84" s="34"/>
      <c r="D84" s="82">
        <f>+SUM(D79:D82)</f>
        <v>0</v>
      </c>
      <c r="E84" s="82">
        <f>+SUM(E79:E82)</f>
        <v>0</v>
      </c>
      <c r="F84" s="82">
        <f>+SUM(F79:F82)</f>
        <v>0</v>
      </c>
      <c r="G84" s="82">
        <f>+SUM(G79:G82)</f>
        <v>0</v>
      </c>
    </row>
    <row r="85" spans="2:17" ht="13" thickTop="1" x14ac:dyDescent="0.25">
      <c r="D85" s="43" t="s">
        <v>65</v>
      </c>
      <c r="E85" s="83" t="s">
        <v>42</v>
      </c>
      <c r="F85" s="83" t="s">
        <v>108</v>
      </c>
      <c r="G85" s="43" t="s">
        <v>65</v>
      </c>
    </row>
    <row r="86" spans="2:17" x14ac:dyDescent="0.25">
      <c r="D86" s="52"/>
      <c r="E86" s="45"/>
      <c r="F86" s="45"/>
      <c r="G86" s="52"/>
    </row>
    <row r="88" spans="2:17" ht="14.5" x14ac:dyDescent="0.35">
      <c r="B88" s="141" t="s">
        <v>116</v>
      </c>
      <c r="C88" s="142"/>
      <c r="D88" s="142"/>
      <c r="E88" s="142"/>
      <c r="F88" s="143"/>
      <c r="G88"/>
    </row>
    <row r="89" spans="2:17" s="32" customFormat="1" x14ac:dyDescent="0.25">
      <c r="B89" s="53"/>
      <c r="C89" s="53"/>
      <c r="D89" s="53"/>
      <c r="E89" s="54"/>
      <c r="G89" s="33"/>
      <c r="Q89" s="79"/>
    </row>
    <row r="90" spans="2:17" s="32" customFormat="1" x14ac:dyDescent="0.25">
      <c r="B90" s="129" t="s">
        <v>135</v>
      </c>
      <c r="C90" s="53"/>
      <c r="D90" s="53"/>
      <c r="E90" s="54"/>
      <c r="G90" s="33"/>
      <c r="Q90" s="79"/>
    </row>
    <row r="91" spans="2:17" s="32" customFormat="1" x14ac:dyDescent="0.25">
      <c r="B91" s="57"/>
      <c r="C91" s="53"/>
      <c r="D91" s="53"/>
      <c r="E91" s="54"/>
      <c r="G91" s="33"/>
      <c r="Q91" s="79"/>
    </row>
    <row r="92" spans="2:17" s="32" customFormat="1" ht="25" x14ac:dyDescent="0.25">
      <c r="B92" s="73" t="s">
        <v>81</v>
      </c>
      <c r="C92" s="73" t="s">
        <v>82</v>
      </c>
      <c r="D92" s="73" t="s">
        <v>97</v>
      </c>
      <c r="E92" s="73" t="s">
        <v>83</v>
      </c>
      <c r="F92" s="97" t="s">
        <v>38</v>
      </c>
      <c r="G92" s="33"/>
      <c r="Q92" s="79"/>
    </row>
    <row r="93" spans="2:17" s="32" customFormat="1" x14ac:dyDescent="0.25">
      <c r="B93" s="58"/>
      <c r="C93" s="58"/>
      <c r="D93" s="122">
        <f>+K53</f>
        <v>0</v>
      </c>
      <c r="E93" s="84"/>
      <c r="F93" s="78">
        <f>+D93-E93</f>
        <v>0</v>
      </c>
      <c r="G93" s="56"/>
      <c r="Q93" s="79"/>
    </row>
    <row r="94" spans="2:17" s="32" customFormat="1" x14ac:dyDescent="0.25">
      <c r="B94" s="58"/>
      <c r="C94" s="58"/>
      <c r="D94" s="58"/>
      <c r="E94" s="84"/>
      <c r="F94" s="78">
        <f t="shared" ref="F94:F97" si="5">+D94-E94</f>
        <v>0</v>
      </c>
      <c r="G94" s="33"/>
      <c r="Q94" s="79"/>
    </row>
    <row r="95" spans="2:17" s="32" customFormat="1" x14ac:dyDescent="0.25">
      <c r="B95" s="58"/>
      <c r="C95" s="58"/>
      <c r="D95" s="58"/>
      <c r="E95" s="84"/>
      <c r="F95" s="78">
        <f t="shared" si="5"/>
        <v>0</v>
      </c>
      <c r="G95" s="56"/>
      <c r="Q95" s="79"/>
    </row>
    <row r="96" spans="2:17" s="32" customFormat="1" x14ac:dyDescent="0.25">
      <c r="B96" s="58"/>
      <c r="C96" s="58"/>
      <c r="D96" s="58"/>
      <c r="E96" s="84"/>
      <c r="F96" s="78">
        <f>+D96-E96</f>
        <v>0</v>
      </c>
      <c r="G96" s="33"/>
      <c r="Q96" s="79"/>
    </row>
    <row r="97" spans="2:17" s="32" customFormat="1" x14ac:dyDescent="0.25">
      <c r="B97" s="58"/>
      <c r="C97" s="58"/>
      <c r="D97" s="76"/>
      <c r="E97" s="85"/>
      <c r="F97" s="78">
        <f t="shared" si="5"/>
        <v>0</v>
      </c>
      <c r="G97" s="56"/>
      <c r="Q97" s="79"/>
    </row>
    <row r="98" spans="2:17" s="32" customFormat="1" ht="6" customHeight="1" x14ac:dyDescent="0.25">
      <c r="B98" s="47"/>
      <c r="C98" s="47"/>
      <c r="D98" s="98"/>
      <c r="E98" s="99"/>
      <c r="F98" s="93"/>
      <c r="G98" s="56"/>
      <c r="Q98" s="79"/>
    </row>
    <row r="99" spans="2:17" s="32" customFormat="1" ht="13" thickBot="1" x14ac:dyDescent="0.3">
      <c r="B99" s="1"/>
      <c r="C99" s="1"/>
      <c r="D99" s="86">
        <f>+SUM(D93:D97)</f>
        <v>0</v>
      </c>
      <c r="E99" s="86">
        <f t="shared" ref="E99:F99" si="6">+SUM(E93:E97)</f>
        <v>0</v>
      </c>
      <c r="F99" s="86">
        <f t="shared" si="6"/>
        <v>0</v>
      </c>
      <c r="Q99" s="79"/>
    </row>
    <row r="100" spans="2:17" s="32" customFormat="1" ht="13" thickTop="1" x14ac:dyDescent="0.25">
      <c r="B100" s="53"/>
      <c r="C100" s="53"/>
      <c r="D100" s="53"/>
      <c r="E100" s="55" t="s">
        <v>65</v>
      </c>
      <c r="F100" s="63"/>
      <c r="G100" s="33"/>
      <c r="Q100" s="79"/>
    </row>
    <row r="101" spans="2:17" s="32" customFormat="1" x14ac:dyDescent="0.25">
      <c r="B101" s="53"/>
      <c r="C101" s="53"/>
      <c r="D101" s="53"/>
      <c r="E101" s="55"/>
      <c r="G101" s="33"/>
      <c r="Q101" s="79"/>
    </row>
    <row r="102" spans="2:17" s="32" customFormat="1" x14ac:dyDescent="0.25">
      <c r="B102" s="129" t="s">
        <v>136</v>
      </c>
      <c r="C102" s="53"/>
      <c r="D102" s="53"/>
      <c r="E102" s="54"/>
      <c r="G102" s="33"/>
      <c r="Q102" s="79"/>
    </row>
    <row r="103" spans="2:17" s="32" customFormat="1" x14ac:dyDescent="0.25">
      <c r="B103" s="37"/>
      <c r="E103" s="54"/>
      <c r="F103" s="67"/>
      <c r="G103" s="33"/>
      <c r="Q103" s="79"/>
    </row>
    <row r="104" spans="2:17" s="106" customFormat="1" ht="25" x14ac:dyDescent="0.25">
      <c r="B104" s="73" t="s">
        <v>81</v>
      </c>
      <c r="C104" s="73" t="s">
        <v>82</v>
      </c>
      <c r="D104" s="73" t="s">
        <v>83</v>
      </c>
      <c r="E104" s="54"/>
      <c r="F104" s="54"/>
      <c r="G104" s="54"/>
      <c r="I104" s="32"/>
      <c r="J104" s="32"/>
      <c r="K104" s="32"/>
      <c r="L104" s="32"/>
      <c r="Q104" s="107"/>
    </row>
    <row r="105" spans="2:17" x14ac:dyDescent="0.25">
      <c r="B105" s="58"/>
      <c r="C105" s="58"/>
      <c r="D105" s="76"/>
      <c r="E105" s="54"/>
      <c r="F105" s="54"/>
      <c r="G105" s="54"/>
      <c r="I105" s="32"/>
      <c r="J105" s="32"/>
      <c r="K105" s="32"/>
      <c r="L105" s="32"/>
    </row>
    <row r="106" spans="2:17" x14ac:dyDescent="0.25">
      <c r="B106" s="58"/>
      <c r="C106" s="58"/>
      <c r="D106" s="76"/>
      <c r="E106" s="54"/>
      <c r="F106" s="54"/>
      <c r="G106" s="54"/>
      <c r="I106" s="32"/>
      <c r="J106" s="32"/>
      <c r="K106" s="32"/>
      <c r="L106" s="32"/>
    </row>
    <row r="107" spans="2:17" x14ac:dyDescent="0.25">
      <c r="B107" s="58"/>
      <c r="C107" s="58"/>
      <c r="D107" s="76"/>
      <c r="E107" s="54"/>
      <c r="F107" s="54"/>
      <c r="G107" s="54"/>
      <c r="I107" s="32"/>
      <c r="J107" s="32"/>
      <c r="K107" s="32"/>
      <c r="L107" s="32"/>
    </row>
    <row r="108" spans="2:17" ht="6" customHeight="1" x14ac:dyDescent="0.25">
      <c r="B108" s="47"/>
      <c r="C108" s="47"/>
      <c r="D108" s="49"/>
      <c r="E108" s="54"/>
      <c r="F108" s="54"/>
      <c r="G108" s="54"/>
      <c r="I108" s="32"/>
      <c r="J108" s="32"/>
      <c r="K108" s="32"/>
      <c r="L108" s="32"/>
    </row>
    <row r="109" spans="2:17" ht="13" thickBot="1" x14ac:dyDescent="0.3">
      <c r="B109" s="47"/>
      <c r="C109" s="87"/>
      <c r="D109" s="82">
        <f>+SUM(D105:D107)</f>
        <v>0</v>
      </c>
      <c r="E109" s="54"/>
      <c r="F109" s="54"/>
      <c r="G109" s="54"/>
      <c r="I109" s="32"/>
      <c r="J109" s="32"/>
      <c r="K109" s="32"/>
      <c r="L109" s="32"/>
    </row>
    <row r="110" spans="2:17" ht="13" thickTop="1" x14ac:dyDescent="0.25">
      <c r="B110" s="47"/>
      <c r="C110" s="87"/>
      <c r="D110" s="126"/>
      <c r="E110" s="54"/>
      <c r="F110" s="54"/>
      <c r="G110" s="54"/>
      <c r="I110" s="32"/>
      <c r="J110" s="32"/>
      <c r="K110" s="32"/>
      <c r="L110" s="32"/>
    </row>
    <row r="111" spans="2:17" x14ac:dyDescent="0.25">
      <c r="C111" s="137" t="s">
        <v>129</v>
      </c>
      <c r="D111" s="127" t="e">
        <f>+U72</f>
        <v>#VALUE!</v>
      </c>
      <c r="E111" s="92" t="s">
        <v>37</v>
      </c>
      <c r="G111" s="59"/>
    </row>
    <row r="112" spans="2:17" ht="13" thickBot="1" x14ac:dyDescent="0.3">
      <c r="C112" s="133" t="s">
        <v>38</v>
      </c>
      <c r="D112" s="134" t="e">
        <f>+D109-D111</f>
        <v>#VALUE!</v>
      </c>
      <c r="G112" s="59"/>
    </row>
    <row r="113" spans="2:17" ht="13" thickTop="1" x14ac:dyDescent="0.25">
      <c r="D113" s="59"/>
      <c r="G113" s="59"/>
    </row>
    <row r="114" spans="2:17" x14ac:dyDescent="0.25">
      <c r="D114" s="51"/>
      <c r="G114" s="17"/>
      <c r="H114" s="62"/>
      <c r="I114" s="100"/>
      <c r="J114" s="60"/>
    </row>
    <row r="115" spans="2:17" x14ac:dyDescent="0.25">
      <c r="B115" s="118" t="s">
        <v>107</v>
      </c>
      <c r="C115" s="40"/>
      <c r="D115" s="41"/>
      <c r="G115" s="17"/>
      <c r="H115" s="62"/>
      <c r="I115" s="100"/>
      <c r="J115" s="60"/>
    </row>
    <row r="116" spans="2:17" x14ac:dyDescent="0.25">
      <c r="B116" s="36"/>
      <c r="C116" s="36"/>
      <c r="D116" s="36"/>
      <c r="G116" s="17"/>
      <c r="H116" s="139"/>
      <c r="I116" s="140"/>
      <c r="J116" s="60"/>
    </row>
    <row r="117" spans="2:17" ht="25" x14ac:dyDescent="0.25">
      <c r="B117" s="73" t="s">
        <v>81</v>
      </c>
      <c r="C117" s="73" t="s">
        <v>82</v>
      </c>
      <c r="D117" s="73" t="s">
        <v>83</v>
      </c>
      <c r="G117" s="17"/>
      <c r="H117" s="139"/>
      <c r="I117" s="140"/>
      <c r="J117" s="60"/>
    </row>
    <row r="118" spans="2:17" x14ac:dyDescent="0.25">
      <c r="B118" s="88"/>
      <c r="C118" s="88"/>
      <c r="D118" s="89"/>
      <c r="E118" s="131" t="s">
        <v>105</v>
      </c>
    </row>
    <row r="119" spans="2:17" x14ac:dyDescent="0.25">
      <c r="B119" s="90"/>
      <c r="C119" s="90"/>
      <c r="D119" s="91"/>
      <c r="E119" s="131"/>
    </row>
    <row r="120" spans="2:17" x14ac:dyDescent="0.25">
      <c r="B120" s="90"/>
      <c r="C120" s="138" t="s">
        <v>130</v>
      </c>
      <c r="D120" s="91">
        <f>+E84</f>
        <v>0</v>
      </c>
      <c r="E120" s="92" t="s">
        <v>42</v>
      </c>
      <c r="G120" s="17"/>
    </row>
    <row r="121" spans="2:17" ht="13" thickBot="1" x14ac:dyDescent="0.3">
      <c r="B121" s="36"/>
      <c r="C121" s="133" t="s">
        <v>38</v>
      </c>
      <c r="D121" s="135">
        <f>+D118+D120</f>
        <v>0</v>
      </c>
      <c r="G121" s="17"/>
    </row>
    <row r="122" spans="2:17" ht="13" thickTop="1" x14ac:dyDescent="0.25">
      <c r="G122" s="17"/>
    </row>
    <row r="123" spans="2:17" x14ac:dyDescent="0.25">
      <c r="G123" s="17"/>
    </row>
    <row r="124" spans="2:17" x14ac:dyDescent="0.25">
      <c r="B124" s="118" t="s">
        <v>104</v>
      </c>
      <c r="C124" s="40"/>
      <c r="D124" s="41"/>
      <c r="E124" s="36"/>
      <c r="G124" s="17"/>
    </row>
    <row r="125" spans="2:17" x14ac:dyDescent="0.25">
      <c r="B125" s="36"/>
      <c r="C125" s="36"/>
      <c r="D125" s="36"/>
      <c r="E125" s="36"/>
      <c r="G125" s="17"/>
    </row>
    <row r="126" spans="2:17" s="32" customFormat="1" ht="25" x14ac:dyDescent="0.25">
      <c r="B126" s="73" t="s">
        <v>81</v>
      </c>
      <c r="C126" s="73" t="s">
        <v>82</v>
      </c>
      <c r="D126" s="73" t="s">
        <v>83</v>
      </c>
      <c r="E126" s="17"/>
      <c r="F126" s="17"/>
      <c r="G126" s="17"/>
      <c r="J126" s="17"/>
      <c r="K126" s="17"/>
      <c r="Q126" s="79"/>
    </row>
    <row r="127" spans="2:17" s="32" customFormat="1" x14ac:dyDescent="0.25">
      <c r="B127" s="88"/>
      <c r="C127" s="88"/>
      <c r="D127" s="89"/>
      <c r="E127" s="132" t="s">
        <v>106</v>
      </c>
      <c r="F127" s="17"/>
      <c r="G127" s="17"/>
      <c r="J127" s="17"/>
      <c r="K127" s="17"/>
      <c r="Q127" s="79"/>
    </row>
    <row r="128" spans="2:17" s="32" customFormat="1" x14ac:dyDescent="0.25">
      <c r="B128" s="90"/>
      <c r="C128" s="90"/>
      <c r="D128" s="91"/>
      <c r="E128" s="132"/>
      <c r="F128" s="17"/>
      <c r="G128" s="17"/>
      <c r="J128" s="17"/>
      <c r="K128" s="17"/>
      <c r="Q128" s="79"/>
    </row>
    <row r="129" spans="1:17" s="32" customFormat="1" x14ac:dyDescent="0.25">
      <c r="B129" s="90"/>
      <c r="C129" s="138" t="s">
        <v>131</v>
      </c>
      <c r="D129" s="91">
        <f>+F84</f>
        <v>0</v>
      </c>
      <c r="E129" s="92" t="s">
        <v>108</v>
      </c>
      <c r="G129" s="33"/>
      <c r="J129" s="17"/>
      <c r="K129" s="17"/>
      <c r="Q129" s="79"/>
    </row>
    <row r="130" spans="1:17" s="32" customFormat="1" x14ac:dyDescent="0.25">
      <c r="B130" s="90"/>
      <c r="C130" s="138" t="s">
        <v>132</v>
      </c>
      <c r="D130" s="91">
        <v>0</v>
      </c>
      <c r="E130" s="131" t="s">
        <v>133</v>
      </c>
      <c r="G130" s="33"/>
      <c r="J130" s="17"/>
      <c r="K130" s="17"/>
      <c r="Q130" s="79"/>
    </row>
    <row r="131" spans="1:17" s="32" customFormat="1" ht="13" thickBot="1" x14ac:dyDescent="0.3">
      <c r="B131" s="36"/>
      <c r="C131" s="133" t="s">
        <v>38</v>
      </c>
      <c r="D131" s="135">
        <f>+D127+D129+D130</f>
        <v>0</v>
      </c>
      <c r="E131" s="17"/>
      <c r="G131" s="33"/>
      <c r="J131" s="17"/>
      <c r="K131" s="17"/>
      <c r="Q131" s="79"/>
    </row>
    <row r="132" spans="1:17" s="32" customFormat="1" ht="13" thickTop="1" x14ac:dyDescent="0.25">
      <c r="B132" s="36"/>
      <c r="C132" s="40"/>
      <c r="D132" s="65"/>
      <c r="E132" s="17"/>
      <c r="G132" s="33"/>
      <c r="J132" s="17"/>
      <c r="K132" s="17"/>
      <c r="Q132" s="79"/>
    </row>
    <row r="133" spans="1:17" s="32" customFormat="1" x14ac:dyDescent="0.25">
      <c r="B133" s="36"/>
      <c r="C133" s="40"/>
      <c r="D133" s="65"/>
      <c r="E133" s="17"/>
      <c r="G133" s="33"/>
      <c r="J133" s="17"/>
      <c r="K133" s="17"/>
      <c r="Q133" s="79"/>
    </row>
    <row r="134" spans="1:17" s="32" customFormat="1" x14ac:dyDescent="0.25">
      <c r="B134" s="66" t="s">
        <v>51</v>
      </c>
      <c r="C134" s="40"/>
      <c r="D134" s="65"/>
      <c r="E134" s="17"/>
      <c r="G134" s="33"/>
      <c r="J134" s="17"/>
      <c r="K134" s="17"/>
      <c r="Q134" s="79"/>
    </row>
    <row r="135" spans="1:17" s="32" customFormat="1" ht="7" customHeight="1" x14ac:dyDescent="0.25">
      <c r="B135" s="66"/>
      <c r="C135" s="40"/>
      <c r="D135" s="65"/>
      <c r="E135" s="17"/>
      <c r="G135" s="33"/>
      <c r="J135" s="17"/>
      <c r="K135" s="17"/>
      <c r="Q135" s="79"/>
    </row>
    <row r="136" spans="1:17" s="32" customFormat="1" x14ac:dyDescent="0.25">
      <c r="A136" s="61"/>
      <c r="B136" s="17" t="s">
        <v>87</v>
      </c>
      <c r="C136" s="40"/>
      <c r="D136" s="65"/>
      <c r="E136" s="17"/>
      <c r="G136" s="33"/>
      <c r="J136" s="17"/>
      <c r="K136" s="17"/>
      <c r="Q136" s="79"/>
    </row>
    <row r="137" spans="1:17" s="32" customFormat="1" x14ac:dyDescent="0.25">
      <c r="A137" s="61"/>
      <c r="B137" s="36" t="s">
        <v>88</v>
      </c>
      <c r="C137" s="40"/>
      <c r="D137" s="65"/>
      <c r="E137" s="17"/>
      <c r="G137" s="33"/>
      <c r="J137" s="17"/>
      <c r="K137" s="17"/>
      <c r="Q137" s="79"/>
    </row>
    <row r="138" spans="1:17" s="32" customFormat="1" x14ac:dyDescent="0.25">
      <c r="A138" s="61"/>
      <c r="B138" s="36" t="s">
        <v>89</v>
      </c>
      <c r="C138" s="40"/>
      <c r="D138" s="65"/>
      <c r="E138" s="17"/>
      <c r="G138" s="33"/>
      <c r="J138" s="17"/>
      <c r="K138" s="17"/>
      <c r="Q138" s="79"/>
    </row>
    <row r="139" spans="1:17" s="32" customFormat="1" x14ac:dyDescent="0.25">
      <c r="A139" s="61"/>
      <c r="B139" s="36" t="s">
        <v>64</v>
      </c>
      <c r="C139" s="40"/>
      <c r="D139" s="65"/>
      <c r="E139" s="17"/>
      <c r="G139" s="33"/>
      <c r="J139" s="17"/>
      <c r="K139" s="17"/>
      <c r="Q139" s="79"/>
    </row>
    <row r="140" spans="1:17" s="32" customFormat="1" x14ac:dyDescent="0.25">
      <c r="A140" s="61"/>
      <c r="B140" s="36" t="s">
        <v>90</v>
      </c>
      <c r="C140" s="40"/>
      <c r="D140" s="65"/>
      <c r="E140" s="17"/>
      <c r="G140" s="33"/>
      <c r="J140" s="17"/>
      <c r="K140" s="17"/>
      <c r="Q140" s="79"/>
    </row>
    <row r="141" spans="1:17" s="32" customFormat="1" x14ac:dyDescent="0.25">
      <c r="A141" s="61"/>
      <c r="B141" s="36" t="s">
        <v>86</v>
      </c>
      <c r="C141" s="40"/>
      <c r="D141" s="65"/>
      <c r="E141" s="17"/>
      <c r="G141" s="33"/>
      <c r="J141" s="17"/>
      <c r="K141" s="17"/>
      <c r="Q141" s="79"/>
    </row>
    <row r="142" spans="1:17" s="32" customFormat="1" x14ac:dyDescent="0.25">
      <c r="A142" s="61"/>
      <c r="B142" s="36"/>
      <c r="C142" s="40"/>
      <c r="D142" s="65"/>
      <c r="E142" s="17"/>
      <c r="G142" s="33"/>
      <c r="J142" s="17"/>
      <c r="K142" s="17"/>
      <c r="Q142" s="79"/>
    </row>
    <row r="143" spans="1:17" s="32" customFormat="1" x14ac:dyDescent="0.25">
      <c r="A143" s="105"/>
      <c r="B143" s="66" t="s">
        <v>121</v>
      </c>
      <c r="C143" s="40"/>
      <c r="D143" s="65"/>
      <c r="E143" s="17"/>
      <c r="G143" s="33"/>
      <c r="J143" s="17"/>
      <c r="K143" s="17"/>
      <c r="Q143" s="79"/>
    </row>
    <row r="144" spans="1:17" s="32" customFormat="1" ht="7" customHeight="1" x14ac:dyDescent="0.25">
      <c r="A144" s="105"/>
      <c r="B144" s="66"/>
      <c r="C144" s="40"/>
      <c r="D144" s="65"/>
      <c r="E144" s="17"/>
      <c r="G144" s="33"/>
      <c r="J144" s="17"/>
      <c r="K144" s="17"/>
      <c r="Q144" s="79"/>
    </row>
    <row r="145" spans="1:17" s="32" customFormat="1" x14ac:dyDescent="0.25">
      <c r="A145" s="105" t="s">
        <v>74</v>
      </c>
      <c r="B145" s="66"/>
      <c r="C145" s="40"/>
      <c r="D145" s="65"/>
      <c r="E145" s="17"/>
      <c r="G145" s="33"/>
      <c r="J145" s="17"/>
      <c r="K145" s="17"/>
      <c r="Q145" s="79"/>
    </row>
    <row r="146" spans="1:17" s="32" customFormat="1" x14ac:dyDescent="0.25">
      <c r="A146" s="105" t="s">
        <v>75</v>
      </c>
      <c r="B146" s="66"/>
      <c r="C146" s="40"/>
      <c r="D146" s="65"/>
      <c r="E146" s="17"/>
      <c r="G146" s="33"/>
      <c r="J146" s="17"/>
      <c r="K146" s="17"/>
      <c r="Q146" s="79"/>
    </row>
    <row r="147" spans="1:17" s="32" customFormat="1" x14ac:dyDescent="0.25">
      <c r="A147" s="105" t="s">
        <v>76</v>
      </c>
      <c r="B147" s="66"/>
      <c r="C147" s="40"/>
      <c r="D147" s="65"/>
      <c r="E147" s="17"/>
      <c r="G147" s="33"/>
      <c r="J147" s="17"/>
      <c r="K147" s="17"/>
      <c r="Q147" s="79"/>
    </row>
    <row r="148" spans="1:17" s="32" customFormat="1" x14ac:dyDescent="0.25">
      <c r="A148" s="61"/>
      <c r="B148" s="36"/>
      <c r="C148" s="40"/>
      <c r="D148" s="65"/>
      <c r="E148" s="17"/>
      <c r="G148" s="33"/>
      <c r="J148" s="17"/>
      <c r="K148" s="17"/>
      <c r="Q148" s="79"/>
    </row>
    <row r="149" spans="1:17" s="32" customFormat="1" x14ac:dyDescent="0.25">
      <c r="B149" s="66" t="s">
        <v>66</v>
      </c>
      <c r="C149" s="36"/>
      <c r="D149" s="38"/>
      <c r="E149" s="39"/>
      <c r="G149" s="33"/>
      <c r="J149" s="17"/>
      <c r="K149" s="17"/>
      <c r="Q149" s="79"/>
    </row>
    <row r="150" spans="1:17" s="32" customFormat="1" ht="7" customHeight="1" x14ac:dyDescent="0.25">
      <c r="B150" s="66"/>
      <c r="C150" s="36"/>
      <c r="D150" s="38"/>
      <c r="E150" s="39"/>
      <c r="G150" s="33"/>
      <c r="J150" s="17"/>
      <c r="K150" s="17"/>
      <c r="Q150" s="79"/>
    </row>
    <row r="151" spans="1:17" s="32" customFormat="1" x14ac:dyDescent="0.25">
      <c r="A151" s="43" t="s">
        <v>54</v>
      </c>
      <c r="B151" s="17"/>
      <c r="C151" s="36"/>
      <c r="D151" s="38"/>
      <c r="E151" s="39"/>
      <c r="G151" s="33"/>
      <c r="J151" s="17"/>
      <c r="K151" s="17"/>
      <c r="Q151" s="79"/>
    </row>
    <row r="152" spans="1:17" s="32" customFormat="1" x14ac:dyDescent="0.25">
      <c r="A152" s="43" t="s">
        <v>55</v>
      </c>
      <c r="B152" s="17"/>
      <c r="C152" s="36"/>
      <c r="D152" s="38"/>
      <c r="E152" s="39"/>
      <c r="G152" s="33"/>
      <c r="J152" s="17"/>
      <c r="K152" s="17"/>
      <c r="Q152" s="79"/>
    </row>
    <row r="153" spans="1:17" s="32" customFormat="1" x14ac:dyDescent="0.25">
      <c r="A153" s="43" t="s">
        <v>56</v>
      </c>
      <c r="B153" s="17"/>
      <c r="C153" s="36"/>
      <c r="D153" s="38"/>
      <c r="E153" s="39"/>
      <c r="G153" s="33"/>
      <c r="J153" s="17"/>
      <c r="K153" s="17"/>
      <c r="Q153" s="79"/>
    </row>
    <row r="154" spans="1:17" s="32" customFormat="1" x14ac:dyDescent="0.25">
      <c r="A154" s="43" t="s">
        <v>57</v>
      </c>
      <c r="B154" s="17"/>
      <c r="C154" s="36"/>
      <c r="D154" s="38"/>
      <c r="E154" s="39"/>
      <c r="G154" s="33"/>
      <c r="J154" s="17"/>
      <c r="K154" s="17"/>
      <c r="Q154" s="79"/>
    </row>
    <row r="155" spans="1:17" s="32" customFormat="1" x14ac:dyDescent="0.25">
      <c r="C155" s="36"/>
      <c r="D155" s="38"/>
      <c r="E155" s="39"/>
      <c r="G155" s="33"/>
      <c r="J155" s="17"/>
      <c r="K155" s="17"/>
      <c r="Q155" s="79"/>
    </row>
    <row r="156" spans="1:17" s="32" customFormat="1" x14ac:dyDescent="0.25">
      <c r="A156" s="105"/>
      <c r="B156" s="66" t="s">
        <v>77</v>
      </c>
      <c r="C156" s="36"/>
      <c r="D156" s="38"/>
      <c r="E156" s="39"/>
      <c r="G156" s="33"/>
      <c r="J156" s="17"/>
      <c r="K156" s="17"/>
      <c r="Q156" s="79"/>
    </row>
    <row r="157" spans="1:17" s="32" customFormat="1" ht="7" customHeight="1" x14ac:dyDescent="0.25">
      <c r="A157" s="105"/>
      <c r="B157" s="66"/>
      <c r="C157" s="36"/>
      <c r="D157" s="38"/>
      <c r="E157" s="39"/>
      <c r="G157" s="33"/>
      <c r="J157" s="17"/>
      <c r="K157" s="17"/>
      <c r="Q157" s="79"/>
    </row>
    <row r="158" spans="1:17" s="32" customFormat="1" x14ac:dyDescent="0.25">
      <c r="A158" s="105" t="s">
        <v>78</v>
      </c>
      <c r="B158" s="66"/>
      <c r="C158" s="36"/>
      <c r="D158" s="38"/>
      <c r="E158" s="39"/>
      <c r="G158" s="33"/>
      <c r="J158" s="17"/>
      <c r="K158" s="17"/>
      <c r="Q158" s="79"/>
    </row>
    <row r="159" spans="1:17" s="32" customFormat="1" x14ac:dyDescent="0.25">
      <c r="A159" s="105" t="s">
        <v>79</v>
      </c>
      <c r="B159" s="66"/>
      <c r="C159" s="36"/>
      <c r="D159" s="38"/>
      <c r="E159" s="39"/>
      <c r="G159" s="33"/>
      <c r="J159" s="17"/>
      <c r="K159" s="17"/>
      <c r="Q159" s="79"/>
    </row>
    <row r="160" spans="1:17" s="32" customFormat="1" x14ac:dyDescent="0.25">
      <c r="A160" s="105" t="s">
        <v>80</v>
      </c>
      <c r="B160" s="66"/>
      <c r="C160" s="36"/>
      <c r="D160" s="38"/>
      <c r="E160" s="39"/>
      <c r="G160" s="33"/>
      <c r="J160" s="17"/>
      <c r="K160" s="17"/>
      <c r="Q160" s="79"/>
    </row>
    <row r="161" spans="2:17" s="32" customFormat="1" x14ac:dyDescent="0.25">
      <c r="C161" s="36"/>
      <c r="D161" s="38"/>
      <c r="E161" s="39"/>
      <c r="G161" s="33"/>
      <c r="J161" s="17"/>
      <c r="K161" s="17"/>
      <c r="Q161" s="79"/>
    </row>
    <row r="162" spans="2:17" x14ac:dyDescent="0.25">
      <c r="B162" s="66" t="s">
        <v>53</v>
      </c>
      <c r="G162" s="17"/>
    </row>
    <row r="163" spans="2:17" ht="7" customHeight="1" x14ac:dyDescent="0.25">
      <c r="B163" s="66"/>
      <c r="G163" s="17"/>
    </row>
    <row r="164" spans="2:17" x14ac:dyDescent="0.25">
      <c r="B164" s="35" t="s">
        <v>84</v>
      </c>
      <c r="G164" s="17"/>
    </row>
    <row r="172" spans="2:17" x14ac:dyDescent="0.25">
      <c r="G172" s="17"/>
    </row>
    <row r="173" spans="2:17" x14ac:dyDescent="0.25">
      <c r="G173" s="17"/>
    </row>
    <row r="174" spans="2:17" x14ac:dyDescent="0.25">
      <c r="G174" s="17"/>
    </row>
    <row r="175" spans="2:17" x14ac:dyDescent="0.25">
      <c r="G175" s="17"/>
    </row>
    <row r="176" spans="2:17" x14ac:dyDescent="0.25">
      <c r="G176" s="17"/>
    </row>
    <row r="177" spans="7:7" x14ac:dyDescent="0.25">
      <c r="G177" s="17"/>
    </row>
    <row r="178" spans="7:7" x14ac:dyDescent="0.25">
      <c r="G178" s="17"/>
    </row>
    <row r="179" spans="7:7" x14ac:dyDescent="0.25">
      <c r="G179" s="17"/>
    </row>
    <row r="180" spans="7:7" x14ac:dyDescent="0.25">
      <c r="G180" s="17"/>
    </row>
    <row r="181" spans="7:7" x14ac:dyDescent="0.25">
      <c r="G181" s="17"/>
    </row>
    <row r="182" spans="7:7" x14ac:dyDescent="0.25">
      <c r="G182" s="17"/>
    </row>
    <row r="183" spans="7:7" x14ac:dyDescent="0.25">
      <c r="G183" s="17"/>
    </row>
    <row r="184" spans="7:7" x14ac:dyDescent="0.25">
      <c r="G184" s="17"/>
    </row>
    <row r="185" spans="7:7" x14ac:dyDescent="0.25">
      <c r="G185" s="17"/>
    </row>
    <row r="186" spans="7:7" x14ac:dyDescent="0.25">
      <c r="G186" s="17"/>
    </row>
    <row r="187" spans="7:7" x14ac:dyDescent="0.25">
      <c r="G187" s="17"/>
    </row>
    <row r="188" spans="7:7" x14ac:dyDescent="0.25">
      <c r="G188" s="17"/>
    </row>
    <row r="189" spans="7:7" x14ac:dyDescent="0.25">
      <c r="G189" s="17"/>
    </row>
  </sheetData>
  <mergeCells count="3">
    <mergeCell ref="H116:H117"/>
    <mergeCell ref="I116:I117"/>
    <mergeCell ref="B88:F88"/>
  </mergeCells>
  <dataValidations count="1">
    <dataValidation type="list" allowBlank="1" showInputMessage="1" showErrorMessage="1" sqref="C41" xr:uid="{6376A242-7E86-43F8-BE9E-C86562F618AA}">
      <formula1>$A$40:$A$41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BB26-ED4E-4013-BBE7-1B49AC62D68D}">
  <dimension ref="B2:I18"/>
  <sheetViews>
    <sheetView showGridLines="0" topLeftCell="B1" zoomScale="80" zoomScaleNormal="80" workbookViewId="0">
      <selection activeCell="I19" sqref="I19"/>
    </sheetView>
  </sheetViews>
  <sheetFormatPr baseColWidth="10" defaultColWidth="10.90625" defaultRowHeight="12.5" x14ac:dyDescent="0.25"/>
  <cols>
    <col min="1" max="7" width="10.90625" style="17"/>
    <col min="8" max="8" width="15" style="17" bestFit="1" customWidth="1"/>
    <col min="9" max="9" width="18.1796875" style="17" customWidth="1"/>
    <col min="10" max="16384" width="10.90625" style="17"/>
  </cols>
  <sheetData>
    <row r="2" spans="2:8" x14ac:dyDescent="0.25">
      <c r="B2" s="24" t="s">
        <v>46</v>
      </c>
      <c r="C2" s="1"/>
      <c r="D2" s="1"/>
      <c r="E2" s="1"/>
      <c r="F2" s="1"/>
      <c r="G2" s="1"/>
      <c r="H2" s="35" t="s">
        <v>120</v>
      </c>
    </row>
    <row r="3" spans="2:8" x14ac:dyDescent="0.25">
      <c r="B3" s="1"/>
      <c r="C3" s="1"/>
      <c r="D3" s="1"/>
      <c r="E3" s="1"/>
      <c r="F3" s="1"/>
      <c r="G3" s="1"/>
    </row>
    <row r="4" spans="2:8" x14ac:dyDescent="0.25">
      <c r="B4" s="1"/>
      <c r="C4" s="1"/>
      <c r="D4" s="1"/>
      <c r="E4" s="1"/>
      <c r="F4" s="1"/>
      <c r="G4" s="1"/>
    </row>
    <row r="18" spans="9:9" x14ac:dyDescent="0.25">
      <c r="I18" s="108" t="s">
        <v>119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DC6E-3C39-40C2-9EB0-9B08D3C43697}">
  <dimension ref="A2"/>
  <sheetViews>
    <sheetView showGridLines="0" workbookViewId="0">
      <selection activeCell="A2" sqref="A2"/>
    </sheetView>
  </sheetViews>
  <sheetFormatPr baseColWidth="10" defaultRowHeight="14.5" x14ac:dyDescent="0.35"/>
  <sheetData>
    <row r="2" spans="1:1" x14ac:dyDescent="0.35">
      <c r="A2" s="35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8313-F286-49A9-887A-FE7C0039A734}">
  <dimension ref="C6:M43"/>
  <sheetViews>
    <sheetView topLeftCell="C14" workbookViewId="0">
      <selection activeCell="I42" sqref="I42"/>
    </sheetView>
  </sheetViews>
  <sheetFormatPr baseColWidth="10" defaultRowHeight="14.5" x14ac:dyDescent="0.35"/>
  <cols>
    <col min="3" max="3" width="25.54296875" bestFit="1" customWidth="1"/>
    <col min="4" max="4" width="47.54296875" bestFit="1" customWidth="1"/>
    <col min="5" max="7" width="14.1796875" bestFit="1" customWidth="1"/>
    <col min="8" max="8" width="12.54296875" bestFit="1" customWidth="1"/>
    <col min="9" max="9" width="10.81640625" bestFit="1" customWidth="1"/>
    <col min="12" max="12" width="25.54296875" bestFit="1" customWidth="1"/>
    <col min="13" max="13" width="20.1796875" bestFit="1" customWidth="1"/>
  </cols>
  <sheetData>
    <row r="6" spans="3:13" x14ac:dyDescent="0.35">
      <c r="C6" s="25" t="s">
        <v>19</v>
      </c>
      <c r="D6" s="25" t="s">
        <v>21</v>
      </c>
      <c r="E6" s="25" t="s">
        <v>22</v>
      </c>
      <c r="F6" s="26" t="s">
        <v>23</v>
      </c>
      <c r="G6" s="25" t="s">
        <v>24</v>
      </c>
      <c r="H6" s="27" t="s">
        <v>16</v>
      </c>
      <c r="I6" s="27" t="s">
        <v>25</v>
      </c>
      <c r="J6" s="27" t="s">
        <v>26</v>
      </c>
      <c r="K6" s="27" t="s">
        <v>35</v>
      </c>
      <c r="L6" s="27" t="s">
        <v>3</v>
      </c>
      <c r="M6" s="29" t="s">
        <v>27</v>
      </c>
    </row>
    <row r="7" spans="3:13" x14ac:dyDescent="0.35">
      <c r="C7" s="23">
        <v>101030103</v>
      </c>
      <c r="D7" s="23" t="s">
        <v>20</v>
      </c>
      <c r="E7" s="23">
        <v>2021</v>
      </c>
      <c r="F7" s="23" t="s">
        <v>28</v>
      </c>
      <c r="G7" s="23"/>
      <c r="H7" s="23" t="s">
        <v>20</v>
      </c>
      <c r="I7" s="28">
        <v>0</v>
      </c>
      <c r="J7" s="28">
        <v>0</v>
      </c>
      <c r="K7" s="28">
        <v>-34222.6</v>
      </c>
      <c r="L7" s="28">
        <v>-34222.6</v>
      </c>
      <c r="M7" t="s">
        <v>33</v>
      </c>
    </row>
    <row r="8" spans="3:13" x14ac:dyDescent="0.35">
      <c r="C8" s="23">
        <v>101030103</v>
      </c>
      <c r="D8" s="23" t="s">
        <v>20</v>
      </c>
      <c r="E8" s="23" t="s">
        <v>29</v>
      </c>
      <c r="F8" s="23" t="s">
        <v>29</v>
      </c>
      <c r="G8" s="23">
        <v>33665</v>
      </c>
      <c r="H8" s="23" t="s">
        <v>30</v>
      </c>
      <c r="I8" s="28">
        <v>0</v>
      </c>
      <c r="J8" s="28">
        <v>14662.5</v>
      </c>
      <c r="K8" s="28">
        <v>-14662.5</v>
      </c>
      <c r="L8" s="28">
        <v>-48885.1</v>
      </c>
      <c r="M8" t="s">
        <v>34</v>
      </c>
    </row>
    <row r="9" spans="3:13" x14ac:dyDescent="0.35">
      <c r="C9" s="23">
        <v>101030211</v>
      </c>
      <c r="D9" s="23" t="s">
        <v>20</v>
      </c>
      <c r="E9" s="23">
        <v>2021</v>
      </c>
      <c r="F9" s="23" t="s">
        <v>28</v>
      </c>
      <c r="G9" s="23"/>
      <c r="H9" s="23" t="s">
        <v>20</v>
      </c>
      <c r="I9" s="28">
        <v>0</v>
      </c>
      <c r="J9" s="28">
        <v>0</v>
      </c>
      <c r="K9" s="28">
        <v>-17085.95</v>
      </c>
      <c r="L9" s="28">
        <v>-17085.95</v>
      </c>
      <c r="M9" t="s">
        <v>33</v>
      </c>
    </row>
    <row r="10" spans="3:13" x14ac:dyDescent="0.35">
      <c r="C10" s="23">
        <v>101030211</v>
      </c>
      <c r="D10" s="23" t="s">
        <v>20</v>
      </c>
      <c r="E10" s="23" t="s">
        <v>29</v>
      </c>
      <c r="F10" s="23" t="s">
        <v>29</v>
      </c>
      <c r="G10" s="23">
        <v>33665</v>
      </c>
      <c r="H10" s="23" t="s">
        <v>30</v>
      </c>
      <c r="I10" s="28">
        <v>17085.95</v>
      </c>
      <c r="J10" s="28">
        <v>0</v>
      </c>
      <c r="K10" s="28">
        <v>17085.95</v>
      </c>
      <c r="L10" s="28">
        <v>0</v>
      </c>
      <c r="M10" t="s">
        <v>32</v>
      </c>
    </row>
    <row r="11" spans="3:13" x14ac:dyDescent="0.35">
      <c r="C11" s="23">
        <v>101040105</v>
      </c>
      <c r="D11" s="23" t="s">
        <v>20</v>
      </c>
      <c r="E11" s="23">
        <v>2021</v>
      </c>
      <c r="F11" s="23" t="s">
        <v>28</v>
      </c>
      <c r="G11" s="23"/>
      <c r="H11" s="23" t="s">
        <v>20</v>
      </c>
      <c r="I11" s="28">
        <v>0</v>
      </c>
      <c r="J11" s="28">
        <v>0</v>
      </c>
      <c r="K11" s="28">
        <v>-34097.32</v>
      </c>
      <c r="L11" s="28">
        <v>-34097.32</v>
      </c>
      <c r="M11" t="s">
        <v>33</v>
      </c>
    </row>
    <row r="12" spans="3:13" x14ac:dyDescent="0.35">
      <c r="C12" s="23">
        <v>101040105</v>
      </c>
      <c r="D12" s="23" t="s">
        <v>20</v>
      </c>
      <c r="E12" s="23" t="s">
        <v>29</v>
      </c>
      <c r="F12" s="23" t="s">
        <v>29</v>
      </c>
      <c r="G12" s="23">
        <v>33665</v>
      </c>
      <c r="H12" s="23" t="s">
        <v>30</v>
      </c>
      <c r="I12" s="28">
        <v>0</v>
      </c>
      <c r="J12" s="28">
        <v>65915.19</v>
      </c>
      <c r="K12" s="28">
        <v>-65915.19</v>
      </c>
      <c r="L12" s="28">
        <v>-100012.51</v>
      </c>
      <c r="M12" t="s">
        <v>34</v>
      </c>
    </row>
    <row r="13" spans="3:13" x14ac:dyDescent="0.35">
      <c r="C13" s="23">
        <v>103030109</v>
      </c>
      <c r="D13" s="23" t="s">
        <v>31</v>
      </c>
      <c r="E13" s="23">
        <v>2021</v>
      </c>
      <c r="F13" s="23" t="s">
        <v>28</v>
      </c>
      <c r="G13" s="23"/>
      <c r="H13" s="23" t="s">
        <v>31</v>
      </c>
      <c r="I13" s="28">
        <v>0</v>
      </c>
      <c r="J13" s="28">
        <v>0</v>
      </c>
      <c r="K13" s="28">
        <v>-80811.490000000005</v>
      </c>
      <c r="L13" s="28">
        <v>-80811.490000000005</v>
      </c>
      <c r="M13" t="s">
        <v>33</v>
      </c>
    </row>
    <row r="14" spans="3:13" x14ac:dyDescent="0.35">
      <c r="C14" s="23">
        <v>103030109</v>
      </c>
      <c r="D14" s="23" t="s">
        <v>31</v>
      </c>
      <c r="E14" s="23" t="s">
        <v>29</v>
      </c>
      <c r="F14" s="23" t="s">
        <v>29</v>
      </c>
      <c r="G14" s="23">
        <v>33665</v>
      </c>
      <c r="H14" s="23" t="s">
        <v>30</v>
      </c>
      <c r="I14" s="28">
        <v>0</v>
      </c>
      <c r="J14" s="28">
        <v>25400.19</v>
      </c>
      <c r="K14" s="28">
        <v>-25400.19</v>
      </c>
      <c r="L14" s="28">
        <v>-106211.68</v>
      </c>
      <c r="M14" t="s">
        <v>34</v>
      </c>
    </row>
    <row r="17" spans="3:12" x14ac:dyDescent="0.35">
      <c r="C17" s="19" t="s">
        <v>36</v>
      </c>
      <c r="E17" s="19" t="s">
        <v>27</v>
      </c>
    </row>
    <row r="18" spans="3:12" x14ac:dyDescent="0.35">
      <c r="C18" s="19" t="s">
        <v>19</v>
      </c>
      <c r="D18" s="19" t="s">
        <v>21</v>
      </c>
      <c r="E18" t="s">
        <v>33</v>
      </c>
      <c r="F18" t="s">
        <v>32</v>
      </c>
      <c r="G18" t="s">
        <v>34</v>
      </c>
      <c r="H18" t="s">
        <v>17</v>
      </c>
    </row>
    <row r="19" spans="3:12" x14ac:dyDescent="0.35">
      <c r="C19">
        <v>101030103</v>
      </c>
      <c r="D19" t="s">
        <v>20</v>
      </c>
      <c r="E19" s="18">
        <v>-34222.6</v>
      </c>
      <c r="F19" s="18"/>
      <c r="G19" s="18">
        <v>-14662.5</v>
      </c>
      <c r="H19" s="18">
        <v>-48885.1</v>
      </c>
    </row>
    <row r="20" spans="3:12" x14ac:dyDescent="0.35">
      <c r="C20">
        <v>101030211</v>
      </c>
      <c r="D20" t="s">
        <v>20</v>
      </c>
      <c r="E20" s="18">
        <v>-17085.95</v>
      </c>
      <c r="F20" s="18">
        <v>17085.95</v>
      </c>
      <c r="G20" s="18"/>
      <c r="H20" s="18">
        <v>0</v>
      </c>
    </row>
    <row r="21" spans="3:12" x14ac:dyDescent="0.35">
      <c r="C21">
        <v>101040105</v>
      </c>
      <c r="D21" t="s">
        <v>20</v>
      </c>
      <c r="E21" s="18">
        <v>-34097.32</v>
      </c>
      <c r="F21" s="18"/>
      <c r="G21" s="18">
        <v>-65915.19</v>
      </c>
      <c r="H21" s="18">
        <v>-100012.51000000001</v>
      </c>
    </row>
    <row r="22" spans="3:12" x14ac:dyDescent="0.35">
      <c r="C22">
        <v>103030109</v>
      </c>
      <c r="D22" t="s">
        <v>31</v>
      </c>
      <c r="E22" s="18">
        <v>-80811.490000000005</v>
      </c>
      <c r="F22" s="18"/>
      <c r="G22" s="18">
        <v>-25400.19</v>
      </c>
      <c r="H22" s="18">
        <v>-106211.68000000001</v>
      </c>
    </row>
    <row r="23" spans="3:12" x14ac:dyDescent="0.35">
      <c r="C23" t="s">
        <v>17</v>
      </c>
      <c r="E23" s="20">
        <v>-166217.35999999999</v>
      </c>
      <c r="F23" s="20">
        <v>17085.95</v>
      </c>
      <c r="G23" s="20">
        <v>-105977.88</v>
      </c>
      <c r="H23" s="20">
        <v>-255109.29000000004</v>
      </c>
    </row>
    <row r="26" spans="3:12" x14ac:dyDescent="0.35">
      <c r="C26" s="25" t="s">
        <v>19</v>
      </c>
      <c r="D26" s="25" t="s">
        <v>21</v>
      </c>
      <c r="E26" s="25" t="s">
        <v>22</v>
      </c>
      <c r="F26" s="26" t="s">
        <v>23</v>
      </c>
      <c r="G26" s="25" t="s">
        <v>24</v>
      </c>
      <c r="H26" s="27" t="s">
        <v>16</v>
      </c>
      <c r="I26" s="27" t="s">
        <v>25</v>
      </c>
      <c r="J26" s="27" t="s">
        <v>26</v>
      </c>
      <c r="K26" s="27" t="s">
        <v>27</v>
      </c>
      <c r="L26" s="29" t="s">
        <v>43</v>
      </c>
    </row>
    <row r="27" spans="3:12" x14ac:dyDescent="0.35">
      <c r="C27" s="30">
        <v>401030103</v>
      </c>
      <c r="D27" s="23" t="s">
        <v>39</v>
      </c>
      <c r="E27" s="30">
        <v>12</v>
      </c>
      <c r="F27" s="30" t="s">
        <v>29</v>
      </c>
      <c r="G27" s="30">
        <v>33665</v>
      </c>
      <c r="H27" s="30" t="s">
        <v>30</v>
      </c>
      <c r="I27" s="31"/>
      <c r="J27" s="31">
        <v>17085.95</v>
      </c>
      <c r="K27" s="31">
        <v>-17085.95</v>
      </c>
      <c r="L27" t="s">
        <v>44</v>
      </c>
    </row>
    <row r="28" spans="3:12" x14ac:dyDescent="0.35">
      <c r="C28" s="30">
        <v>401030103</v>
      </c>
      <c r="D28" s="23" t="s">
        <v>39</v>
      </c>
      <c r="E28" s="30">
        <v>12</v>
      </c>
      <c r="F28" s="30" t="s">
        <v>29</v>
      </c>
      <c r="G28" s="30">
        <v>33665</v>
      </c>
      <c r="H28" s="30" t="s">
        <v>30</v>
      </c>
      <c r="I28" s="31"/>
      <c r="J28" s="31">
        <v>23796.17</v>
      </c>
      <c r="K28" s="31">
        <v>-23796.17</v>
      </c>
      <c r="L28" t="s">
        <v>45</v>
      </c>
    </row>
    <row r="29" spans="3:12" x14ac:dyDescent="0.35">
      <c r="C29" s="30">
        <v>401030103</v>
      </c>
      <c r="D29" s="23" t="s">
        <v>39</v>
      </c>
      <c r="E29" s="30">
        <v>12</v>
      </c>
      <c r="F29" s="30" t="s">
        <v>29</v>
      </c>
      <c r="G29" s="30">
        <v>33665</v>
      </c>
      <c r="H29" s="30" t="s">
        <v>30</v>
      </c>
      <c r="I29" s="31"/>
      <c r="J29" s="31">
        <v>22117.11</v>
      </c>
      <c r="K29" s="31">
        <v>-22117.11</v>
      </c>
      <c r="L29" t="s">
        <v>45</v>
      </c>
    </row>
    <row r="30" spans="3:12" x14ac:dyDescent="0.35">
      <c r="C30" s="30">
        <v>401030103</v>
      </c>
      <c r="D30" s="23" t="s">
        <v>39</v>
      </c>
      <c r="E30" s="30">
        <v>12</v>
      </c>
      <c r="F30" s="30" t="s">
        <v>29</v>
      </c>
      <c r="G30" s="30">
        <v>33665</v>
      </c>
      <c r="H30" s="30" t="s">
        <v>30</v>
      </c>
      <c r="I30" s="31"/>
      <c r="J30" s="31">
        <v>1528.5</v>
      </c>
      <c r="K30" s="31">
        <v>-1528.5</v>
      </c>
      <c r="L30" t="s">
        <v>45</v>
      </c>
    </row>
    <row r="31" spans="3:12" x14ac:dyDescent="0.35">
      <c r="C31" s="30">
        <v>401030103</v>
      </c>
      <c r="D31" s="23" t="s">
        <v>39</v>
      </c>
      <c r="E31" s="30">
        <v>12</v>
      </c>
      <c r="F31" s="30" t="s">
        <v>29</v>
      </c>
      <c r="G31" s="30">
        <v>33665</v>
      </c>
      <c r="H31" s="30" t="s">
        <v>30</v>
      </c>
      <c r="I31" s="31"/>
      <c r="J31" s="31">
        <v>47200.93</v>
      </c>
      <c r="K31" s="31">
        <v>-47200.93</v>
      </c>
      <c r="L31" t="s">
        <v>45</v>
      </c>
    </row>
    <row r="32" spans="3:12" x14ac:dyDescent="0.35">
      <c r="C32" s="30">
        <v>401030103</v>
      </c>
      <c r="D32" s="23" t="s">
        <v>39</v>
      </c>
      <c r="E32" s="30">
        <v>12</v>
      </c>
      <c r="F32" s="30" t="s">
        <v>29</v>
      </c>
      <c r="G32" s="30">
        <v>33665</v>
      </c>
      <c r="H32" s="30" t="s">
        <v>30</v>
      </c>
      <c r="I32" s="31"/>
      <c r="J32" s="31">
        <v>6670.83</v>
      </c>
      <c r="K32" s="31">
        <v>-6670.83</v>
      </c>
      <c r="L32" t="s">
        <v>45</v>
      </c>
    </row>
    <row r="33" spans="3:12" x14ac:dyDescent="0.35">
      <c r="C33" s="30">
        <v>602040305</v>
      </c>
      <c r="D33" s="23" t="s">
        <v>40</v>
      </c>
      <c r="E33" s="30">
        <v>12</v>
      </c>
      <c r="F33" s="30" t="s">
        <v>29</v>
      </c>
      <c r="G33" s="30">
        <v>33665</v>
      </c>
      <c r="H33" s="30" t="s">
        <v>30</v>
      </c>
      <c r="I33" s="31">
        <v>14662.5</v>
      </c>
      <c r="J33" s="31"/>
      <c r="K33" s="31">
        <v>14662.5</v>
      </c>
      <c r="L33" t="s">
        <v>44</v>
      </c>
    </row>
    <row r="34" spans="3:12" x14ac:dyDescent="0.35">
      <c r="C34" s="30">
        <v>602040305</v>
      </c>
      <c r="D34" s="23" t="s">
        <v>40</v>
      </c>
      <c r="E34" s="30">
        <v>12</v>
      </c>
      <c r="F34" s="30" t="s">
        <v>29</v>
      </c>
      <c r="G34" s="30">
        <v>33665</v>
      </c>
      <c r="H34" s="30" t="s">
        <v>30</v>
      </c>
      <c r="I34" s="31">
        <v>65915.19</v>
      </c>
      <c r="J34" s="31"/>
      <c r="K34" s="31">
        <v>65915.19</v>
      </c>
      <c r="L34" t="s">
        <v>44</v>
      </c>
    </row>
    <row r="35" spans="3:12" x14ac:dyDescent="0.35">
      <c r="C35" s="30">
        <v>602040305</v>
      </c>
      <c r="D35" s="23" t="s">
        <v>40</v>
      </c>
      <c r="E35" s="30">
        <v>12</v>
      </c>
      <c r="F35" s="30" t="s">
        <v>29</v>
      </c>
      <c r="G35" s="30">
        <v>33665</v>
      </c>
      <c r="H35" s="30" t="s">
        <v>30</v>
      </c>
      <c r="I35" s="31">
        <v>25400.19</v>
      </c>
      <c r="J35" s="31"/>
      <c r="K35" s="31">
        <v>25400.19</v>
      </c>
      <c r="L35" t="s">
        <v>44</v>
      </c>
    </row>
    <row r="38" spans="3:12" x14ac:dyDescent="0.35">
      <c r="G38" s="19" t="s">
        <v>43</v>
      </c>
      <c r="H38" t="s">
        <v>45</v>
      </c>
    </row>
    <row r="40" spans="3:12" x14ac:dyDescent="0.35">
      <c r="G40" s="19" t="s">
        <v>41</v>
      </c>
    </row>
    <row r="41" spans="3:12" x14ac:dyDescent="0.35">
      <c r="G41" s="19" t="s">
        <v>19</v>
      </c>
      <c r="H41" s="19" t="s">
        <v>21</v>
      </c>
      <c r="I41" t="s">
        <v>18</v>
      </c>
    </row>
    <row r="42" spans="3:12" x14ac:dyDescent="0.35">
      <c r="G42">
        <v>401030103</v>
      </c>
      <c r="H42" t="s">
        <v>39</v>
      </c>
      <c r="I42" s="20">
        <v>-101313.54000000001</v>
      </c>
    </row>
    <row r="43" spans="3:12" x14ac:dyDescent="0.35">
      <c r="G43" t="s">
        <v>17</v>
      </c>
      <c r="I43" s="20">
        <v>-101313.54000000001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130.06.01</vt:lpstr>
      <vt:lpstr>130.06.02</vt:lpstr>
      <vt:lpstr>Base de mayores contables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2023-03-23T17:41:06Z</dcterms:created>
  <dcterms:modified xsi:type="dcterms:W3CDTF">2026-04-17T00:00:19Z</dcterms:modified>
</cp:coreProperties>
</file>