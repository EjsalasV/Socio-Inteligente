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echoe\Downloads\Papeles Modelo Kreston-20260416T233239Z-3-001\Papeles Modelo Kreston\02. Pruebas sustantivas 2024\02. Pruebas sustantivas\1. Activo\6. Propiedades de inversión\"/>
    </mc:Choice>
  </mc:AlternateContent>
  <xr:revisionPtr revIDLastSave="0" documentId="13_ncr:1_{E00909E2-2F8A-4DB7-90CF-1A77F9771F6E}" xr6:coauthVersionLast="47" xr6:coauthVersionMax="47" xr10:uidLastSave="{00000000-0000-0000-0000-000000000000}"/>
  <bookViews>
    <workbookView xWindow="-110" yWindow="-110" windowWidth="19420" windowHeight="10300" xr2:uid="{00000000-000D-0000-FFFF-FFFF00000000}"/>
  </bookViews>
  <sheets>
    <sheet name="5.02" sheetId="1" r:id="rId1"/>
    <sheet name="Base"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s>
  <definedNames>
    <definedName name="___">NA()</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1Excel_BuiltIn_Print_Area_1_1">#REF!</definedName>
    <definedName name="_1Sin_nombre">#REF!</definedName>
    <definedName name="_2Sin_nombre_3">#REF!</definedName>
    <definedName name="_3Sin_nombre">#REF!</definedName>
    <definedName name="_4Sin_nombre_0">#REF!</definedName>
    <definedName name="_5Sin_nombre_1">#REF!</definedName>
    <definedName name="_6Sin_nombre_2">#REF!</definedName>
    <definedName name="_7Sin_nombre_3">#REF!</definedName>
    <definedName name="_a">#REF!</definedName>
    <definedName name="_A70000">#REF!</definedName>
    <definedName name="_A99999">#REF!</definedName>
    <definedName name="_DAT2">#REF!</definedName>
    <definedName name="_F">[1]Datos!$B$1</definedName>
    <definedName name="_RSE2">#REF!</definedName>
    <definedName name="_W2">#REF!</definedName>
    <definedName name="a">#REF!</definedName>
    <definedName name="A_impresión_IM">#REF!</definedName>
    <definedName name="A_IMPRESIÓN_IM_1">#REF!</definedName>
    <definedName name="AC">#REF!</definedName>
    <definedName name="ACREEDORES">#REF!</definedName>
    <definedName name="anexo">#REF!</definedName>
    <definedName name="AportePat">[2]Datos!$B$3</definedName>
    <definedName name="AportePer">[2]Datos!$B$2</definedName>
    <definedName name="ARA_Threshold">#REF!</definedName>
    <definedName name="ARP_Threshold">#REF!</definedName>
    <definedName name="arreglo">#REF!</definedName>
    <definedName name="AS">#REF!</definedName>
    <definedName name="AS2DocOpenMode">"AS2DocumentEdit"</definedName>
    <definedName name="AS2HasNoAutoHeaderFooter">" "</definedName>
    <definedName name="AS2NamedRange">2</definedName>
    <definedName name="AS2ReportLS">1</definedName>
    <definedName name="asd">#REF!</definedName>
    <definedName name="asfdasfa">#REF!</definedName>
    <definedName name="b">[3]Cartera!#REF!</definedName>
    <definedName name="BAL">#REF!</definedName>
    <definedName name="balance">#REF!</definedName>
    <definedName name="BASE">#REF!</definedName>
    <definedName name="BASE1">#REF!</definedName>
    <definedName name="BASE2">#REF!</definedName>
    <definedName name="BASE2001">#REF!</definedName>
    <definedName name="BASE3">#REF!</definedName>
    <definedName name="BASEBG2001">#REF!</definedName>
    <definedName name="BASEFECHA">[2]Datos!$A$6:$C$17</definedName>
    <definedName name="basic_level">'[4]Tabla del Límite'!$A$6:$C$11</definedName>
    <definedName name="BBBB">#REF!</definedName>
    <definedName name="Beg_Bal">#REF!</definedName>
    <definedName name="BG_Del">15</definedName>
    <definedName name="BG_Ins">4</definedName>
    <definedName name="BG_Mod">6</definedName>
    <definedName name="bosque">#REF!</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___0">#REF!</definedName>
    <definedName name="BuiltIn_Print_Area___0___0___0___0___0___0___0___0___0">#REF!</definedName>
    <definedName name="BuiltIn_Print_Area___0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CADMINISTRACION">#REF!</definedName>
    <definedName name="carlos">#REF!</definedName>
    <definedName name="CBASE">#REF!</definedName>
    <definedName name="cbodega">#REF!</definedName>
    <definedName name="cbordados">#REF!</definedName>
    <definedName name="ccamisas">#REF!</definedName>
    <definedName name="Cchofer">#REF!</definedName>
    <definedName name="ccorte">#REF!</definedName>
    <definedName name="cdiseño">#REF!</definedName>
    <definedName name="cguardia">#REF!</definedName>
    <definedName name="ClientName">#REF!</definedName>
    <definedName name="climpieza">#REF!</definedName>
    <definedName name="cmecanico">#REF!</definedName>
    <definedName name="COIMM">#REF!</definedName>
    <definedName name="Color">OFFSET(#REF!,MATCH(#REF!,#REF!,0)-1,0,1,1)</definedName>
    <definedName name="Componente">[2]Datos!$B$1</definedName>
    <definedName name="Conclusión">#REF!</definedName>
    <definedName name="Contab_Provision">#REF!</definedName>
    <definedName name="CPantalones">#REF!</definedName>
    <definedName name="csacos">#REF!</definedName>
    <definedName name="csecretaria">#REF!</definedName>
    <definedName name="cterminados">#REF!</definedName>
    <definedName name="Ctransporte">#REF!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Income">#REF!</definedName>
    <definedName name="CY_tx_lik_Liabs">#REF!</definedName>
    <definedName name="CY_tx_lik_RetEarn_bf">#REF!</definedName>
    <definedName name="d">#REF!</definedName>
    <definedName name="da">#REF!</definedName>
    <definedName name="Data">#REF!</definedName>
    <definedName name="DBDA">[5]Hoja3!$Q$41</definedName>
    <definedName name="dd">#REF!</definedName>
    <definedName name="decimo14">[2]Datos!$B$4</definedName>
    <definedName name="detalle">#REF!</definedName>
    <definedName name="df">#REF!</definedName>
    <definedName name="dffd" localSheetId="0">Scheduled_Payment+Extra_Payment</definedName>
    <definedName name="dffd">Scheduled_Payment+Extra_Payment</definedName>
    <definedName name="DI">'[6]VEG. $ NEC'!#REF!</definedName>
    <definedName name="DICIEMBRE">[7]DICIEMBRE!$A$2:$G$67</definedName>
    <definedName name="DMEI">[5]Hoja2!$Q$41</definedName>
    <definedName name="DS2PLHeader">#REF!</definedName>
    <definedName name="DS7RevProdHeader">#REF!</definedName>
    <definedName name="DS9PLFuncHeader">#REF!</definedName>
    <definedName name="End_Bal">#REF!</definedName>
    <definedName name="EndFSPeriod">#REF!</definedName>
    <definedName name="Excel_BuiltIn__FilterDatabase_1">#REF!</definedName>
    <definedName name="Excel_BuiltIn__FilterDatabase_23">'[8]Cruce Renta vs Libros (YA)'!#REF!</definedName>
    <definedName name="Excel_BuiltIn_Database">#REF!</definedName>
    <definedName name="Excel_BuiltIn_Print_Area">#REF!</definedName>
    <definedName name="Excel_BuiltIn_Print_Area_1">#REF!</definedName>
    <definedName name="Excel_BuiltIn_Print_Titles">#REF!</definedName>
    <definedName name="Extra_Pay">#REF!</definedName>
    <definedName name="FBasica2">[2]Impuestos!$B$7</definedName>
    <definedName name="Fbasica3">[2]Impuestos!$B$8</definedName>
    <definedName name="Fbasica4">[2]Impuestos!$B$9</definedName>
    <definedName name="FBasica5">[2]Impuestos!$B$10</definedName>
    <definedName name="FBasica6">[2]Impuestos!$B$11</definedName>
    <definedName name="fecha">'[8]Concili. Bancarias (MI)'!$A$3</definedName>
    <definedName name="Fexceso2">[2]Impuestos!$C$7</definedName>
    <definedName name="FExceso3">[2]Impuestos!$C$8</definedName>
    <definedName name="FExceso4">[2]Impuestos!$C$9</definedName>
    <definedName name="FExceso5">[2]Impuestos!$C$10</definedName>
    <definedName name="FNUMERO">[2]Datos!$B$19</definedName>
    <definedName name="FolderItemNumber">#REF!</definedName>
    <definedName name="FolderItemTitle">#REF!</definedName>
    <definedName name="FTESFORE">#REF!</definedName>
    <definedName name="FTESYTD">#REF!</definedName>
    <definedName name="Full_Print">#REF!</definedName>
    <definedName name="g">#REF!</definedName>
    <definedName name="Header_Row">ROW(#REF!)</definedName>
    <definedName name="HOJA">#REF!</definedName>
    <definedName name="IBasica2">[2]Impuestos!$D$7</definedName>
    <definedName name="IBasica3">[2]Impuestos!$D$8</definedName>
    <definedName name="IBasica4">[2]Impuestos!$D$9</definedName>
    <definedName name="IBasica5">[2]Impuestos!$D$10</definedName>
    <definedName name="IBasica6">[2]Impuestos!$D$11</definedName>
    <definedName name="Iexceso2">[2]Impuestos!$E$7</definedName>
    <definedName name="Iexceso3">[2]Impuestos!$E$8</definedName>
    <definedName name="IExceso4">[2]Impuestos!$E$9</definedName>
    <definedName name="IExceso5">[2]Impuestos!$E$10</definedName>
    <definedName name="IExceso6">[2]Impuestos!$E$11</definedName>
    <definedName name="inicial">#REF!</definedName>
    <definedName name="Int">#REF!</definedName>
    <definedName name="INTANGIBLES">#REF!</definedName>
    <definedName name="Interest_Rate">#REF!</definedName>
    <definedName name="interm_level">'[4]Tabla del Límite'!$D$6:$F$11</definedName>
    <definedName name="J">#REF!</definedName>
    <definedName name="jj" localSheetId="0">Scheduled_Payment+Extra_Payment</definedName>
    <definedName name="jj">Scheduled_Payment+Extra_Payment</definedName>
    <definedName name="jjjjjj">OFFSET(#REF!,MATCH(#REF!,#REF!,0)-1,0,1,1)</definedName>
    <definedName name="JOSE">#REF!</definedName>
    <definedName name="L_AJE_Tot">[9]Links!$G$1:$G$65536</definedName>
    <definedName name="L_CY_Beg">[9]Links!$F$1:$F$65536</definedName>
    <definedName name="L_CY_End">[9]Links!$J$1:$J$65536</definedName>
    <definedName name="L_PY_End">[9]Links!$K$1:$K$65536</definedName>
    <definedName name="L_RJE_Tot">[9]Links!$I$1:$I$65536</definedName>
    <definedName name="Last_Row" localSheetId="0">IF('5.02'!Values_Entered,Header_Row+'5.02'!Number_of_Payments,Header_Row)</definedName>
    <definedName name="Last_Row">IF(Values_Entered,Header_Row+Number_of_Payments,Header_Row)</definedName>
    <definedName name="Loan_Amount">#REF!</definedName>
    <definedName name="Loan_Start">#REF!</definedName>
    <definedName name="Loan_Years">#REF!</definedName>
    <definedName name="M">#REF!</definedName>
    <definedName name="MA">'[6]VEG. $ NEC'!#REF!</definedName>
    <definedName name="MANUWL">#REF!</definedName>
    <definedName name="MARIA">#REF!</definedName>
    <definedName name="MAS">#REF!</definedName>
    <definedName name="mayor">#REF!</definedName>
    <definedName name="mayorg">#REF!</definedName>
    <definedName name="mes">#REF!</definedName>
    <definedName name="MONEDA">#REF!</definedName>
    <definedName name="NOVIEMBRE">[7]NOVIEMBRE!$A$1:$G$50</definedName>
    <definedName name="Num_Pmt_Per_Year">#REF!</definedName>
    <definedName name="Number_of_Payments" localSheetId="0">MATCH(0.01,End_Bal,-1)+1</definedName>
    <definedName name="Number_of_Payments">MATCH(0.01,End_Bal,-1)+1</definedName>
    <definedName name="NUMERICO">NA()</definedName>
    <definedName name="NUMERO">'[2]rol individual 1'!$I$1</definedName>
    <definedName name="NUMERO1">'[2]rol individual 1'!$I$2</definedName>
    <definedName name="NUMERO3">#REF!</definedName>
    <definedName name="NUMERO4">#REF!</definedName>
    <definedName name="Ñ">[1]Datos!$B$1</definedName>
    <definedName name="Observaciones">[10]A.01!$K$50:$K$53</definedName>
    <definedName name="octubre">[7]octubre!$A$1:$H$50</definedName>
    <definedName name="otros" localSheetId="0">{#N/A,#N/A,FALSE,"Aging Summary";#N/A,#N/A,FALSE,"Ratio Analysis";#N/A,#N/A,FALSE,"Test 120 Day Accts";#N/A,#N/A,FALSE,"Tickmarks"}</definedName>
    <definedName name="otros">{#N/A,#N/A,FALSE,"Aging Summary";#N/A,#N/A,FALSE,"Ratio Analysis";#N/A,#N/A,FALSE,"Test 120 Day Accts";#N/A,#N/A,FALSE,"Tickmarks"}</definedName>
    <definedName name="P">[1]Datos!$B$2</definedName>
    <definedName name="PAIS">#REF!</definedName>
    <definedName name="Pay_Date">#REF!</definedName>
    <definedName name="Pay_Num">#REF!</definedName>
    <definedName name="Payment_Date" localSheetId="0">DATE(YEAR(Loan_Start),MONTH(Loan_Start)+Payment_Number,DAY(Loan_Start))</definedName>
    <definedName name="Payment_Date">DATE(YEAR(Loan_Start),MONTH(Loan_Start)+Payment_Number,DAY(Loan_Start))</definedName>
    <definedName name="PCOST">#REF!</definedName>
    <definedName name="PCOSTBYACTV">#REF!</definedName>
    <definedName name="pnot_fore">#REF!</definedName>
    <definedName name="pnot_month">#REF!</definedName>
    <definedName name="pnot_ytd">#REF!</definedName>
    <definedName name="PO">#REF!</definedName>
    <definedName name="PRANGE">#REF!</definedName>
    <definedName name="Princ">#REF!</definedName>
    <definedName name="Print_Area">#REF!</definedName>
    <definedName name="Print_Area_Reset" localSheetId="0">OFFSET(Full_Print,0,0,'5.02'!Last_Row)</definedName>
    <definedName name="Print_Area_Reset">OFFSET(Full_Print,0,0,Last_Row)</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#REF!</definedName>
    <definedName name="R_Factor">'[11]Threshold Table'!$A$2:$A$4</definedName>
    <definedName name="Ref_1">#REF!</definedName>
    <definedName name="Ref_10">'[12]Costo+Reexp'!#REF!</definedName>
    <definedName name="Ref_103">#REF!</definedName>
    <definedName name="Ref_104">#REF!</definedName>
    <definedName name="Ref_105">[13]Costo!#REF!</definedName>
    <definedName name="Ref_11">#REF!</definedName>
    <definedName name="Ref_12">'[12]Costo+Reexp'!#REF!</definedName>
    <definedName name="Ref_125">#REF!</definedName>
    <definedName name="Ref_126">#REF!</definedName>
    <definedName name="Ref_127">#REF!</definedName>
    <definedName name="Ref_128">#REF!</definedName>
    <definedName name="Ref_129">#REF!</definedName>
    <definedName name="Ref_13">#REF!</definedName>
    <definedName name="Ref_130">#REF!</definedName>
    <definedName name="Ref_131">#REF!</definedName>
    <definedName name="Ref_132">#REF!</definedName>
    <definedName name="Ref_133">#REF!</definedName>
    <definedName name="Ref_134">#REF!</definedName>
    <definedName name="Ref_135">[13]Costo!#REF!</definedName>
    <definedName name="Ref_136">[13]Dep.!#REF!</definedName>
    <definedName name="Ref_14">#REF!</definedName>
    <definedName name="Ref_15">#REF!</definedName>
    <definedName name="Ref_16">#REF!</definedName>
    <definedName name="Ref_17">#REF!</definedName>
    <definedName name="Ref_18">'[12]Costo+Reexp'!#REF!</definedName>
    <definedName name="Ref_19">#REF!</definedName>
    <definedName name="Ref_2">#REF!</definedName>
    <definedName name="Ref_20">#REF!</definedName>
    <definedName name="Ref_21">'[12]Costo+Reexp'!#REF!</definedName>
    <definedName name="Ref_22">#REF!</definedName>
    <definedName name="Ref_23">#REF!</definedName>
    <definedName name="Ref_24">#REF!</definedName>
    <definedName name="Ref_25">'[12]Costo+Reexp'!#REF!</definedName>
    <definedName name="Ref_26">#REF!</definedName>
    <definedName name="Ref_27">'[12]Costo+Reexp'!#REF!</definedName>
    <definedName name="Ref_28">#REF!</definedName>
    <definedName name="Ref_29">#REF!</definedName>
    <definedName name="Ref_3">[14]A!#REF!</definedName>
    <definedName name="Ref_30">#REF!</definedName>
    <definedName name="Ref_31">#REF!</definedName>
    <definedName name="Ref_32">#REF!</definedName>
    <definedName name="Ref_33">#REF!</definedName>
    <definedName name="Ref_34">#REF!</definedName>
    <definedName name="Ref_35">#REF!</definedName>
    <definedName name="Ref_36">#REF!</definedName>
    <definedName name="Ref_37">'[12]Costo+Reexp'!#REF!</definedName>
    <definedName name="Ref_39">#REF!</definedName>
    <definedName name="Ref_4">#REF!</definedName>
    <definedName name="Ref_40">'[12]Costo+Reexp'!#REF!</definedName>
    <definedName name="Ref_41">#REF!</definedName>
    <definedName name="Ref_42">#REF!</definedName>
    <definedName name="Ref_43">#REF!</definedName>
    <definedName name="Ref_44">#REF!</definedName>
    <definedName name="Ref_45">#REF!</definedName>
    <definedName name="Ref_46">'[12]Costo+Reexp'!#REF!</definedName>
    <definedName name="Ref_47">'[12]Costo+Reexp'!#REF!</definedName>
    <definedName name="Ref_48">'[12]Costo+Reexp'!#REF!</definedName>
    <definedName name="Ref_49">#REF!</definedName>
    <definedName name="Ref_5">#REF!</definedName>
    <definedName name="Ref_50">#REF!</definedName>
    <definedName name="Ref_51">#REF!</definedName>
    <definedName name="Ref_52">#REF!</definedName>
    <definedName name="Ref_53">#REF!</definedName>
    <definedName name="Ref_54">#REF!</definedName>
    <definedName name="Ref_55">#REF!</definedName>
    <definedName name="Ref_56">#REF!</definedName>
    <definedName name="Ref_57">#REF!</definedName>
    <definedName name="Ref_58">#REF!</definedName>
    <definedName name="Ref_59">#REF!</definedName>
    <definedName name="Ref_6">'[12]Costo+Reexp'!#REF!</definedName>
    <definedName name="Ref_60">#REF!</definedName>
    <definedName name="Ref_61">#REF!</definedName>
    <definedName name="Ref_62">'[12]Costo+Reexp'!#REF!</definedName>
    <definedName name="Ref_63">'[12]Costo+Reexp'!#REF!</definedName>
    <definedName name="Ref_64">#REF!</definedName>
    <definedName name="Ref_65">#REF!</definedName>
    <definedName name="Ref_66">'[12]Costo+Reexp'!#REF!</definedName>
    <definedName name="Ref_67">#REF!</definedName>
    <definedName name="Ref_68">#REF!</definedName>
    <definedName name="Ref_69">#REF!</definedName>
    <definedName name="Ref_7">#REF!</definedName>
    <definedName name="Ref_70">#REF!</definedName>
    <definedName name="Ref_71">#REF!</definedName>
    <definedName name="Ref_72">#REF!</definedName>
    <definedName name="Ref_73">#REF!</definedName>
    <definedName name="Ref_74">#REF!</definedName>
    <definedName name="Ref_75">#REF!</definedName>
    <definedName name="Ref_76">#REF!</definedName>
    <definedName name="Ref_77">#REF!</definedName>
    <definedName name="Ref_78">#REF!</definedName>
    <definedName name="Ref_79">'[12]Costo+Reexp'!#REF!</definedName>
    <definedName name="Ref_8">#REF!</definedName>
    <definedName name="Ref_80">'[12]Costo+Reexp'!#REF!</definedName>
    <definedName name="Ref_84">[13]Costo!#REF!</definedName>
    <definedName name="Ref_85">[13]Costo!#REF!</definedName>
    <definedName name="Ref_86">[13]Costo!#REF!</definedName>
    <definedName name="Ref_87">[13]Costo!#REF!</definedName>
    <definedName name="Ref_88">[13]Costo!#REF!</definedName>
    <definedName name="Ref_89">[13]Costo!#REF!</definedName>
    <definedName name="Ref_9">#REF!</definedName>
    <definedName name="Ref_98">[13]Costo!#REF!</definedName>
    <definedName name="rev_fore">#REF!</definedName>
    <definedName name="rev_month">#REF!</definedName>
    <definedName name="rev_ytd">#REF!</definedName>
    <definedName name="S_AcctDes">#REF!</definedName>
    <definedName name="S_AcctNum">#REF!</definedName>
    <definedName name="S_Adjust">#REF!</definedName>
    <definedName name="S_Adjust_Data">[9]Lead!$I$1:$I$43</definedName>
    <definedName name="S_CY_Beg">#REF!</definedName>
    <definedName name="S_CY_End">#REF!</definedName>
    <definedName name="S_Diff_Amt">#REF!</definedName>
    <definedName name="S_Diff_Pct">#REF!</definedName>
    <definedName name="S_Headings">#REF!</definedName>
    <definedName name="S_KeyValue">#REF!</definedName>
    <definedName name="S_LSRange1">#REF!</definedName>
    <definedName name="S_LSRange1Balance">#REF!</definedName>
    <definedName name="S_LSRange1Balance1">#REF!</definedName>
    <definedName name="S_LSRange1Balance2">#REF!</definedName>
    <definedName name="S_LSRange1Balance3">#REF!</definedName>
    <definedName name="S_LSRange2">#REF!</definedName>
    <definedName name="S_LSRange2Balance">#REF!</definedName>
    <definedName name="S_LSRange2Balance1">#REF!</definedName>
    <definedName name="S_LSRange2Balance2">#REF!</definedName>
    <definedName name="S_LSRange2Balance3">#REF!</definedName>
    <definedName name="S_LSRange3">#REF!</definedName>
    <definedName name="S_LSRange3Balance">#REF!</definedName>
    <definedName name="S_LSRange3Balance1">#REF!</definedName>
    <definedName name="S_LSRange3Balance2">#REF!</definedName>
    <definedName name="S_LSRange3Balance3">#REF!</definedName>
    <definedName name="S_LSRange4">#REF!</definedName>
    <definedName name="S_LSRange4Balance">#REF!</definedName>
    <definedName name="S_LSRange4Balance1">#REF!</definedName>
    <definedName name="S_LSRange4Balance2">#REF!</definedName>
    <definedName name="S_LSRange4Balance3">#REF!</definedName>
    <definedName name="S_LSRange5">#REF!</definedName>
    <definedName name="S_LSRange5Balance">#REF!</definedName>
    <definedName name="S_LSRange5Balance1">#REF!</definedName>
    <definedName name="S_LSRange5Balance2">#REF!</definedName>
    <definedName name="S_LSRange5Balance3">#REF!</definedName>
    <definedName name="S_LSRange6">#REF!</definedName>
    <definedName name="S_LSRange6Balance">#REF!</definedName>
    <definedName name="S_LSRange6Balance1">#REF!</definedName>
    <definedName name="S_LSRange6Balance2">#REF!</definedName>
    <definedName name="S_LSRange6Balance3">#REF!</definedName>
    <definedName name="S_LSRange7">#REF!</definedName>
    <definedName name="S_LSRange7Balance">#REF!</definedName>
    <definedName name="S_LSRange7Balance1">#REF!</definedName>
    <definedName name="S_LSRange7Balance2">#REF!</definedName>
    <definedName name="S_LSRange7Balance3">#REF!</definedName>
    <definedName name="S_LSRange8">#REF!</definedName>
    <definedName name="S_LSRange8Balance">#REF!</definedName>
    <definedName name="S_LSRange8Balance1">#REF!</definedName>
    <definedName name="S_LSRange8Balance2">#REF!</definedName>
    <definedName name="S_LSRange8Balance3">#REF!</definedName>
    <definedName name="S_PY_End">#REF!</definedName>
    <definedName name="S_PY_End_Data">[9]Lead!$N$1:$N$43</definedName>
    <definedName name="S_Total">#REF!</definedName>
    <definedName name="S_Total1">#REF!</definedName>
    <definedName name="S_Total2">#REF!</definedName>
    <definedName name="S_Total3">#REF!</definedName>
    <definedName name="SAL">#REF!</definedName>
    <definedName name="SAPBEXhrIndnt">1</definedName>
    <definedName name="SAPBEXrevision">9</definedName>
    <definedName name="SAPBEXsysID">"BL6"</definedName>
    <definedName name="SAPBEXwbID">"3US4CVJVAYMOMMXFQAGC0TC14"</definedName>
    <definedName name="Scale">[15]Options!$B$1</definedName>
    <definedName name="Sched_Pay">#REF!</definedName>
    <definedName name="Scheduled_Extra_Payments">#REF!</definedName>
    <definedName name="Scheduled_Interest_Rate">#REF!</definedName>
    <definedName name="Scheduled_Monthly_Payment">#REF!</definedName>
    <definedName name="SD">#REF!</definedName>
    <definedName name="SE">'[6]VEG. $ NEC'!#REF!</definedName>
    <definedName name="seppg">#REF!</definedName>
    <definedName name="SHARED_FORMULA_0">#REF!</definedName>
    <definedName name="SHARED_FORMULA_1">#REF!</definedName>
    <definedName name="SHARED_FORMULA_10">#REF!</definedName>
    <definedName name="SHARED_FORMULA_100">#REF!</definedName>
    <definedName name="SHARED_FORMULA_101">#REF!</definedName>
    <definedName name="SHARED_FORMULA_102">#REF!</definedName>
    <definedName name="SHARED_FORMULA_103">#REF!</definedName>
    <definedName name="SHARED_FORMULA_104">#REF!</definedName>
    <definedName name="SHARED_FORMULA_105">#REF!</definedName>
    <definedName name="SHARED_FORMULA_106">#REF!</definedName>
    <definedName name="SHARED_FORMULA_107">#REF!</definedName>
    <definedName name="SHARED_FORMULA_108">#REF!</definedName>
    <definedName name="SHARED_FORMULA_109">#REF!</definedName>
    <definedName name="SHARED_FORMULA_11">#REF!</definedName>
    <definedName name="SHARED_FORMULA_110">#REF!</definedName>
    <definedName name="SHARED_FORMULA_111">#REF!</definedName>
    <definedName name="SHARED_FORMULA_112">#REF!</definedName>
    <definedName name="SHARED_FORMULA_113">#REF!</definedName>
    <definedName name="SHARED_FORMULA_114">#REF!</definedName>
    <definedName name="SHARED_FORMULA_115">#REF!</definedName>
    <definedName name="SHARED_FORMULA_116">#REF!</definedName>
    <definedName name="SHARED_FORMULA_117">#REF!</definedName>
    <definedName name="SHARED_FORMULA_118">#REF!</definedName>
    <definedName name="SHARED_FORMULA_119">#REF!</definedName>
    <definedName name="SHARED_FORMULA_12">#REF!</definedName>
    <definedName name="SHARED_FORMULA_120">#REF!</definedName>
    <definedName name="SHARED_FORMULA_121">#REF!</definedName>
    <definedName name="SHARED_FORMULA_122">#REF!</definedName>
    <definedName name="SHARED_FORMULA_123">#REF!</definedName>
    <definedName name="SHARED_FORMULA_124">#REF!</definedName>
    <definedName name="SHARED_FORMULA_125">#REF!</definedName>
    <definedName name="SHARED_FORMULA_126">#REF!</definedName>
    <definedName name="SHARED_FORMULA_127">#REF!</definedName>
    <definedName name="SHARED_FORMULA_128">#REF!</definedName>
    <definedName name="SHARED_FORMULA_129">#REF!</definedName>
    <definedName name="SHARED_FORMULA_13">#REF!</definedName>
    <definedName name="SHARED_FORMULA_130">#REF!</definedName>
    <definedName name="SHARED_FORMULA_131">#REF!</definedName>
    <definedName name="SHARED_FORMULA_132">#REF!</definedName>
    <definedName name="SHARED_FORMULA_133">#REF!</definedName>
    <definedName name="SHARED_FORMULA_134">#REF!</definedName>
    <definedName name="SHARED_FORMULA_135">#REF!</definedName>
    <definedName name="SHARED_FORMULA_14">#REF!</definedName>
    <definedName name="SHARED_FORMULA_15">#REF!</definedName>
    <definedName name="SHARED_FORMULA_16">#REF!</definedName>
    <definedName name="SHARED_FORMULA_17">#REF!</definedName>
    <definedName name="SHARED_FORMULA_18">#REF!</definedName>
    <definedName name="SHARED_FORMULA_19">#REF!</definedName>
    <definedName name="SHARED_FORMULA_2">#REF!</definedName>
    <definedName name="SHARED_FORMULA_20">#REF!</definedName>
    <definedName name="SHARED_FORMULA_21">#REF!</definedName>
    <definedName name="SHARED_FORMULA_22">#REF!</definedName>
    <definedName name="SHARED_FORMULA_23">#REF!</definedName>
    <definedName name="SHARED_FORMULA_24">#REF!</definedName>
    <definedName name="SHARED_FORMULA_25">#REF!</definedName>
    <definedName name="SHARED_FORMULA_26">#REF!</definedName>
    <definedName name="SHARED_FORMULA_27">#REF!</definedName>
    <definedName name="SHARED_FORMULA_28">#REF!</definedName>
    <definedName name="SHARED_FORMULA_29">#REF!</definedName>
    <definedName name="SHARED_FORMULA_3">#REF!</definedName>
    <definedName name="SHARED_FORMULA_30">#REF!</definedName>
    <definedName name="SHARED_FORMULA_31">#REF!</definedName>
    <definedName name="SHARED_FORMULA_32">#REF!</definedName>
    <definedName name="SHARED_FORMULA_33">#REF!</definedName>
    <definedName name="SHARED_FORMULA_34">#REF!</definedName>
    <definedName name="SHARED_FORMULA_35">#REF!</definedName>
    <definedName name="SHARED_FORMULA_36">#REF!</definedName>
    <definedName name="SHARED_FORMULA_37">#REF!</definedName>
    <definedName name="SHARED_FORMULA_38">#REF!</definedName>
    <definedName name="SHARED_FORMULA_39">#REF!</definedName>
    <definedName name="SHARED_FORMULA_4">#REF!</definedName>
    <definedName name="SHARED_FORMULA_40">#REF!</definedName>
    <definedName name="SHARED_FORMULA_41">#REF!</definedName>
    <definedName name="SHARED_FORMULA_42">#REF!</definedName>
    <definedName name="SHARED_FORMULA_43">#REF!</definedName>
    <definedName name="SHARED_FORMULA_44">#REF!</definedName>
    <definedName name="SHARED_FORMULA_45">#REF!</definedName>
    <definedName name="SHARED_FORMULA_46">#REF!</definedName>
    <definedName name="SHARED_FORMULA_47">#REF!</definedName>
    <definedName name="SHARED_FORMULA_48">#REF!</definedName>
    <definedName name="SHARED_FORMULA_49">#REF!</definedName>
    <definedName name="SHARED_FORMULA_5">#REF!</definedName>
    <definedName name="SHARED_FORMULA_50">#REF!</definedName>
    <definedName name="SHARED_FORMULA_51">#REF!</definedName>
    <definedName name="SHARED_FORMULA_52">#REF!</definedName>
    <definedName name="SHARED_FORMULA_53">#REF!</definedName>
    <definedName name="SHARED_FORMULA_54">#REF!</definedName>
    <definedName name="SHARED_FORMULA_55">#REF!</definedName>
    <definedName name="SHARED_FORMULA_56">#REF!</definedName>
    <definedName name="SHARED_FORMULA_57">#REF!</definedName>
    <definedName name="SHARED_FORMULA_58">#REF!</definedName>
    <definedName name="SHARED_FORMULA_59">#REF!</definedName>
    <definedName name="SHARED_FORMULA_6">#REF!</definedName>
    <definedName name="SHARED_FORMULA_60">#REF!</definedName>
    <definedName name="SHARED_FORMULA_61">#REF!</definedName>
    <definedName name="SHARED_FORMULA_62">#REF!</definedName>
    <definedName name="SHARED_FORMULA_63">#REF!</definedName>
    <definedName name="SHARED_FORMULA_64">#REF!</definedName>
    <definedName name="SHARED_FORMULA_65">#REF!</definedName>
    <definedName name="SHARED_FORMULA_66">#REF!</definedName>
    <definedName name="SHARED_FORMULA_67">#REF!</definedName>
    <definedName name="SHARED_FORMULA_68">#REF!</definedName>
    <definedName name="SHARED_FORMULA_69">#REF!</definedName>
    <definedName name="SHARED_FORMULA_7">#REF!</definedName>
    <definedName name="SHARED_FORMULA_70">#REF!</definedName>
    <definedName name="SHARED_FORMULA_71">#REF!</definedName>
    <definedName name="SHARED_FORMULA_72">#REF!</definedName>
    <definedName name="SHARED_FORMULA_73">#REF!</definedName>
    <definedName name="SHARED_FORMULA_74">#REF!</definedName>
    <definedName name="SHARED_FORMULA_75">#REF!</definedName>
    <definedName name="SHARED_FORMULA_76">#REF!</definedName>
    <definedName name="SHARED_FORMULA_77">#REF!</definedName>
    <definedName name="SHARED_FORMULA_78">#REF!</definedName>
    <definedName name="SHARED_FORMULA_79">#REF!</definedName>
    <definedName name="SHARED_FORMULA_8">#REF!</definedName>
    <definedName name="SHARED_FORMULA_80">#REF!</definedName>
    <definedName name="SHARED_FORMULA_81">#REF!</definedName>
    <definedName name="SHARED_FORMULA_82">#REF!</definedName>
    <definedName name="SHARED_FORMULA_83">#REF!</definedName>
    <definedName name="SHARED_FORMULA_84">#REF!</definedName>
    <definedName name="SHARED_FORMULA_85">#REF!</definedName>
    <definedName name="SHARED_FORMULA_86">#REF!</definedName>
    <definedName name="SHARED_FORMULA_87">#REF!</definedName>
    <definedName name="SHARED_FORMULA_88">#REF!</definedName>
    <definedName name="SHARED_FORMULA_89">#REF!</definedName>
    <definedName name="SHARED_FORMULA_9">#REF!</definedName>
    <definedName name="SHARED_FORMULA_90">#REF!</definedName>
    <definedName name="SHARED_FORMULA_91">#REF!</definedName>
    <definedName name="SHARED_FORMULA_92">#REF!</definedName>
    <definedName name="SHARED_FORMULA_93">#REF!</definedName>
    <definedName name="SHARED_FORMULA_94">#REF!</definedName>
    <definedName name="SHARED_FORMULA_95">#REF!</definedName>
    <definedName name="SHARED_FORMULA_96">#REF!</definedName>
    <definedName name="SHARED_FORMULA_97">#REF!</definedName>
    <definedName name="SHARED_FORMULA_98">#REF!</definedName>
    <definedName name="SHARED_FORMULA_99">#REF!</definedName>
    <definedName name="sil">#REF!</definedName>
    <definedName name="Sin_nombre">#REF!</definedName>
    <definedName name="Sin_nombre_3">#REF!</definedName>
    <definedName name="Tax_Rate">#REF!</definedName>
    <definedName name="TEST1">#REF!</definedName>
    <definedName name="TESTHKEY">#REF!</definedName>
    <definedName name="TESTKEYS">#REF!</definedName>
    <definedName name="TESTVKEY">#REF!</definedName>
    <definedName name="TextRefCopy1">'[12]Costo+Reexp'!#REF!</definedName>
    <definedName name="TextRefCopy1_15">#REF!</definedName>
    <definedName name="TextRefCopy1_16">#REF!</definedName>
    <definedName name="TextRefCopy1_2">#REF!</definedName>
    <definedName name="TextRefCopy1_3">#REF!</definedName>
    <definedName name="TextRefCopy10">#REF!</definedName>
    <definedName name="TextRefCopy10_15">#REF!</definedName>
    <definedName name="TextRefCopy10_16">#REF!</definedName>
    <definedName name="TextRefCopy10_2">#REF!</definedName>
    <definedName name="TextRefCopy10_3">#REF!</definedName>
    <definedName name="TextRefCopy11">#REF!</definedName>
    <definedName name="TextRefCopy11_15">#REF!</definedName>
    <definedName name="TextRefCopy11_16">#REF!</definedName>
    <definedName name="TextRefCopy11_2">#REF!</definedName>
    <definedName name="TextRefCopy11_3">#REF!</definedName>
    <definedName name="TextRefCopy12">#REF!</definedName>
    <definedName name="TextRefCopy12_15">#REF!</definedName>
    <definedName name="TextRefCopy12_16">#REF!</definedName>
    <definedName name="TextRefCopy12_2">#REF!</definedName>
    <definedName name="TextRefCopy12_3">#REF!</definedName>
    <definedName name="TextRefCopy13">#REF!</definedName>
    <definedName name="TextRefCopy13_15">#REF!</definedName>
    <definedName name="TextRefCopy13_16">#REF!</definedName>
    <definedName name="TextRefCopy13_2">#REF!</definedName>
    <definedName name="TextRefCopy13_3">#REF!</definedName>
    <definedName name="TextRefCopy14">#REF!</definedName>
    <definedName name="TextRefCopy15">'[16]Anexo 4'!#REF!</definedName>
    <definedName name="TextRefCopy15_15">#REF!</definedName>
    <definedName name="TextRefCopy15_16">#REF!</definedName>
    <definedName name="TextRefCopy15_2">#REF!</definedName>
    <definedName name="TextRefCopy15_3">#REF!</definedName>
    <definedName name="TextRefCopy16">'[12]Costo+Reexp'!#REF!</definedName>
    <definedName name="TextRefCopy17">'[12]Costo+Reexp'!#REF!</definedName>
    <definedName name="TextRefCopy18">'[12]Costo+Reexp'!#REF!</definedName>
    <definedName name="TextRefCopy2">'[12]Costo+Reexp'!#REF!</definedName>
    <definedName name="TextRefCopy2_15">#REF!</definedName>
    <definedName name="TextRefCopy2_16">#REF!</definedName>
    <definedName name="TextRefCopy2_2">#REF!</definedName>
    <definedName name="TextRefCopy2_3">#REF!</definedName>
    <definedName name="TextRefCopy20">'[12]Costo+Reexp'!#REF!</definedName>
    <definedName name="TextRefCopy21">'[12]Costo+Reexp'!#REF!</definedName>
    <definedName name="TextRefCopy22">'[12]Costo+Reexp'!#REF!</definedName>
    <definedName name="TextRefCopy24">#REF!</definedName>
    <definedName name="TextRefCopy25">#REF!</definedName>
    <definedName name="TextRefCopy28">#REF!</definedName>
    <definedName name="TextRefCopy29">#REF!</definedName>
    <definedName name="TextRefCopy3">'[12]Costo+Reexp'!#REF!</definedName>
    <definedName name="TextRefCopy3_15">#REF!</definedName>
    <definedName name="TextRefCopy3_16">#REF!</definedName>
    <definedName name="TextRefCopy3_2">#REF!</definedName>
    <definedName name="TextRefCopy3_3">#REF!</definedName>
    <definedName name="TextRefCopy30">#REF!</definedName>
    <definedName name="TextRefCopy31">#REF!</definedName>
    <definedName name="TextRefCopy32">'[17]Nota a los Estados Financieros'!#REF!</definedName>
    <definedName name="TextRefCopy34">#REF!</definedName>
    <definedName name="TextRefCopy39">#REF!</definedName>
    <definedName name="TextRefCopy4">'[12]Costo+Reexp'!#REF!</definedName>
    <definedName name="TextRefCopy4_15">#REF!</definedName>
    <definedName name="TextRefCopy4_16">#REF!</definedName>
    <definedName name="TextRefCopy4_2">#REF!</definedName>
    <definedName name="TextRefCopy4_3">#REF!</definedName>
    <definedName name="TextRefCopy42">#REF!</definedName>
    <definedName name="TextRefCopy43">[18]Detalle!$G$2</definedName>
    <definedName name="TextRefCopy44">'[19]Cálculo S. I.'!$U$55</definedName>
    <definedName name="TextRefCopy44_15">#REF!</definedName>
    <definedName name="TextRefCopy44_16">#REF!</definedName>
    <definedName name="TextRefCopy44_2">#REF!</definedName>
    <definedName name="TextRefCopy44_23">#REF!</definedName>
    <definedName name="TextRefCopy44_3">#REF!</definedName>
    <definedName name="TextRefCopy45">'[16]Anexo 4'!#REF!</definedName>
    <definedName name="TextRefCopy47">#REF!</definedName>
    <definedName name="TextRefCopy49">'[16]Anexo 4'!#REF!</definedName>
    <definedName name="TextRefCopy5">#REF!</definedName>
    <definedName name="TextRefCopy50">'[17]Deprec. {PPC}'!#REF!</definedName>
    <definedName name="TextRefCopy51">#REF!</definedName>
    <definedName name="TextRefCopy52">'[17]Deprec. {PPC}'!#REF!</definedName>
    <definedName name="TextRefCopy53">'[17]Deprec. {PPC}'!#REF!</definedName>
    <definedName name="TextRefCopy6">#REF!</definedName>
    <definedName name="TextRefCopy6_15">#REF!</definedName>
    <definedName name="TextRefCopy6_16">#REF!</definedName>
    <definedName name="TextRefCopy6_2">#REF!</definedName>
    <definedName name="TextRefCopy6_3">#REF!</definedName>
    <definedName name="TextRefCopy69">#REF!</definedName>
    <definedName name="TextRefCopy7">'[16]Anexo 4'!#REF!</definedName>
    <definedName name="TextRefCopy7_15">#REF!</definedName>
    <definedName name="TextRefCopy7_16">#REF!</definedName>
    <definedName name="TextRefCopy7_2">#REF!</definedName>
    <definedName name="TextRefCopy7_3">#REF!</definedName>
    <definedName name="TextRefCopy73">#REF!</definedName>
    <definedName name="TextRefCopy74">#REF!</definedName>
    <definedName name="TextRefCopy75">#REF!</definedName>
    <definedName name="TextRefCopy76">#REF!</definedName>
    <definedName name="TextRefCopy77">#REF!</definedName>
    <definedName name="TextRefCopy8">'[16]Anexo 4'!#REF!</definedName>
    <definedName name="TextRefCopy8_15">#REF!</definedName>
    <definedName name="TextRefCopy8_16">#REF!</definedName>
    <definedName name="TextRefCopy8_2">#REF!</definedName>
    <definedName name="TextRefCopy8_3">#REF!</definedName>
    <definedName name="TextRefCopy9">#REF!</definedName>
    <definedName name="TextRefCopy9_15">#REF!</definedName>
    <definedName name="TextRefCopy9_16">#REF!</definedName>
    <definedName name="TextRefCopy9_2">#REF!</definedName>
    <definedName name="TextRefCopy9_3">#REF!</definedName>
    <definedName name="TextRefCopyRangeCount">6</definedName>
    <definedName name="tg" localSheetId="0">DATE(YEAR(Loan_Start),MONTH(Loan_Start)+Payment_Number,DAY(Loan_Start))</definedName>
    <definedName name="tg">DATE(YEAR(Loan_Start),MONTH(Loan_Start)+Payment_Number,DAY(Loan_Start))</definedName>
    <definedName name="th" localSheetId="0">DATE(YEAR(Loan_Start),MONTH(Loan_Start)+Payment_Number,DAY(Loan_Start))</definedName>
    <definedName name="th">DATE(YEAR(Loan_Start),MONTH(Loan_Start)+Payment_Number,DAY(Loan_Start))</definedName>
    <definedName name="TIPO">#REF!</definedName>
    <definedName name="TN" localSheetId="0">DATE(YEAR(Loan_Start),MONTH(Loan_Start)+Payment_Number,DAY(Loan_Start))</definedName>
    <definedName name="TN">DATE(YEAR(Loan_Start),MONTH(Loan_Start)+Payment_Number,DAY(Loan_Start))</definedName>
    <definedName name="Total_Amount">#REF!</definedName>
    <definedName name="Total_Interest">#REF!</definedName>
    <definedName name="Total_Pay">#REF!</definedName>
    <definedName name="Total_Payment" localSheetId="0">Scheduled_Payment+Extra_Payment</definedName>
    <definedName name="Total_Payment">Scheduled_Payment+Extra_Payment</definedName>
    <definedName name="Values_Entered" localSheetId="0">IF(Loan_Amount*Interest_Rate*Loan_Years*Loan_Start&gt;0,1,0)</definedName>
    <definedName name="Values_Entered">IF(Loan_Amount*Interest_Rate*Loan_Years*Loan_Start&gt;0,1,0)</definedName>
    <definedName name="VC">#REF!</definedName>
    <definedName name="verito">2</definedName>
    <definedName name="VM">#REF!</definedName>
    <definedName name="W">[1]Datos!$A$6:$C$17</definedName>
    <definedName name="wrn.Aging._.and._.Trend._.Analysis." localSheetId="0">{#N/A,#N/A,FALSE,"Aging Summary";#N/A,#N/A,FALSE,"Ratio Analysis";#N/A,#N/A,FALSE,"Test 120 Day Accts";#N/A,#N/A,FALSE,"Tickmarks"}</definedName>
    <definedName name="wrn.Aging._.and._.Trend._.Analysis.">{#N/A,#N/A,FALSE,"Aging Summary";#N/A,#N/A,FALSE,"Ratio Analysis";#N/A,#N/A,FALSE,"Test 120 Day Accts";#N/A,#N/A,FALSE,"Tickmarks"}</definedName>
    <definedName name="WWW">#REF!</definedName>
    <definedName name="XREF_COLUMN_11">#REF!</definedName>
    <definedName name="XREF_COLUMN_13">#REF!</definedName>
    <definedName name="XREF_COLUMN_14">#REF!</definedName>
    <definedName name="XREF_COLUMN_16">'[20]Análisis IVA'!#REF!</definedName>
    <definedName name="XREF_COLUMN_17">'[20]Análisis IVA'!#REF!</definedName>
    <definedName name="XREF_COLUMN_18">'[20]Análisis IVA'!#REF!</definedName>
    <definedName name="XREF_COLUMN_19">#REF!</definedName>
    <definedName name="XREF_COLUMN_21">#REF!</definedName>
    <definedName name="XREF_COLUMN_22">#REF!</definedName>
    <definedName name="XREF_COLUMN_28">[21]Detalle!#REF!</definedName>
    <definedName name="XREF_COLUMN_29">[21]Detalle!#REF!</definedName>
    <definedName name="XREF_COLUMN_3">'[22]Análisis Ret Fuente'!#REF!</definedName>
    <definedName name="XREF_COLUMN_9">'[23]Varios dólares'!#REF!</definedName>
    <definedName name="XRefActiveRow">#REF!</definedName>
    <definedName name="XRefColumnsCount">18</definedName>
    <definedName name="XRefCopy1Row">[20]XREF!#REF!</definedName>
    <definedName name="XRefCopy35Row">#REF!</definedName>
    <definedName name="XRefCopy36Row">#REF!</definedName>
    <definedName name="XRefCopy37Row">#REF!</definedName>
    <definedName name="XRefCopy38Row">#REF!</definedName>
    <definedName name="XRefCopy39Row">#REF!</definedName>
    <definedName name="XRefCopy3Row">[24]XREF!#REF!</definedName>
    <definedName name="XRefCopy43Row">#REF!</definedName>
    <definedName name="XRefCopy4Row">#REF!</definedName>
    <definedName name="XRefCopy5">#REF!</definedName>
    <definedName name="XRefCopyRangeCount">1</definedName>
    <definedName name="XRefPaste10Row">[20]XREF!#REF!</definedName>
    <definedName name="XRefPaste11Row">[20]XREF!#REF!</definedName>
    <definedName name="XRefPaste14">#REF!</definedName>
    <definedName name="XRefPaste14Row">#REF!</definedName>
    <definedName name="XRefPaste16">#REF!</definedName>
    <definedName name="XRefPaste17">#REF!</definedName>
    <definedName name="XRefPaste18">#REF!</definedName>
    <definedName name="XRefPaste19">#REF!</definedName>
    <definedName name="XRefPaste1Row">#REF!</definedName>
    <definedName name="XRefPaste20">#REF!</definedName>
    <definedName name="XRefPaste21">#REF!</definedName>
    <definedName name="XRefPaste22">#REF!</definedName>
    <definedName name="XRefPaste22Row">#REF!</definedName>
    <definedName name="XRefPaste28">#REF!</definedName>
    <definedName name="XRefPaste29">#REF!</definedName>
    <definedName name="XRefPaste3">#REF!</definedName>
    <definedName name="XRefPaste31">#REF!</definedName>
    <definedName name="XRefPaste32">#REF!</definedName>
    <definedName name="XRefPaste33">#REF!</definedName>
    <definedName name="XRefPaste34">#REF!</definedName>
    <definedName name="XRefPaste35">#REF!</definedName>
    <definedName name="XRefPaste36">#REF!</definedName>
    <definedName name="XRefPaste37">#REF!</definedName>
    <definedName name="XRefPaste38">#REF!</definedName>
    <definedName name="XRefPaste39">#REF!</definedName>
    <definedName name="XRefPaste3Row">#REF!</definedName>
    <definedName name="XRefPaste4Row">[20]XREF!#REF!</definedName>
    <definedName name="XRefPaste9Row">[20]XREF!#REF!</definedName>
    <definedName name="XRefPasteRangeCount">22</definedName>
    <definedName name="XXX" localSheetId="0">OFFSET(Full_Print,0,0,'5.02'!Last_Row)</definedName>
    <definedName name="XXX">OFFSET(Full_Print,0,0,Last_Row)</definedName>
    <definedName name="Z">[25]A!$1:$14</definedName>
    <definedName name="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31" roundtripDataChecksum="rspBCYFP+loAfL6rBL1oJvaQHQuX5L4Locccl0901PA="/>
    </ext>
  </extLst>
</workbook>
</file>

<file path=xl/calcChain.xml><?xml version="1.0" encoding="utf-8"?>
<calcChain xmlns="http://schemas.openxmlformats.org/spreadsheetml/2006/main">
  <c r="D107" i="1" l="1"/>
  <c r="D94" i="1"/>
  <c r="D83" i="1" l="1"/>
  <c r="D84" i="1"/>
  <c r="I67" i="1"/>
  <c r="I66" i="1"/>
  <c r="I65" i="1"/>
  <c r="I64" i="1"/>
  <c r="I63" i="1"/>
  <c r="I62" i="1"/>
  <c r="I61" i="1"/>
  <c r="H69" i="1"/>
  <c r="D105" i="1"/>
  <c r="D92" i="1"/>
  <c r="D81" i="1"/>
  <c r="G69" i="1"/>
  <c r="F69" i="1"/>
  <c r="E69" i="1"/>
  <c r="D69" i="1"/>
  <c r="H48" i="1"/>
  <c r="G48" i="1"/>
  <c r="F48" i="1"/>
  <c r="E48" i="1"/>
  <c r="D48" i="1"/>
  <c r="I46" i="1"/>
  <c r="I45" i="1"/>
  <c r="I44" i="1"/>
  <c r="I43" i="1"/>
  <c r="I42" i="1"/>
  <c r="I41" i="1"/>
  <c r="I40" i="1"/>
  <c r="I39" i="1"/>
  <c r="I48" i="1" l="1"/>
  <c r="I69" i="1"/>
  <c r="D95" i="1" s="1"/>
  <c r="D108" i="1"/>
</calcChain>
</file>

<file path=xl/sharedStrings.xml><?xml version="1.0" encoding="utf-8"?>
<sst xmlns="http://schemas.openxmlformats.org/spreadsheetml/2006/main" count="108" uniqueCount="76">
  <si>
    <t>COMPAÑÍA MODELO S.A.</t>
  </si>
  <si>
    <t>Preparado por:</t>
  </si>
  <si>
    <t>Revisado por:</t>
  </si>
  <si>
    <t>Ref.</t>
  </si>
  <si>
    <t xml:space="preserve">MOVIMIENTO DE PROPIEDADES DE INVERSIÓN </t>
  </si>
  <si>
    <t>XX</t>
  </si>
  <si>
    <t>5.02</t>
  </si>
  <si>
    <t>AL 31 DE DICIEMBRE DE 20XX</t>
  </si>
  <si>
    <t>FECHA DE CORTE: _/_/20XX</t>
  </si>
  <si>
    <t xml:space="preserve">Objetivo: </t>
  </si>
  <si>
    <t>Identificar el tipo de transacciones que se han registrado en la cuenta de propiedades de inversión al _/_/20XX</t>
  </si>
  <si>
    <t>Base de decisión: Materialidad</t>
  </si>
  <si>
    <t>Preliminar</t>
  </si>
  <si>
    <t>Final</t>
  </si>
  <si>
    <t>General</t>
  </si>
  <si>
    <t>XXX.XXX</t>
  </si>
  <si>
    <t>Desempeño</t>
  </si>
  <si>
    <t>Errores Triviales</t>
  </si>
  <si>
    <t>1.-</t>
  </si>
  <si>
    <t>Solicitar a la Compañía los estados financieros al _/_/20XX.</t>
  </si>
  <si>
    <t>2.-</t>
  </si>
  <si>
    <t>Solicitar a la Compañía los mayores contables al _/_/20XX.</t>
  </si>
  <si>
    <t>3.-</t>
  </si>
  <si>
    <t>Clasificar los movimientos en el mayor contable de la cuenta propiedades de inversión.</t>
  </si>
  <si>
    <t>4.-</t>
  </si>
  <si>
    <t>5.-</t>
  </si>
  <si>
    <t>Conciliar íntegramente el saldo final del movimiento con estados financieros.</t>
  </si>
  <si>
    <t>Documentar el papel de trabajo y concluir en base al objetivo.</t>
  </si>
  <si>
    <t xml:space="preserve">Desarrollo: </t>
  </si>
  <si>
    <t>Movimiento del Costo</t>
  </si>
  <si>
    <t>Código cuenta contable</t>
  </si>
  <si>
    <t>Nombre cuenta contable</t>
  </si>
  <si>
    <t>Saldo según EEFF al  _/_/20xx</t>
  </si>
  <si>
    <t>Avalúos</t>
  </si>
  <si>
    <t>Adiciones</t>
  </si>
  <si>
    <t>Ventas / Bajas</t>
  </si>
  <si>
    <t>Reversos</t>
  </si>
  <si>
    <t xml:space="preserve">***Referenciar a los avalúos </t>
  </si>
  <si>
    <t>Movimiento depreciación acumulada</t>
  </si>
  <si>
    <t>Ajustes</t>
  </si>
  <si>
    <t>Cruce con estados financieros</t>
  </si>
  <si>
    <t>Saldo según EEFF al _/_/20xx</t>
  </si>
  <si>
    <t>Saldo según movimiento</t>
  </si>
  <si>
    <t>Diferencia</t>
  </si>
  <si>
    <t>3) Cruce del gasto depreciación vs estado de resultados</t>
  </si>
  <si>
    <t>Marcas de auditoría:</t>
  </si>
  <si>
    <t>Tomado de mayores contables al 31/xx/20xx (Año de revisión)</t>
  </si>
  <si>
    <t>Según Estado Financiero al 31/12/202x (Año de revisión)</t>
  </si>
  <si>
    <t>Cálculos de Auditoría</t>
  </si>
  <si>
    <t xml:space="preserve">Sumatoria </t>
  </si>
  <si>
    <t>A</t>
  </si>
  <si>
    <t>B</t>
  </si>
  <si>
    <t>C</t>
  </si>
  <si>
    <t xml:space="preserve"> </t>
  </si>
  <si>
    <t>Notas aclaratorias:</t>
  </si>
  <si>
    <t>a)</t>
  </si>
  <si>
    <t>b)</t>
  </si>
  <si>
    <t>c)</t>
  </si>
  <si>
    <t>Observaciones:</t>
  </si>
  <si>
    <t>Obs.1</t>
  </si>
  <si>
    <t>Obs.2</t>
  </si>
  <si>
    <t>Obs.3</t>
  </si>
  <si>
    <t>Conclusión:</t>
  </si>
  <si>
    <t>1) Cruce del costo vs estado de situación financiera</t>
  </si>
  <si>
    <t>2) Cruce de la depreciación acumulada vs estado de situación financiera</t>
  </si>
  <si>
    <t>***(Concluir en base al objetivo)</t>
  </si>
  <si>
    <t>***Base de mayores con la que se efectua el movimieto</t>
  </si>
  <si>
    <t>***Según el movimiento de la cuenta</t>
  </si>
  <si>
    <t xml:space="preserve">***Tomar en cuenta que existirán partidas de depreciación únicamente si las propiedades de inversión se miden al modelo del costo, si la medición de las propiedades de inversión esta bajo el modelo de valor razonable no se toma en cuenta los siguientes cuadros: </t>
  </si>
  <si>
    <t>Verificaciones:</t>
  </si>
  <si>
    <t xml:space="preserve">Procedimientos: </t>
  </si>
  <si>
    <t>Según Estado Financiero al 31/12/202x (Año anterior)</t>
  </si>
  <si>
    <t>[1]</t>
  </si>
  <si>
    <t>p/t 5</t>
  </si>
  <si>
    <t>p/t 1600</t>
  </si>
  <si>
    <t xml:space="preserve">Otras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</si>
</sst>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 #,##0.00_ ;_ * \-#,##0.00_ ;_ * &quot;-&quot;??_ ;_ @_ "/>
    <numFmt numFmtId="164" formatCode="_(* #,##0_);_(* \(#,##0\);_(* &quot;-&quot;??_);_(@_)"/>
    <numFmt numFmtId="165" formatCode="_(* #,##0.00_);_(* \(#,##0.00\);_(* &quot;-&quot;??_);_(@_)"/>
    <numFmt numFmtId="166" formatCode="_(* #,##0.0_);_(* \(#,##0.0\);_(* &quot;-&quot;??_);_(@_)"/>
    <numFmt numFmtId="167" formatCode="_(* #,##0.000_);_(* \(#,##0.000\);_(* &quot;-&quot;??_);_(@_)"/>
    <numFmt numFmtId="168" formatCode="_(* #,##0_);_(* \(#,##0\);_(* &quot;-&quot;_);_(@_)"/>
  </numFmts>
  <fonts count="20" x14ac:knownFonts="1">
    <font>
      <sz val="11"/>
      <color theme="1"/>
      <name val="Calibri"/>
      <scheme val="minor"/>
    </font>
    <font>
      <sz val="10"/>
      <color theme="1"/>
      <name val="Tahoma"/>
      <family val="2"/>
    </font>
    <font>
      <b/>
      <sz val="10"/>
      <color rgb="FF002060"/>
      <name val="Tahoma"/>
      <family val="2"/>
    </font>
    <font>
      <b/>
      <sz val="10"/>
      <color theme="1"/>
      <name val="Tahoma"/>
      <family val="2"/>
    </font>
    <font>
      <b/>
      <i/>
      <sz val="10"/>
      <color theme="1"/>
      <name val="Tahoma"/>
      <family val="2"/>
    </font>
    <font>
      <b/>
      <sz val="10"/>
      <color rgb="FFFF0000"/>
      <name val="Tahoma"/>
      <family val="2"/>
    </font>
    <font>
      <b/>
      <u/>
      <sz val="10"/>
      <color rgb="FF0000FF"/>
      <name val="Tahoma"/>
      <family val="2"/>
    </font>
    <font>
      <sz val="10"/>
      <color rgb="FF000000"/>
      <name val="Tahoma"/>
      <family val="2"/>
    </font>
    <font>
      <b/>
      <u/>
      <sz val="10"/>
      <color rgb="FF002060"/>
      <name val="Tahoma"/>
      <family val="2"/>
    </font>
    <font>
      <sz val="10"/>
      <color rgb="FFFF0000"/>
      <name val="Tahoma"/>
      <family val="2"/>
    </font>
    <font>
      <b/>
      <u/>
      <sz val="10"/>
      <color rgb="FF0000CC"/>
      <name val="Tahoma"/>
      <family val="2"/>
    </font>
    <font>
      <sz val="11"/>
      <color theme="1"/>
      <name val="Calibri"/>
      <family val="2"/>
    </font>
    <font>
      <sz val="11"/>
      <name val="Calibri"/>
      <family val="2"/>
    </font>
    <font>
      <b/>
      <sz val="10"/>
      <color rgb="FF0000FF"/>
      <name val="Tahoma"/>
      <family val="2"/>
    </font>
    <font>
      <b/>
      <sz val="10"/>
      <color theme="0"/>
      <name val="Tahoma"/>
      <family val="2"/>
    </font>
    <font>
      <b/>
      <sz val="10"/>
      <color rgb="FFFF0000"/>
      <name val="Marlett"/>
      <charset val="2"/>
    </font>
    <font>
      <b/>
      <u/>
      <sz val="10"/>
      <color rgb="FF0000FF"/>
      <name val="Tahoma"/>
      <family val="2"/>
    </font>
    <font>
      <sz val="10"/>
      <color rgb="FF0000FF"/>
      <name val="Tahoma"/>
      <family val="2"/>
    </font>
    <font>
      <sz val="11"/>
      <color theme="1"/>
      <name val="Calibri"/>
      <family val="2"/>
      <scheme val="minor"/>
    </font>
    <font>
      <sz val="10"/>
      <name val="Arial"/>
      <family val="2"/>
    </font>
  </fonts>
  <fills count="8">
    <fill>
      <patternFill patternType="none"/>
    </fill>
    <fill>
      <patternFill patternType="gray125"/>
    </fill>
    <fill>
      <patternFill patternType="solid">
        <fgColor rgb="FFD9E2F3"/>
        <bgColor rgb="FFD9E2F3"/>
      </patternFill>
    </fill>
    <fill>
      <patternFill patternType="solid">
        <fgColor rgb="FFFFFFFF"/>
        <bgColor rgb="FFFFFFFF"/>
      </patternFill>
    </fill>
    <fill>
      <patternFill patternType="solid">
        <fgColor theme="0"/>
        <bgColor theme="0"/>
      </patternFill>
    </fill>
    <fill>
      <patternFill patternType="solid">
        <fgColor theme="8" tint="0.39997558519241921"/>
        <bgColor rgb="FF9CC2E5"/>
      </patternFill>
    </fill>
    <fill>
      <patternFill patternType="solid">
        <fgColor theme="8" tint="0.39997558519241921"/>
        <bgColor indexed="64"/>
      </patternFill>
    </fill>
    <fill>
      <patternFill patternType="solid">
        <fgColor theme="0"/>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right/>
      <top/>
      <bottom style="thick">
        <color rgb="FF00206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double">
        <color rgb="FF000000"/>
      </bottom>
      <diagonal/>
    </border>
    <border>
      <left/>
      <right/>
      <top/>
      <bottom/>
      <diagonal/>
    </border>
    <border>
      <left/>
      <right/>
      <top/>
      <bottom/>
      <diagonal/>
    </border>
    <border>
      <left/>
      <right/>
      <top style="thin">
        <color rgb="FF000000"/>
      </top>
      <bottom style="double">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43" fontId="18" fillId="0" borderId="0" applyFont="0" applyFill="0" applyBorder="0" applyAlignment="0" applyProtection="0"/>
    <xf numFmtId="0" fontId="19" fillId="0" borderId="7"/>
  </cellStyleXfs>
  <cellXfs count="106">
    <xf numFmtId="0" fontId="0" fillId="0" borderId="0" xfId="0" applyFont="1" applyAlignment="1"/>
    <xf numFmtId="0" fontId="1" fillId="0" borderId="0" xfId="0" applyFont="1"/>
    <xf numFmtId="0" fontId="2" fillId="0" borderId="0" xfId="0" applyFont="1"/>
    <xf numFmtId="0" fontId="3" fillId="0" borderId="0" xfId="0" applyFont="1"/>
    <xf numFmtId="0" fontId="3" fillId="0" borderId="0" xfId="0" applyFont="1" applyAlignment="1">
      <alignment horizontal="right"/>
    </xf>
    <xf numFmtId="0" fontId="4" fillId="0" borderId="0" xfId="0" applyFont="1" applyAlignment="1">
      <alignment horizontal="right"/>
    </xf>
    <xf numFmtId="0" fontId="5" fillId="0" borderId="0" xfId="0" applyFont="1" applyAlignment="1">
      <alignment horizontal="left"/>
    </xf>
    <xf numFmtId="0" fontId="2" fillId="2" borderId="1" xfId="0" applyFont="1" applyFill="1" applyBorder="1" applyAlignment="1">
      <alignment horizontal="center" vertical="center"/>
    </xf>
    <xf numFmtId="0" fontId="1" fillId="0" borderId="0" xfId="0" applyFont="1" applyAlignment="1">
      <alignment horizontal="right"/>
    </xf>
    <xf numFmtId="0" fontId="1" fillId="0" borderId="1" xfId="0" applyFont="1" applyBorder="1" applyAlignment="1">
      <alignment horizontal="center" vertical="center" wrapText="1"/>
    </xf>
    <xf numFmtId="0" fontId="1" fillId="3" borderId="1" xfId="0" applyFont="1" applyFill="1" applyBorder="1" applyAlignment="1">
      <alignment horizontal="center" vertical="center" wrapText="1"/>
    </xf>
    <xf numFmtId="0" fontId="5" fillId="3" borderId="1" xfId="0" applyFont="1" applyFill="1" applyBorder="1" applyAlignment="1">
      <alignment horizontal="center" vertical="center" wrapText="1"/>
    </xf>
    <xf numFmtId="0" fontId="2" fillId="0" borderId="0" xfId="0" applyFont="1" applyAlignment="1">
      <alignment horizontal="left" vertical="center"/>
    </xf>
    <xf numFmtId="0" fontId="2" fillId="0" borderId="0" xfId="0" applyFont="1" applyAlignment="1">
      <alignment horizontal="left" vertical="top"/>
    </xf>
    <xf numFmtId="0" fontId="3" fillId="0" borderId="2" xfId="0" applyFont="1" applyBorder="1" applyAlignment="1">
      <alignment horizontal="left" vertical="top"/>
    </xf>
    <xf numFmtId="0" fontId="3" fillId="0" borderId="0" xfId="0" applyFont="1" applyAlignment="1">
      <alignment horizontal="left" vertical="top"/>
    </xf>
    <xf numFmtId="0" fontId="6" fillId="0" borderId="0" xfId="0" applyFont="1"/>
    <xf numFmtId="164" fontId="3" fillId="0" borderId="0" xfId="0" applyNumberFormat="1" applyFont="1" applyAlignment="1">
      <alignment horizontal="left"/>
    </xf>
    <xf numFmtId="0" fontId="7" fillId="0" borderId="0" xfId="0" applyFont="1" applyAlignment="1"/>
    <xf numFmtId="0" fontId="7" fillId="0" borderId="0" xfId="0" applyFont="1"/>
    <xf numFmtId="0" fontId="7" fillId="3" borderId="3" xfId="0" applyFont="1" applyFill="1" applyBorder="1" applyAlignment="1">
      <alignment vertical="center"/>
    </xf>
    <xf numFmtId="0" fontId="7" fillId="3" borderId="3" xfId="0" applyFont="1" applyFill="1" applyBorder="1" applyAlignment="1">
      <alignment vertical="center" wrapText="1"/>
    </xf>
    <xf numFmtId="0" fontId="1" fillId="4" borderId="3" xfId="0" applyFont="1" applyFill="1" applyBorder="1" applyAlignment="1">
      <alignment horizontal="left"/>
    </xf>
    <xf numFmtId="0" fontId="1" fillId="2" borderId="1" xfId="0" applyFont="1" applyFill="1" applyBorder="1" applyAlignment="1">
      <alignment horizontal="center"/>
    </xf>
    <xf numFmtId="0" fontId="1" fillId="2" borderId="4" xfId="0" applyFont="1" applyFill="1" applyBorder="1"/>
    <xf numFmtId="0" fontId="1" fillId="0" borderId="1" xfId="0" applyFont="1" applyBorder="1" applyAlignment="1">
      <alignment horizontal="center"/>
    </xf>
    <xf numFmtId="0" fontId="1" fillId="0" borderId="0" xfId="0" applyFont="1" applyAlignment="1">
      <alignment horizontal="center"/>
    </xf>
    <xf numFmtId="0" fontId="7" fillId="0" borderId="0" xfId="0" applyFont="1" applyAlignment="1">
      <alignment vertical="center" wrapText="1"/>
    </xf>
    <xf numFmtId="164" fontId="1" fillId="0" borderId="0" xfId="0" applyNumberFormat="1" applyFont="1" applyAlignment="1">
      <alignment vertical="center"/>
    </xf>
    <xf numFmtId="164" fontId="1" fillId="0" borderId="0" xfId="0" applyNumberFormat="1" applyFont="1" applyAlignment="1">
      <alignment horizontal="left"/>
    </xf>
    <xf numFmtId="164" fontId="1" fillId="0" borderId="0" xfId="0" applyNumberFormat="1" applyFont="1"/>
    <xf numFmtId="164" fontId="8" fillId="0" borderId="0" xfId="0" applyNumberFormat="1" applyFont="1" applyAlignment="1">
      <alignment horizontal="left"/>
    </xf>
    <xf numFmtId="164" fontId="3" fillId="0" borderId="0" xfId="0" applyNumberFormat="1" applyFont="1" applyAlignment="1"/>
    <xf numFmtId="164" fontId="3" fillId="0" borderId="0" xfId="0" applyNumberFormat="1" applyFont="1" applyAlignment="1">
      <alignment horizontal="right"/>
    </xf>
    <xf numFmtId="164" fontId="3" fillId="0" borderId="0" xfId="0" applyNumberFormat="1" applyFont="1"/>
    <xf numFmtId="164" fontId="2" fillId="0" borderId="0" xfId="0" applyNumberFormat="1" applyFont="1" applyAlignment="1">
      <alignment horizontal="center" vertical="center" wrapText="1"/>
    </xf>
    <xf numFmtId="16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0" borderId="0" xfId="0" applyFont="1" applyAlignment="1">
      <alignment horizontal="center" vertical="center" wrapText="1"/>
    </xf>
    <xf numFmtId="1" fontId="1" fillId="0" borderId="1" xfId="0" applyNumberFormat="1" applyFont="1" applyBorder="1" applyAlignment="1">
      <alignment horizontal="center"/>
    </xf>
    <xf numFmtId="43" fontId="1" fillId="0" borderId="1" xfId="0" applyNumberFormat="1" applyFont="1" applyBorder="1"/>
    <xf numFmtId="164" fontId="1" fillId="0" borderId="1" xfId="0" applyNumberFormat="1" applyFont="1" applyBorder="1"/>
    <xf numFmtId="0" fontId="1" fillId="0" borderId="1" xfId="0" applyFont="1" applyBorder="1"/>
    <xf numFmtId="165" fontId="1" fillId="0" borderId="1" xfId="0" applyNumberFormat="1" applyFont="1" applyBorder="1"/>
    <xf numFmtId="0" fontId="9" fillId="0" borderId="1" xfId="0" applyFont="1" applyBorder="1"/>
    <xf numFmtId="1" fontId="1" fillId="4" borderId="1" xfId="0" applyNumberFormat="1" applyFont="1" applyFill="1" applyBorder="1" applyAlignment="1">
      <alignment horizontal="center"/>
    </xf>
    <xf numFmtId="164" fontId="1" fillId="4" borderId="1" xfId="0" applyNumberFormat="1" applyFont="1" applyFill="1" applyBorder="1"/>
    <xf numFmtId="1" fontId="1" fillId="4" borderId="3" xfId="0" applyNumberFormat="1" applyFont="1" applyFill="1" applyBorder="1" applyAlignment="1">
      <alignment horizontal="center"/>
    </xf>
    <xf numFmtId="43" fontId="1" fillId="0" borderId="0" xfId="0" applyNumberFormat="1" applyFont="1"/>
    <xf numFmtId="164" fontId="1" fillId="4" borderId="3" xfId="0" applyNumberFormat="1" applyFont="1" applyFill="1" applyBorder="1"/>
    <xf numFmtId="165" fontId="1" fillId="4" borderId="3" xfId="0" applyNumberFormat="1" applyFont="1" applyFill="1" applyBorder="1"/>
    <xf numFmtId="164" fontId="3" fillId="0" borderId="5" xfId="0" applyNumberFormat="1" applyFont="1" applyBorder="1"/>
    <xf numFmtId="0" fontId="10" fillId="3" borderId="3" xfId="0" applyFont="1" applyFill="1" applyBorder="1"/>
    <xf numFmtId="49" fontId="9" fillId="0" borderId="0" xfId="0" applyNumberFormat="1" applyFont="1"/>
    <xf numFmtId="0" fontId="9" fillId="0" borderId="0" xfId="0" applyFont="1"/>
    <xf numFmtId="164" fontId="5" fillId="0" borderId="0" xfId="0" applyNumberFormat="1" applyFont="1" applyAlignment="1">
      <alignment horizontal="right"/>
    </xf>
    <xf numFmtId="164" fontId="5" fillId="4" borderId="3" xfId="0" applyNumberFormat="1" applyFont="1" applyFill="1" applyBorder="1" applyAlignment="1">
      <alignment horizontal="center" vertical="center"/>
    </xf>
    <xf numFmtId="164" fontId="5" fillId="0" borderId="0" xfId="0" applyNumberFormat="1" applyFont="1" applyAlignment="1">
      <alignment horizontal="center"/>
    </xf>
    <xf numFmtId="0" fontId="9" fillId="0" borderId="0" xfId="0" applyFont="1" applyAlignment="1"/>
    <xf numFmtId="164" fontId="3" fillId="0" borderId="0" xfId="0" applyNumberFormat="1" applyFont="1" applyAlignment="1">
      <alignment horizontal="center" vertical="center" wrapText="1"/>
    </xf>
    <xf numFmtId="1" fontId="1" fillId="0" borderId="1" xfId="0" applyNumberFormat="1" applyFont="1" applyBorder="1" applyAlignment="1">
      <alignment horizontal="left"/>
    </xf>
    <xf numFmtId="166" fontId="1" fillId="0" borderId="1" xfId="0" applyNumberFormat="1" applyFont="1" applyBorder="1"/>
    <xf numFmtId="4" fontId="11" fillId="0" borderId="1" xfId="0" applyNumberFormat="1" applyFont="1" applyBorder="1"/>
    <xf numFmtId="167" fontId="1" fillId="0" borderId="1" xfId="0" applyNumberFormat="1" applyFont="1" applyBorder="1"/>
    <xf numFmtId="164" fontId="1" fillId="4" borderId="3" xfId="0" applyNumberFormat="1" applyFont="1" applyFill="1" applyBorder="1" applyAlignment="1">
      <alignment horizontal="left" vertical="center" wrapText="1"/>
    </xf>
    <xf numFmtId="164" fontId="3" fillId="4" borderId="8" xfId="0" applyNumberFormat="1" applyFont="1" applyFill="1" applyBorder="1"/>
    <xf numFmtId="165" fontId="3" fillId="4" borderId="8" xfId="0" applyNumberFormat="1" applyFont="1" applyFill="1" applyBorder="1"/>
    <xf numFmtId="168" fontId="9" fillId="4" borderId="3" xfId="0" applyNumberFormat="1" applyFont="1" applyFill="1" applyBorder="1" applyAlignment="1">
      <alignment horizontal="center"/>
    </xf>
    <xf numFmtId="0" fontId="11" fillId="0" borderId="0" xfId="0" applyFont="1"/>
    <xf numFmtId="166" fontId="1" fillId="4" borderId="1" xfId="0" applyNumberFormat="1" applyFont="1" applyFill="1" applyBorder="1"/>
    <xf numFmtId="0" fontId="1" fillId="4" borderId="3" xfId="0" applyFont="1" applyFill="1" applyBorder="1"/>
    <xf numFmtId="166" fontId="1" fillId="4" borderId="8" xfId="0" applyNumberFormat="1" applyFont="1" applyFill="1" applyBorder="1"/>
    <xf numFmtId="0" fontId="1" fillId="4" borderId="3" xfId="0" applyFont="1" applyFill="1" applyBorder="1" applyAlignment="1">
      <alignment horizontal="right"/>
    </xf>
    <xf numFmtId="0" fontId="2" fillId="0" borderId="0" xfId="0" applyFont="1" applyAlignment="1">
      <alignment horizontal="center"/>
    </xf>
    <xf numFmtId="0" fontId="14" fillId="0" borderId="0" xfId="0" applyFont="1" applyAlignment="1">
      <alignment horizontal="center"/>
    </xf>
    <xf numFmtId="168" fontId="15" fillId="4" borderId="3" xfId="0" applyNumberFormat="1" applyFont="1" applyFill="1" applyBorder="1" applyAlignment="1">
      <alignment horizontal="center"/>
    </xf>
    <xf numFmtId="0" fontId="5" fillId="0" borderId="0" xfId="0" applyFont="1"/>
    <xf numFmtId="0" fontId="16" fillId="4" borderId="3" xfId="0" applyFont="1" applyFill="1" applyBorder="1"/>
    <xf numFmtId="0" fontId="5" fillId="0" borderId="0" xfId="0" applyFont="1" applyAlignment="1">
      <alignment horizontal="center"/>
    </xf>
    <xf numFmtId="164" fontId="17" fillId="0" borderId="0" xfId="0" applyNumberFormat="1" applyFont="1" applyAlignment="1">
      <alignment horizontal="right"/>
    </xf>
    <xf numFmtId="168" fontId="5" fillId="4" borderId="3" xfId="0" applyNumberFormat="1" applyFont="1" applyFill="1" applyBorder="1" applyAlignment="1">
      <alignment horizontal="center"/>
    </xf>
    <xf numFmtId="164" fontId="1" fillId="0" borderId="0" xfId="0" applyNumberFormat="1" applyFont="1" applyAlignment="1">
      <alignment horizontal="center" vertical="center"/>
    </xf>
    <xf numFmtId="164" fontId="3" fillId="0" borderId="0" xfId="0" applyNumberFormat="1" applyFont="1" applyAlignment="1">
      <alignment horizontal="center" vertical="center"/>
    </xf>
    <xf numFmtId="0" fontId="1" fillId="0" borderId="0" xfId="0" applyFont="1" applyAlignment="1">
      <alignment horizontal="center" vertical="center"/>
    </xf>
    <xf numFmtId="0" fontId="0" fillId="0" borderId="0" xfId="0" applyFont="1" applyAlignment="1">
      <alignment horizontal="center" vertical="center"/>
    </xf>
    <xf numFmtId="0" fontId="3" fillId="0" borderId="0" xfId="0" applyFont="1" applyFill="1"/>
    <xf numFmtId="164" fontId="1" fillId="0" borderId="0" xfId="0" applyNumberFormat="1" applyFont="1" applyAlignment="1">
      <alignment vertical="center" wrapText="1"/>
    </xf>
    <xf numFmtId="164" fontId="3" fillId="0" borderId="0" xfId="0" applyNumberFormat="1" applyFont="1" applyAlignment="1">
      <alignment vertical="center" wrapText="1"/>
    </xf>
    <xf numFmtId="0" fontId="1" fillId="0" borderId="0" xfId="0" applyFont="1" applyAlignment="1">
      <alignment vertical="center" wrapText="1"/>
    </xf>
    <xf numFmtId="0" fontId="0" fillId="0" borderId="0" xfId="0" applyFont="1" applyAlignment="1">
      <alignment vertical="center" wrapText="1"/>
    </xf>
    <xf numFmtId="164"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0" fillId="0" borderId="0" xfId="0" applyFont="1" applyAlignment="1">
      <alignment horizontal="center" vertical="center" wrapText="1"/>
    </xf>
    <xf numFmtId="164" fontId="9" fillId="0" borderId="7" xfId="1" applyNumberFormat="1" applyFont="1" applyFill="1" applyBorder="1"/>
    <xf numFmtId="0" fontId="6" fillId="4" borderId="3" xfId="0" applyFont="1" applyFill="1" applyBorder="1"/>
    <xf numFmtId="0" fontId="5" fillId="4" borderId="3" xfId="0" applyFont="1" applyFill="1" applyBorder="1" applyAlignment="1">
      <alignment horizontal="right"/>
    </xf>
    <xf numFmtId="164" fontId="5" fillId="4" borderId="8" xfId="0" applyNumberFormat="1" applyFont="1" applyFill="1" applyBorder="1"/>
    <xf numFmtId="0" fontId="1" fillId="0" borderId="7" xfId="0" applyFont="1" applyBorder="1"/>
    <xf numFmtId="0" fontId="13" fillId="7" borderId="7" xfId="2" applyFont="1" applyFill="1" applyAlignment="1">
      <alignment horizontal="center"/>
    </xf>
    <xf numFmtId="0" fontId="13" fillId="7" borderId="7" xfId="2" applyFont="1" applyFill="1" applyAlignment="1">
      <alignment horizontal="left"/>
    </xf>
    <xf numFmtId="164" fontId="5" fillId="0" borderId="0" xfId="0" applyNumberFormat="1" applyFont="1"/>
    <xf numFmtId="164" fontId="3" fillId="4" borderId="6" xfId="0" applyNumberFormat="1" applyFont="1" applyFill="1" applyBorder="1" applyAlignment="1">
      <alignment horizontal="center"/>
    </xf>
    <xf numFmtId="0" fontId="12" fillId="0" borderId="7" xfId="0" applyFont="1" applyBorder="1"/>
    <xf numFmtId="0" fontId="2" fillId="5" borderId="9" xfId="0" applyFont="1" applyFill="1" applyBorder="1" applyAlignment="1">
      <alignment horizontal="center"/>
    </xf>
    <xf numFmtId="0" fontId="12" fillId="6" borderId="10" xfId="0" applyFont="1" applyFill="1" applyBorder="1"/>
    <xf numFmtId="0" fontId="12" fillId="6" borderId="11" xfId="0" applyFont="1" applyFill="1" applyBorder="1"/>
  </cellXfs>
  <cellStyles count="3">
    <cellStyle name="Millares" xfId="1" builtinId="3"/>
    <cellStyle name="Normal" xfId="0" builtinId="0"/>
    <cellStyle name="Normal 2 2 2 10" xfId="2" xr:uid="{40BED458-D01D-4A49-B993-4A31D927785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sharedStrings" Target="sharedStrings.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customschemas.google.com/relationships/workbookmetadata" Target="metadata"/><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5"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emf"/><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oneCellAnchor>
    <xdr:from>
      <xdr:col>1</xdr:col>
      <xdr:colOff>254000</xdr:colOff>
      <xdr:row>36</xdr:row>
      <xdr:rowOff>101595</xdr:rowOff>
    </xdr:from>
    <xdr:ext cx="4124325" cy="38100"/>
    <xdr:grpSp>
      <xdr:nvGrpSpPr>
        <xdr:cNvPr id="2" name="Shape 2">
          <a:extLst>
            <a:ext uri="{FF2B5EF4-FFF2-40B4-BE49-F238E27FC236}">
              <a16:creationId xmlns:a16="http://schemas.microsoft.com/office/drawing/2014/main" id="{00000000-0008-0000-0000-000002000000}"/>
            </a:ext>
          </a:extLst>
        </xdr:cNvPr>
        <xdr:cNvGrpSpPr/>
      </xdr:nvGrpSpPr>
      <xdr:grpSpPr>
        <a:xfrm>
          <a:off x="682625" y="5364158"/>
          <a:ext cx="4124325" cy="38100"/>
          <a:chOff x="3283838" y="3780000"/>
          <a:chExt cx="4124325" cy="0"/>
        </a:xfrm>
      </xdr:grpSpPr>
      <xdr:cxnSp macro="">
        <xdr:nvCxnSpPr>
          <xdr:cNvPr id="3" name="Shape 3">
            <a:extLst>
              <a:ext uri="{FF2B5EF4-FFF2-40B4-BE49-F238E27FC236}">
                <a16:creationId xmlns:a16="http://schemas.microsoft.com/office/drawing/2014/main" id="{00000000-0008-0000-0000-000003000000}"/>
              </a:ext>
            </a:extLst>
          </xdr:cNvPr>
          <xdr:cNvCxnSpPr/>
        </xdr:nvCxnSpPr>
        <xdr:spPr>
          <a:xfrm>
            <a:off x="3283838" y="3780000"/>
            <a:ext cx="4124325"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4</xdr:col>
      <xdr:colOff>341313</xdr:colOff>
      <xdr:row>36</xdr:row>
      <xdr:rowOff>63500</xdr:rowOff>
    </xdr:from>
    <xdr:ext cx="4972050" cy="38100"/>
    <xdr:grpSp>
      <xdr:nvGrpSpPr>
        <xdr:cNvPr id="4" name="Shape 2" title="Dibujo">
          <a:extLst>
            <a:ext uri="{FF2B5EF4-FFF2-40B4-BE49-F238E27FC236}">
              <a16:creationId xmlns:a16="http://schemas.microsoft.com/office/drawing/2014/main" id="{00000000-0008-0000-0000-000004000000}"/>
            </a:ext>
          </a:extLst>
        </xdr:cNvPr>
        <xdr:cNvGrpSpPr/>
      </xdr:nvGrpSpPr>
      <xdr:grpSpPr>
        <a:xfrm>
          <a:off x="6921501" y="5326063"/>
          <a:ext cx="4972050" cy="38100"/>
          <a:chOff x="2859975" y="3780000"/>
          <a:chExt cx="4972050" cy="0"/>
        </a:xfrm>
      </xdr:grpSpPr>
      <xdr:cxnSp macro="">
        <xdr:nvCxnSpPr>
          <xdr:cNvPr id="5" name="Shape 4">
            <a:extLst>
              <a:ext uri="{FF2B5EF4-FFF2-40B4-BE49-F238E27FC236}">
                <a16:creationId xmlns:a16="http://schemas.microsoft.com/office/drawing/2014/main" id="{00000000-0008-0000-0000-000005000000}"/>
              </a:ext>
            </a:extLst>
          </xdr:cNvPr>
          <xdr:cNvCxnSpPr/>
        </xdr:nvCxnSpPr>
        <xdr:spPr>
          <a:xfrm>
            <a:off x="2859975" y="3780000"/>
            <a:ext cx="4972050"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1</xdr:col>
      <xdr:colOff>242888</xdr:colOff>
      <xdr:row>58</xdr:row>
      <xdr:rowOff>138112</xdr:rowOff>
    </xdr:from>
    <xdr:ext cx="4104000" cy="38100"/>
    <xdr:grpSp>
      <xdr:nvGrpSpPr>
        <xdr:cNvPr id="6" name="Shape 2">
          <a:extLst>
            <a:ext uri="{FF2B5EF4-FFF2-40B4-BE49-F238E27FC236}">
              <a16:creationId xmlns:a16="http://schemas.microsoft.com/office/drawing/2014/main" id="{00000000-0008-0000-0000-000006000000}"/>
            </a:ext>
          </a:extLst>
        </xdr:cNvPr>
        <xdr:cNvGrpSpPr/>
      </xdr:nvGrpSpPr>
      <xdr:grpSpPr>
        <a:xfrm>
          <a:off x="671513" y="8845550"/>
          <a:ext cx="4104000" cy="38100"/>
          <a:chOff x="3650550" y="3780000"/>
          <a:chExt cx="3390900" cy="0"/>
        </a:xfrm>
      </xdr:grpSpPr>
      <xdr:cxnSp macro="">
        <xdr:nvCxnSpPr>
          <xdr:cNvPr id="7" name="Shape 5">
            <a:extLst>
              <a:ext uri="{FF2B5EF4-FFF2-40B4-BE49-F238E27FC236}">
                <a16:creationId xmlns:a16="http://schemas.microsoft.com/office/drawing/2014/main" id="{00000000-0008-0000-0000-000007000000}"/>
              </a:ext>
            </a:extLst>
          </xdr:cNvPr>
          <xdr:cNvCxnSpPr/>
        </xdr:nvCxnSpPr>
        <xdr:spPr>
          <a:xfrm>
            <a:off x="3650550" y="3780000"/>
            <a:ext cx="3390900"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4</xdr:col>
      <xdr:colOff>266699</xdr:colOff>
      <xdr:row>58</xdr:row>
      <xdr:rowOff>136527</xdr:rowOff>
    </xdr:from>
    <xdr:ext cx="5328000" cy="38100"/>
    <xdr:grpSp>
      <xdr:nvGrpSpPr>
        <xdr:cNvPr id="8" name="Shape 2">
          <a:extLst>
            <a:ext uri="{FF2B5EF4-FFF2-40B4-BE49-F238E27FC236}">
              <a16:creationId xmlns:a16="http://schemas.microsoft.com/office/drawing/2014/main" id="{00000000-0008-0000-0000-000008000000}"/>
            </a:ext>
          </a:extLst>
        </xdr:cNvPr>
        <xdr:cNvGrpSpPr/>
      </xdr:nvGrpSpPr>
      <xdr:grpSpPr>
        <a:xfrm>
          <a:off x="6846887" y="8843965"/>
          <a:ext cx="5328000" cy="38100"/>
          <a:chOff x="3769613" y="3780000"/>
          <a:chExt cx="3152775" cy="0"/>
        </a:xfrm>
      </xdr:grpSpPr>
      <xdr:cxnSp macro="">
        <xdr:nvCxnSpPr>
          <xdr:cNvPr id="9" name="Shape 6">
            <a:extLst>
              <a:ext uri="{FF2B5EF4-FFF2-40B4-BE49-F238E27FC236}">
                <a16:creationId xmlns:a16="http://schemas.microsoft.com/office/drawing/2014/main" id="{00000000-0008-0000-0000-000009000000}"/>
              </a:ext>
            </a:extLst>
          </xdr:cNvPr>
          <xdr:cNvCxnSpPr/>
        </xdr:nvCxnSpPr>
        <xdr:spPr>
          <a:xfrm>
            <a:off x="3769613" y="3780000"/>
            <a:ext cx="3152775" cy="0"/>
          </a:xfrm>
          <a:prstGeom prst="straightConnector1">
            <a:avLst/>
          </a:prstGeom>
          <a:noFill/>
          <a:ln w="9525" cap="flat" cmpd="sng">
            <a:solidFill>
              <a:srgbClr val="FF0000"/>
            </a:solidFill>
            <a:prstDash val="solid"/>
            <a:miter lim="800000"/>
            <a:headEnd type="none" w="sm" len="sm"/>
            <a:tailEnd type="triangle" w="med" len="med"/>
          </a:ln>
        </xdr:spPr>
      </xdr:cxnSp>
    </xdr:grpSp>
    <xdr:clientData fLocksWithSheet="0"/>
  </xdr:oneCellAnchor>
  <xdr:oneCellAnchor>
    <xdr:from>
      <xdr:col>8</xdr:col>
      <xdr:colOff>698500</xdr:colOff>
      <xdr:row>35</xdr:row>
      <xdr:rowOff>111124</xdr:rowOff>
    </xdr:from>
    <xdr:ext cx="214315" cy="214313"/>
    <xdr:pic>
      <xdr:nvPicPr>
        <xdr:cNvPr id="11" name="image10.png">
          <a:extLst>
            <a:ext uri="{FF2B5EF4-FFF2-40B4-BE49-F238E27FC236}">
              <a16:creationId xmlns:a16="http://schemas.microsoft.com/office/drawing/2014/main" id="{00000000-0008-0000-0000-00000B000000}"/>
            </a:ext>
          </a:extLst>
        </xdr:cNvPr>
        <xdr:cNvPicPr preferRelativeResize="0"/>
      </xdr:nvPicPr>
      <xdr:blipFill>
        <a:blip xmlns:r="http://schemas.openxmlformats.org/officeDocument/2006/relationships" r:embed="rId1" cstate="print"/>
        <a:stretch>
          <a:fillRect/>
        </a:stretch>
      </xdr:blipFill>
      <xdr:spPr>
        <a:xfrm>
          <a:off x="12890500" y="5421312"/>
          <a:ext cx="214315" cy="214313"/>
        </a:xfrm>
        <a:prstGeom prst="rect">
          <a:avLst/>
        </a:prstGeom>
        <a:noFill/>
      </xdr:spPr>
    </xdr:pic>
    <xdr:clientData fLocksWithSheet="0"/>
  </xdr:oneCellAnchor>
  <xdr:oneCellAnchor>
    <xdr:from>
      <xdr:col>8</xdr:col>
      <xdr:colOff>538167</xdr:colOff>
      <xdr:row>57</xdr:row>
      <xdr:rowOff>142873</xdr:rowOff>
    </xdr:from>
    <xdr:ext cx="207963" cy="201613"/>
    <xdr:pic>
      <xdr:nvPicPr>
        <xdr:cNvPr id="12" name="image3.png">
          <a:extLst>
            <a:ext uri="{FF2B5EF4-FFF2-40B4-BE49-F238E27FC236}">
              <a16:creationId xmlns:a16="http://schemas.microsoft.com/office/drawing/2014/main" id="{00000000-0008-0000-0000-00000C000000}"/>
            </a:ext>
          </a:extLst>
        </xdr:cNvPr>
        <xdr:cNvPicPr preferRelativeResize="0"/>
      </xdr:nvPicPr>
      <xdr:blipFill>
        <a:blip xmlns:r="http://schemas.openxmlformats.org/officeDocument/2006/relationships" r:embed="rId2" cstate="print"/>
        <a:stretch>
          <a:fillRect/>
        </a:stretch>
      </xdr:blipFill>
      <xdr:spPr>
        <a:xfrm>
          <a:off x="11372855" y="8897936"/>
          <a:ext cx="207963" cy="201613"/>
        </a:xfrm>
        <a:prstGeom prst="rect">
          <a:avLst/>
        </a:prstGeom>
        <a:noFill/>
      </xdr:spPr>
    </xdr:pic>
    <xdr:clientData fLocksWithSheet="0"/>
  </xdr:oneCellAnchor>
  <xdr:oneCellAnchor>
    <xdr:from>
      <xdr:col>2</xdr:col>
      <xdr:colOff>1814512</xdr:colOff>
      <xdr:row>47</xdr:row>
      <xdr:rowOff>23813</xdr:rowOff>
    </xdr:from>
    <xdr:ext cx="190500" cy="190500"/>
    <xdr:pic>
      <xdr:nvPicPr>
        <xdr:cNvPr id="13" name="image2.png">
          <a:extLst>
            <a:ext uri="{FF2B5EF4-FFF2-40B4-BE49-F238E27FC236}">
              <a16:creationId xmlns:a16="http://schemas.microsoft.com/office/drawing/2014/main" id="{00000000-0008-0000-0000-00000D000000}"/>
            </a:ext>
          </a:extLst>
        </xdr:cNvPr>
        <xdr:cNvPicPr preferRelativeResize="0"/>
      </xdr:nvPicPr>
      <xdr:blipFill>
        <a:blip xmlns:r="http://schemas.openxmlformats.org/officeDocument/2006/relationships" r:embed="rId3" cstate="print"/>
        <a:stretch>
          <a:fillRect/>
        </a:stretch>
      </xdr:blipFill>
      <xdr:spPr>
        <a:xfrm>
          <a:off x="4433887" y="7540626"/>
          <a:ext cx="190500" cy="190500"/>
        </a:xfrm>
        <a:prstGeom prst="rect">
          <a:avLst/>
        </a:prstGeom>
        <a:noFill/>
      </xdr:spPr>
    </xdr:pic>
    <xdr:clientData fLocksWithSheet="0"/>
  </xdr:oneCellAnchor>
  <xdr:oneCellAnchor>
    <xdr:from>
      <xdr:col>0</xdr:col>
      <xdr:colOff>417516</xdr:colOff>
      <xdr:row>35</xdr:row>
      <xdr:rowOff>127003</xdr:rowOff>
    </xdr:from>
    <xdr:ext cx="225424" cy="206373"/>
    <xdr:pic>
      <xdr:nvPicPr>
        <xdr:cNvPr id="14" name="image4.png">
          <a:extLst>
            <a:ext uri="{FF2B5EF4-FFF2-40B4-BE49-F238E27FC236}">
              <a16:creationId xmlns:a16="http://schemas.microsoft.com/office/drawing/2014/main" id="{00000000-0008-0000-0000-00000E000000}"/>
            </a:ext>
          </a:extLst>
        </xdr:cNvPr>
        <xdr:cNvPicPr preferRelativeResize="0"/>
      </xdr:nvPicPr>
      <xdr:blipFill>
        <a:blip xmlns:r="http://schemas.openxmlformats.org/officeDocument/2006/relationships" r:embed="rId4" cstate="print"/>
        <a:stretch>
          <a:fillRect/>
        </a:stretch>
      </xdr:blipFill>
      <xdr:spPr>
        <a:xfrm>
          <a:off x="417516" y="5437191"/>
          <a:ext cx="225424" cy="206373"/>
        </a:xfrm>
        <a:prstGeom prst="rect">
          <a:avLst/>
        </a:prstGeom>
        <a:noFill/>
      </xdr:spPr>
    </xdr:pic>
    <xdr:clientData fLocksWithSheet="0"/>
  </xdr:oneCellAnchor>
  <xdr:oneCellAnchor>
    <xdr:from>
      <xdr:col>3</xdr:col>
      <xdr:colOff>719137</xdr:colOff>
      <xdr:row>35</xdr:row>
      <xdr:rowOff>126999</xdr:rowOff>
    </xdr:from>
    <xdr:ext cx="241301" cy="201611"/>
    <xdr:pic>
      <xdr:nvPicPr>
        <xdr:cNvPr id="15" name="image7.png">
          <a:extLst>
            <a:ext uri="{FF2B5EF4-FFF2-40B4-BE49-F238E27FC236}">
              <a16:creationId xmlns:a16="http://schemas.microsoft.com/office/drawing/2014/main" id="{00000000-0008-0000-0000-00000F000000}"/>
            </a:ext>
          </a:extLst>
        </xdr:cNvPr>
        <xdr:cNvPicPr preferRelativeResize="0"/>
      </xdr:nvPicPr>
      <xdr:blipFill>
        <a:blip xmlns:r="http://schemas.openxmlformats.org/officeDocument/2006/relationships" r:embed="rId5" cstate="print"/>
        <a:stretch>
          <a:fillRect/>
        </a:stretch>
      </xdr:blipFill>
      <xdr:spPr>
        <a:xfrm>
          <a:off x="5537200" y="5437187"/>
          <a:ext cx="241301" cy="201611"/>
        </a:xfrm>
        <a:prstGeom prst="rect">
          <a:avLst/>
        </a:prstGeom>
        <a:noFill/>
      </xdr:spPr>
    </xdr:pic>
    <xdr:clientData fLocksWithSheet="0"/>
  </xdr:oneCellAnchor>
  <xdr:oneCellAnchor>
    <xdr:from>
      <xdr:col>4</xdr:col>
      <xdr:colOff>17463</xdr:colOff>
      <xdr:row>35</xdr:row>
      <xdr:rowOff>119060</xdr:rowOff>
    </xdr:from>
    <xdr:ext cx="212724" cy="211137"/>
    <xdr:pic>
      <xdr:nvPicPr>
        <xdr:cNvPr id="16" name="image6.png">
          <a:extLst>
            <a:ext uri="{FF2B5EF4-FFF2-40B4-BE49-F238E27FC236}">
              <a16:creationId xmlns:a16="http://schemas.microsoft.com/office/drawing/2014/main" id="{00000000-0008-0000-0000-000010000000}"/>
            </a:ext>
          </a:extLst>
        </xdr:cNvPr>
        <xdr:cNvPicPr preferRelativeResize="0"/>
      </xdr:nvPicPr>
      <xdr:blipFill>
        <a:blip xmlns:r="http://schemas.openxmlformats.org/officeDocument/2006/relationships" r:embed="rId6" cstate="print"/>
        <a:stretch>
          <a:fillRect/>
        </a:stretch>
      </xdr:blipFill>
      <xdr:spPr>
        <a:xfrm>
          <a:off x="6597651" y="5429248"/>
          <a:ext cx="212724" cy="211137"/>
        </a:xfrm>
        <a:prstGeom prst="rect">
          <a:avLst/>
        </a:prstGeom>
        <a:noFill/>
      </xdr:spPr>
    </xdr:pic>
    <xdr:clientData fLocksWithSheet="0"/>
  </xdr:oneCellAnchor>
  <xdr:oneCellAnchor>
    <xdr:from>
      <xdr:col>2</xdr:col>
      <xdr:colOff>1776414</xdr:colOff>
      <xdr:row>79</xdr:row>
      <xdr:rowOff>63498</xdr:rowOff>
    </xdr:from>
    <xdr:ext cx="223838" cy="206375"/>
    <xdr:pic>
      <xdr:nvPicPr>
        <xdr:cNvPr id="18" name="image1.png">
          <a:extLst>
            <a:ext uri="{FF2B5EF4-FFF2-40B4-BE49-F238E27FC236}">
              <a16:creationId xmlns:a16="http://schemas.microsoft.com/office/drawing/2014/main" id="{00000000-0008-0000-0000-000012000000}"/>
            </a:ext>
          </a:extLst>
        </xdr:cNvPr>
        <xdr:cNvPicPr preferRelativeResize="0"/>
      </xdr:nvPicPr>
      <xdr:blipFill>
        <a:blip xmlns:r="http://schemas.openxmlformats.org/officeDocument/2006/relationships" r:embed="rId3" cstate="print"/>
        <a:stretch>
          <a:fillRect/>
        </a:stretch>
      </xdr:blipFill>
      <xdr:spPr>
        <a:xfrm>
          <a:off x="4395789" y="12803186"/>
          <a:ext cx="223838" cy="206375"/>
        </a:xfrm>
        <a:prstGeom prst="rect">
          <a:avLst/>
        </a:prstGeom>
        <a:noFill/>
      </xdr:spPr>
    </xdr:pic>
    <xdr:clientData fLocksWithSheet="0"/>
  </xdr:oneCellAnchor>
  <xdr:oneCellAnchor>
    <xdr:from>
      <xdr:col>0</xdr:col>
      <xdr:colOff>133350</xdr:colOff>
      <xdr:row>112</xdr:row>
      <xdr:rowOff>85725</xdr:rowOff>
    </xdr:from>
    <xdr:ext cx="180000" cy="180000"/>
    <xdr:pic>
      <xdr:nvPicPr>
        <xdr:cNvPr id="20" name="image5.png" title="Imagen">
          <a:extLst>
            <a:ext uri="{FF2B5EF4-FFF2-40B4-BE49-F238E27FC236}">
              <a16:creationId xmlns:a16="http://schemas.microsoft.com/office/drawing/2014/main" id="{00000000-0008-0000-0000-000014000000}"/>
            </a:ext>
          </a:extLst>
        </xdr:cNvPr>
        <xdr:cNvPicPr preferRelativeResize="0"/>
      </xdr:nvPicPr>
      <xdr:blipFill>
        <a:blip xmlns:r="http://schemas.openxmlformats.org/officeDocument/2006/relationships" r:embed="rId7" cstate="print"/>
        <a:stretch>
          <a:fillRect/>
        </a:stretch>
      </xdr:blipFill>
      <xdr:spPr>
        <a:xfrm>
          <a:off x="133350" y="18310225"/>
          <a:ext cx="180000" cy="180000"/>
        </a:xfrm>
        <a:prstGeom prst="rect">
          <a:avLst/>
        </a:prstGeom>
        <a:noFill/>
      </xdr:spPr>
    </xdr:pic>
    <xdr:clientData fLocksWithSheet="0"/>
  </xdr:oneCellAnchor>
  <xdr:oneCellAnchor>
    <xdr:from>
      <xdr:col>0</xdr:col>
      <xdr:colOff>133350</xdr:colOff>
      <xdr:row>113</xdr:row>
      <xdr:rowOff>161928</xdr:rowOff>
    </xdr:from>
    <xdr:ext cx="180000" cy="180000"/>
    <xdr:pic>
      <xdr:nvPicPr>
        <xdr:cNvPr id="21" name="image9.png" title="Imagen">
          <a:extLst>
            <a:ext uri="{FF2B5EF4-FFF2-40B4-BE49-F238E27FC236}">
              <a16:creationId xmlns:a16="http://schemas.microsoft.com/office/drawing/2014/main" id="{00000000-0008-0000-0000-000015000000}"/>
            </a:ext>
          </a:extLst>
        </xdr:cNvPr>
        <xdr:cNvPicPr preferRelativeResize="0"/>
      </xdr:nvPicPr>
      <xdr:blipFill>
        <a:blip xmlns:r="http://schemas.openxmlformats.org/officeDocument/2006/relationships" r:embed="rId8" cstate="print"/>
        <a:stretch>
          <a:fillRect/>
        </a:stretch>
      </xdr:blipFill>
      <xdr:spPr>
        <a:xfrm>
          <a:off x="133350" y="18473741"/>
          <a:ext cx="180000" cy="180000"/>
        </a:xfrm>
        <a:prstGeom prst="rect">
          <a:avLst/>
        </a:prstGeom>
        <a:noFill/>
      </xdr:spPr>
    </xdr:pic>
    <xdr:clientData fLocksWithSheet="0"/>
  </xdr:oneCellAnchor>
  <xdr:oneCellAnchor>
    <xdr:from>
      <xdr:col>1</xdr:col>
      <xdr:colOff>0</xdr:colOff>
      <xdr:row>58</xdr:row>
      <xdr:rowOff>39688</xdr:rowOff>
    </xdr:from>
    <xdr:ext cx="206375" cy="207962"/>
    <xdr:pic>
      <xdr:nvPicPr>
        <xdr:cNvPr id="22" name="image14.png">
          <a:extLst>
            <a:ext uri="{FF2B5EF4-FFF2-40B4-BE49-F238E27FC236}">
              <a16:creationId xmlns:a16="http://schemas.microsoft.com/office/drawing/2014/main" id="{00000000-0008-0000-0000-000016000000}"/>
            </a:ext>
          </a:extLst>
        </xdr:cNvPr>
        <xdr:cNvPicPr preferRelativeResize="0"/>
      </xdr:nvPicPr>
      <xdr:blipFill>
        <a:blip xmlns:r="http://schemas.openxmlformats.org/officeDocument/2006/relationships" r:embed="rId2" cstate="print"/>
        <a:stretch>
          <a:fillRect/>
        </a:stretch>
      </xdr:blipFill>
      <xdr:spPr>
        <a:xfrm>
          <a:off x="357188" y="9088438"/>
          <a:ext cx="206375" cy="207962"/>
        </a:xfrm>
        <a:prstGeom prst="rect">
          <a:avLst/>
        </a:prstGeom>
        <a:noFill/>
      </xdr:spPr>
    </xdr:pic>
    <xdr:clientData fLocksWithSheet="0"/>
  </xdr:oneCellAnchor>
  <xdr:oneCellAnchor>
    <xdr:from>
      <xdr:col>3</xdr:col>
      <xdr:colOff>754063</xdr:colOff>
      <xdr:row>58</xdr:row>
      <xdr:rowOff>7934</xdr:rowOff>
    </xdr:from>
    <xdr:ext cx="246062" cy="215900"/>
    <xdr:pic>
      <xdr:nvPicPr>
        <xdr:cNvPr id="23" name="image11.png">
          <a:extLst>
            <a:ext uri="{FF2B5EF4-FFF2-40B4-BE49-F238E27FC236}">
              <a16:creationId xmlns:a16="http://schemas.microsoft.com/office/drawing/2014/main" id="{00000000-0008-0000-0000-000017000000}"/>
            </a:ext>
          </a:extLst>
        </xdr:cNvPr>
        <xdr:cNvPicPr preferRelativeResize="0"/>
      </xdr:nvPicPr>
      <xdr:blipFill>
        <a:blip xmlns:r="http://schemas.openxmlformats.org/officeDocument/2006/relationships" r:embed="rId9" cstate="print"/>
        <a:stretch>
          <a:fillRect/>
        </a:stretch>
      </xdr:blipFill>
      <xdr:spPr>
        <a:xfrm>
          <a:off x="5572126" y="8913809"/>
          <a:ext cx="246062" cy="215900"/>
        </a:xfrm>
        <a:prstGeom prst="rect">
          <a:avLst/>
        </a:prstGeom>
        <a:noFill/>
      </xdr:spPr>
    </xdr:pic>
    <xdr:clientData fLocksWithSheet="0"/>
  </xdr:oneCellAnchor>
  <xdr:oneCellAnchor>
    <xdr:from>
      <xdr:col>4</xdr:col>
      <xdr:colOff>0</xdr:colOff>
      <xdr:row>58</xdr:row>
      <xdr:rowOff>0</xdr:rowOff>
    </xdr:from>
    <xdr:ext cx="228600" cy="247650"/>
    <xdr:pic>
      <xdr:nvPicPr>
        <xdr:cNvPr id="24" name="image13.png">
          <a:extLst>
            <a:ext uri="{FF2B5EF4-FFF2-40B4-BE49-F238E27FC236}">
              <a16:creationId xmlns:a16="http://schemas.microsoft.com/office/drawing/2014/main" id="{00000000-0008-0000-0000-000018000000}"/>
            </a:ext>
          </a:extLst>
        </xdr:cNvPr>
        <xdr:cNvPicPr preferRelativeResize="0"/>
      </xdr:nvPicPr>
      <xdr:blipFill>
        <a:blip xmlns:r="http://schemas.openxmlformats.org/officeDocument/2006/relationships" r:embed="rId10" cstate="print"/>
        <a:stretch>
          <a:fillRect/>
        </a:stretch>
      </xdr:blipFill>
      <xdr:spPr>
        <a:prstGeom prst="rect">
          <a:avLst/>
        </a:prstGeom>
        <a:noFill/>
      </xdr:spPr>
    </xdr:pic>
    <xdr:clientData fLocksWithSheet="0"/>
  </xdr:oneCellAnchor>
  <xdr:oneCellAnchor>
    <xdr:from>
      <xdr:col>0</xdr:col>
      <xdr:colOff>126999</xdr:colOff>
      <xdr:row>114</xdr:row>
      <xdr:rowOff>158751</xdr:rowOff>
    </xdr:from>
    <xdr:ext cx="180000" cy="180000"/>
    <xdr:pic>
      <xdr:nvPicPr>
        <xdr:cNvPr id="25" name="image12.png">
          <a:extLst>
            <a:ext uri="{FF2B5EF4-FFF2-40B4-BE49-F238E27FC236}">
              <a16:creationId xmlns:a16="http://schemas.microsoft.com/office/drawing/2014/main" id="{00000000-0008-0000-0000-000019000000}"/>
            </a:ext>
          </a:extLst>
        </xdr:cNvPr>
        <xdr:cNvPicPr preferRelativeResize="0"/>
      </xdr:nvPicPr>
      <xdr:blipFill>
        <a:blip xmlns:r="http://schemas.openxmlformats.org/officeDocument/2006/relationships" r:embed="rId11" cstate="print"/>
        <a:stretch>
          <a:fillRect/>
        </a:stretch>
      </xdr:blipFill>
      <xdr:spPr>
        <a:xfrm>
          <a:off x="126999" y="18653126"/>
          <a:ext cx="180000" cy="180000"/>
        </a:xfrm>
        <a:prstGeom prst="rect">
          <a:avLst/>
        </a:prstGeom>
        <a:noFill/>
      </xdr:spPr>
    </xdr:pic>
    <xdr:clientData fLocksWithSheet="0"/>
  </xdr:oneCellAnchor>
  <xdr:oneCellAnchor>
    <xdr:from>
      <xdr:col>0</xdr:col>
      <xdr:colOff>111129</xdr:colOff>
      <xdr:row>116</xdr:row>
      <xdr:rowOff>0</xdr:rowOff>
    </xdr:from>
    <xdr:ext cx="180000" cy="180000"/>
    <xdr:pic>
      <xdr:nvPicPr>
        <xdr:cNvPr id="26" name="image2.png">
          <a:extLst>
            <a:ext uri="{FF2B5EF4-FFF2-40B4-BE49-F238E27FC236}">
              <a16:creationId xmlns:a16="http://schemas.microsoft.com/office/drawing/2014/main" id="{00000000-0008-0000-0000-00001A000000}"/>
            </a:ext>
          </a:extLst>
        </xdr:cNvPr>
        <xdr:cNvPicPr preferRelativeResize="0"/>
      </xdr:nvPicPr>
      <xdr:blipFill>
        <a:blip xmlns:r="http://schemas.openxmlformats.org/officeDocument/2006/relationships" r:embed="rId3" cstate="print"/>
        <a:stretch>
          <a:fillRect/>
        </a:stretch>
      </xdr:blipFill>
      <xdr:spPr>
        <a:xfrm>
          <a:off x="111129" y="18859500"/>
          <a:ext cx="180000" cy="180000"/>
        </a:xfrm>
        <a:prstGeom prst="rect">
          <a:avLst/>
        </a:prstGeom>
        <a:noFill/>
      </xdr:spPr>
    </xdr:pic>
    <xdr:clientData fLocksWithSheet="0"/>
  </xdr:oneCellAnchor>
  <xdr:oneCellAnchor>
    <xdr:from>
      <xdr:col>2</xdr:col>
      <xdr:colOff>1793875</xdr:colOff>
      <xdr:row>90</xdr:row>
      <xdr:rowOff>71437</xdr:rowOff>
    </xdr:from>
    <xdr:ext cx="223838" cy="206375"/>
    <xdr:pic>
      <xdr:nvPicPr>
        <xdr:cNvPr id="27" name="image1.png">
          <a:extLst>
            <a:ext uri="{FF2B5EF4-FFF2-40B4-BE49-F238E27FC236}">
              <a16:creationId xmlns:a16="http://schemas.microsoft.com/office/drawing/2014/main" id="{A70E7DAC-42A1-446A-B715-292742925085}"/>
            </a:ext>
          </a:extLst>
        </xdr:cNvPr>
        <xdr:cNvPicPr preferRelativeResize="0"/>
      </xdr:nvPicPr>
      <xdr:blipFill>
        <a:blip xmlns:r="http://schemas.openxmlformats.org/officeDocument/2006/relationships" r:embed="rId3" cstate="print"/>
        <a:stretch>
          <a:fillRect/>
        </a:stretch>
      </xdr:blipFill>
      <xdr:spPr>
        <a:xfrm>
          <a:off x="4413250" y="14573250"/>
          <a:ext cx="223838" cy="206375"/>
        </a:xfrm>
        <a:prstGeom prst="rect">
          <a:avLst/>
        </a:prstGeom>
        <a:noFill/>
      </xdr:spPr>
    </xdr:pic>
    <xdr:clientData fLocksWithSheet="0"/>
  </xdr:oneCellAnchor>
  <xdr:oneCellAnchor>
    <xdr:from>
      <xdr:col>2</xdr:col>
      <xdr:colOff>1825625</xdr:colOff>
      <xdr:row>103</xdr:row>
      <xdr:rowOff>127000</xdr:rowOff>
    </xdr:from>
    <xdr:ext cx="223838" cy="206375"/>
    <xdr:pic>
      <xdr:nvPicPr>
        <xdr:cNvPr id="28" name="image1.png">
          <a:extLst>
            <a:ext uri="{FF2B5EF4-FFF2-40B4-BE49-F238E27FC236}">
              <a16:creationId xmlns:a16="http://schemas.microsoft.com/office/drawing/2014/main" id="{AFC394CF-1339-43E3-9BE0-161345B8A9C7}"/>
            </a:ext>
          </a:extLst>
        </xdr:cNvPr>
        <xdr:cNvPicPr preferRelativeResize="0"/>
      </xdr:nvPicPr>
      <xdr:blipFill>
        <a:blip xmlns:r="http://schemas.openxmlformats.org/officeDocument/2006/relationships" r:embed="rId3" cstate="print"/>
        <a:stretch>
          <a:fillRect/>
        </a:stretch>
      </xdr:blipFill>
      <xdr:spPr>
        <a:xfrm>
          <a:off x="4445000" y="16525875"/>
          <a:ext cx="223838" cy="206375"/>
        </a:xfrm>
        <a:prstGeom prst="rect">
          <a:avLst/>
        </a:prstGeom>
        <a:noFill/>
      </xdr:spPr>
    </xdr:pic>
    <xdr:clientData fLocksWithSheet="0"/>
  </xdr:oneCellAnchor>
  <xdr:oneCellAnchor>
    <xdr:from>
      <xdr:col>2</xdr:col>
      <xdr:colOff>1830386</xdr:colOff>
      <xdr:row>68</xdr:row>
      <xdr:rowOff>7938</xdr:rowOff>
    </xdr:from>
    <xdr:ext cx="190500" cy="190500"/>
    <xdr:pic>
      <xdr:nvPicPr>
        <xdr:cNvPr id="29" name="image2.png">
          <a:extLst>
            <a:ext uri="{FF2B5EF4-FFF2-40B4-BE49-F238E27FC236}">
              <a16:creationId xmlns:a16="http://schemas.microsoft.com/office/drawing/2014/main" id="{ED870524-6140-46B6-BFA0-413C664E5061}"/>
            </a:ext>
          </a:extLst>
        </xdr:cNvPr>
        <xdr:cNvPicPr preferRelativeResize="0"/>
      </xdr:nvPicPr>
      <xdr:blipFill>
        <a:blip xmlns:r="http://schemas.openxmlformats.org/officeDocument/2006/relationships" r:embed="rId3" cstate="print"/>
        <a:stretch>
          <a:fillRect/>
        </a:stretch>
      </xdr:blipFill>
      <xdr:spPr>
        <a:xfrm>
          <a:off x="4521199" y="10414001"/>
          <a:ext cx="190500" cy="190500"/>
        </a:xfrm>
        <a:prstGeom prst="rect">
          <a:avLst/>
        </a:prstGeom>
        <a:noFill/>
      </xdr:spPr>
    </xdr:pic>
    <xdr:clientData fLocksWithSheet="0"/>
  </xdr:oneCellAnchor>
  <xdr:twoCellAnchor editAs="oneCell">
    <xdr:from>
      <xdr:col>0</xdr:col>
      <xdr:colOff>110334</xdr:colOff>
      <xdr:row>116</xdr:row>
      <xdr:rowOff>165564</xdr:rowOff>
    </xdr:from>
    <xdr:to>
      <xdr:col>0</xdr:col>
      <xdr:colOff>302422</xdr:colOff>
      <xdr:row>117</xdr:row>
      <xdr:rowOff>178896</xdr:rowOff>
    </xdr:to>
    <xdr:pic>
      <xdr:nvPicPr>
        <xdr:cNvPr id="30" name="Imagen 29">
          <a:extLst>
            <a:ext uri="{FF2B5EF4-FFF2-40B4-BE49-F238E27FC236}">
              <a16:creationId xmlns:a16="http://schemas.microsoft.com/office/drawing/2014/main" id="{3A670134-9689-4D04-B207-23EA76E49132}"/>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110334" y="18215439"/>
          <a:ext cx="192088" cy="19589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ato1\contabilidad\CONTABILIDAD\ROLES\Roles%202004\RolJulio2004.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JIME%20S\BIBLIOTECA\MATERIAL%20ACTUALIZADO%2008\Textos%20entregados%20Planificaci&#243;n\Formatos%20de%20papeles%20de%20trabajo\Auditorias%202004\2004\Trabajo%20Especial\Nuevo%20Almacen\El%20nuevo%20almac&#233;n\File%20An&#225;lisis\Nomina\Nomina%20Agosto%200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Mauricio\2005\Contabilidad\An&#225;lisis%20de%20cuentas%20activo%202005.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5630-1%20Revisi&#243;n%20Anal&#237;tica%20Sustantiva%20-%20Poblaciones%20Disgregadas%20%20Activo%20Fijo"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Documents%20and%20Settings\msola\Mis%20documentos\INEC\Copia%20de%20formulario%20de%20manufactura%202009%202da%20entrega.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KARDEX%20VEGETATIVO\VEG.%20PLANTAS%20SL%20_2008.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CLIENTES%202001\BDF\PLANIFICACION\analitb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D:\Users\vreyes\CaseWare\2016_UIO_Auditor&#237;a_Superteporte%20S.A.%20(Sync)\Visita%20preliminar\Anexos%20a%20los%20EEFF%20-%200300%20-%20Superdeporte%20-%20Agosto%202016.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Worksheet%20in%208310%20Hoja%20Resumen%20Gasto%20de%20Personal%20-%20Kamerino"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Clientes%202011%20APT\Cepsa%202011\A%20Efectivo%20y%20Equivalentes%20de%20Efectivo%20DPL.xlsx"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Worksheet%20in%20%20%20%20%20Plantilla%20de%20Procedimientos%20Anal&#237;ticos%20Sustantivos"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Worksheet%20in%20(C)%205730%20An&#225;lisis%20de%20Plantacione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Worksheet%20in%20(C)%205630%20An&#225;lisis%20de%20Activos%20Fijo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Msuio-storage\activos\My%20Documents\CECILIA\FORREQUE.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Users\vvalenzuela\Documents\Base%20Legal\Pruebas%202008\Pruebas%202008%20Finales\Mis%20Documentos\NOMINA\PRESUPUESTO%202006\AOP%202006%20Personnel%20Cost\h\Crest%20Reports\Actuals%202005\March%2005\P&amp;L%20March%2005%20BPC.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Worksheet%20in%20%201152%20Anexos%20Carta%20de%20Requerimientos"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Worksheet%20in%20000%20000"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CLIENTES%202012\Construecuador\Archivo%20An&#225;lisis%20Construecuador-12%20Ok\Users\Auditores\Documents\Marcos\Documentos\Archivos%20recuperados%202\Marcos\INCON%20Impuestos\Papeles%20Megadatos\5630%20An&#225;lisis%20de%20Activo%20Fijo.xls"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Worksheet%20in%205640%20An&#225;lisis%20del%20Saldo%20Incial%20de%20Activos%20Fijo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Worksheet%20in%206430%20An&#225;lisis%20de%20Retenciones%20en%20la%20Fuente%20y%20del%20Impuesto%20al%20Valor%20Agregado"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Worksheet%20in%208330%20An&#225;lisis%20de%20Gastos%20operacionales"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Worksheet%20in%201162.%201%20Anexos%20C&#233;dula%20de%20participaci&#243;n%20del%20Cliente"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Worksheet%20in%206230%20An&#225;lisis%20de%20Gastos%20Acumulados%20y%20Otras%20Cuentas%20por%20Paga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Worksheet%20in%205730%20An&#225;lisis%20de%20Intangibles%20y%20Otros%20Activo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A:\A%20C00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A (2)"/>
      <sheetName val="ENA"/>
      <sheetName val="ENA1"/>
      <sheetName val="CON"/>
      <sheetName val="CON1"/>
      <sheetName val="CON2"/>
      <sheetName val="PRA"/>
      <sheetName val="CHI"/>
      <sheetName val="CASA"/>
      <sheetName val="CASA2"/>
      <sheetName val="CAB"/>
      <sheetName val="GARCIA"/>
      <sheetName val="CONTABIL"/>
      <sheetName val="Datos"/>
      <sheetName val="Tablas SRI"/>
      <sheetName val="A-2"/>
      <sheetName val="A-2-1"/>
      <sheetName val="ENA_(2)"/>
    </sheetNames>
    <sheetDataSet>
      <sheetData sheetId="0">
        <row r="1">
          <cell r="B1">
            <v>8</v>
          </cell>
        </row>
      </sheetData>
      <sheetData sheetId="1"/>
      <sheetData sheetId="2"/>
      <sheetData sheetId="3"/>
      <sheetData sheetId="4"/>
      <sheetData sheetId="5"/>
      <sheetData sheetId="6"/>
      <sheetData sheetId="7"/>
      <sheetData sheetId="8"/>
      <sheetData sheetId="9"/>
      <sheetData sheetId="10"/>
      <sheetData sheetId="11"/>
      <sheetData sheetId="12">
        <row r="1">
          <cell r="B1">
            <v>8</v>
          </cell>
        </row>
      </sheetData>
      <sheetData sheetId="13" refreshError="1">
        <row r="1">
          <cell r="B1">
            <v>8</v>
          </cell>
        </row>
        <row r="2">
          <cell r="B2">
            <v>9.35E-2</v>
          </cell>
        </row>
        <row r="6">
          <cell r="A6">
            <v>1</v>
          </cell>
          <cell r="B6" t="str">
            <v>ENERO DEL 2004</v>
          </cell>
        </row>
        <row r="7">
          <cell r="A7">
            <v>2</v>
          </cell>
          <cell r="B7" t="str">
            <v>FEBRERO DEL 2004</v>
          </cell>
        </row>
        <row r="8">
          <cell r="A8">
            <v>3</v>
          </cell>
          <cell r="B8" t="str">
            <v>MARZO DEL 2004</v>
          </cell>
        </row>
        <row r="9">
          <cell r="A9">
            <v>4</v>
          </cell>
          <cell r="B9" t="str">
            <v>ABRIL DEL 2004</v>
          </cell>
        </row>
        <row r="10">
          <cell r="A10">
            <v>5</v>
          </cell>
          <cell r="B10" t="str">
            <v>MAYO DEL 2004</v>
          </cell>
        </row>
        <row r="11">
          <cell r="A11">
            <v>6</v>
          </cell>
          <cell r="B11" t="str">
            <v>JUNIO DEL 2004</v>
          </cell>
        </row>
        <row r="12">
          <cell r="A12">
            <v>7</v>
          </cell>
          <cell r="B12" t="str">
            <v>JULIO DEL 2004</v>
          </cell>
        </row>
        <row r="13">
          <cell r="A13">
            <v>8</v>
          </cell>
          <cell r="B13" t="str">
            <v>AGOSTO DEL 2004</v>
          </cell>
        </row>
        <row r="14">
          <cell r="A14">
            <v>9</v>
          </cell>
          <cell r="B14" t="str">
            <v>SEPTIEMBRE DEL 2004</v>
          </cell>
        </row>
        <row r="15">
          <cell r="A15">
            <v>10</v>
          </cell>
          <cell r="B15" t="str">
            <v>OCTUBRE DEL 2004</v>
          </cell>
        </row>
        <row r="16">
          <cell r="A16">
            <v>11</v>
          </cell>
          <cell r="B16" t="str">
            <v>NOVIEMBRE DEL 2004</v>
          </cell>
        </row>
        <row r="17">
          <cell r="A17">
            <v>12</v>
          </cell>
          <cell r="B17" t="str">
            <v>DICIEMBRE DEL 2004</v>
          </cell>
        </row>
      </sheetData>
      <sheetData sheetId="14" refreshError="1"/>
      <sheetData sheetId="15" refreshError="1"/>
      <sheetData sheetId="16" refreshError="1"/>
      <sheetData sheetId="17">
        <row r="1">
          <cell r="B1">
            <v>8</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 (2)"/>
      <sheetName val="ENA"/>
      <sheetName val="rol individual 1"/>
      <sheetName val="rol individual 2"/>
      <sheetName val="rol individual 3"/>
      <sheetName val="rol individual 4"/>
      <sheetName val="rol individual 5"/>
      <sheetName val="CONTABIL"/>
      <sheetName val="Datos"/>
      <sheetName val="Impuestos"/>
      <sheetName val="Hoja1"/>
      <sheetName val="ENA (2)"/>
    </sheetNames>
    <sheetDataSet>
      <sheetData sheetId="0"/>
      <sheetData sheetId="1"/>
      <sheetData sheetId="2">
        <row r="1">
          <cell r="I1">
            <v>1</v>
          </cell>
        </row>
      </sheetData>
      <sheetData sheetId="3"/>
      <sheetData sheetId="4"/>
      <sheetData sheetId="5"/>
      <sheetData sheetId="6"/>
      <sheetData sheetId="7"/>
      <sheetData sheetId="8">
        <row r="1">
          <cell r="B1">
            <v>0</v>
          </cell>
        </row>
        <row r="2">
          <cell r="B2">
            <v>9.35E-2</v>
          </cell>
        </row>
        <row r="3">
          <cell r="B3">
            <v>0.1215</v>
          </cell>
        </row>
        <row r="4">
          <cell r="B4">
            <v>150</v>
          </cell>
        </row>
        <row r="6">
          <cell r="A6">
            <v>1</v>
          </cell>
          <cell r="B6" t="str">
            <v>ENERO DEL 2005</v>
          </cell>
        </row>
        <row r="7">
          <cell r="A7">
            <v>2</v>
          </cell>
          <cell r="B7" t="str">
            <v>FEBRERO DEL 2005</v>
          </cell>
        </row>
        <row r="8">
          <cell r="A8">
            <v>3</v>
          </cell>
          <cell r="B8" t="str">
            <v>MARZO DEL 2005</v>
          </cell>
        </row>
        <row r="9">
          <cell r="A9">
            <v>4</v>
          </cell>
          <cell r="B9" t="str">
            <v>ABRIL DEL 2005</v>
          </cell>
        </row>
        <row r="10">
          <cell r="A10">
            <v>5</v>
          </cell>
          <cell r="B10" t="str">
            <v>MAYO DEL 2005</v>
          </cell>
        </row>
        <row r="11">
          <cell r="A11">
            <v>6</v>
          </cell>
          <cell r="B11" t="str">
            <v>JUNIO DEL 2005</v>
          </cell>
        </row>
        <row r="12">
          <cell r="A12">
            <v>7</v>
          </cell>
          <cell r="B12" t="str">
            <v>JULIO DEL 2005</v>
          </cell>
        </row>
        <row r="13">
          <cell r="A13">
            <v>8</v>
          </cell>
          <cell r="B13" t="str">
            <v>AGOSTO DEL 2005</v>
          </cell>
        </row>
        <row r="14">
          <cell r="A14">
            <v>9</v>
          </cell>
          <cell r="B14" t="str">
            <v>SEPTIEMBRE DEL 2005</v>
          </cell>
        </row>
        <row r="15">
          <cell r="A15">
            <v>10</v>
          </cell>
          <cell r="B15" t="str">
            <v>OCTUBRE DEL 2005</v>
          </cell>
        </row>
        <row r="16">
          <cell r="A16">
            <v>11</v>
          </cell>
          <cell r="B16" t="str">
            <v>NOVIEMBRE DEL 2005</v>
          </cell>
        </row>
        <row r="17">
          <cell r="A17">
            <v>12</v>
          </cell>
          <cell r="B17" t="str">
            <v>DICIEMBRE DEL 2005</v>
          </cell>
        </row>
        <row r="19">
          <cell r="B19">
            <v>7</v>
          </cell>
        </row>
      </sheetData>
      <sheetData sheetId="9">
        <row r="7">
          <cell r="B7">
            <v>7401</v>
          </cell>
          <cell r="C7">
            <v>14800</v>
          </cell>
          <cell r="D7">
            <v>0</v>
          </cell>
          <cell r="E7">
            <v>5</v>
          </cell>
        </row>
        <row r="8">
          <cell r="B8">
            <v>14801</v>
          </cell>
          <cell r="C8">
            <v>29600</v>
          </cell>
          <cell r="D8">
            <v>370</v>
          </cell>
          <cell r="E8">
            <v>10</v>
          </cell>
        </row>
        <row r="9">
          <cell r="B9">
            <v>29601</v>
          </cell>
          <cell r="C9">
            <v>44100</v>
          </cell>
          <cell r="D9">
            <v>1850</v>
          </cell>
          <cell r="E9">
            <v>15</v>
          </cell>
        </row>
        <row r="10">
          <cell r="B10">
            <v>44101</v>
          </cell>
          <cell r="C10">
            <v>58800</v>
          </cell>
          <cell r="D10">
            <v>4025</v>
          </cell>
          <cell r="E10">
            <v>20</v>
          </cell>
        </row>
        <row r="11">
          <cell r="B11">
            <v>58801</v>
          </cell>
          <cell r="D11">
            <v>6965</v>
          </cell>
          <cell r="E11">
            <v>25</v>
          </cell>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 Tránsito"/>
      <sheetName val="I.T. ATAIC"/>
      <sheetName val="I.T. varios"/>
      <sheetName val="AIG METROPOLITANA"/>
      <sheetName val="CHEQUES DEVUELTOS"/>
      <sheetName val="Quincenas"/>
      <sheetName val="Incobrables"/>
      <sheetName val="Prep. 05-2004"/>
      <sheetName val="Laf."/>
      <sheetName val="Cartera"/>
      <sheetName val="SEGUROS PREP."/>
      <sheetName val="PLAN TG"/>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erminación del Límite"/>
      <sheetName val="Hoja de Datos"/>
      <sheetName val="Tabla del Límite"/>
      <sheetName val="Tickmarks"/>
      <sheetName val="Module1"/>
    </sheetNames>
    <sheetDataSet>
      <sheetData sheetId="0" refreshError="1"/>
      <sheetData sheetId="1" refreshError="1"/>
      <sheetData sheetId="2">
        <row r="6">
          <cell r="A6">
            <v>1</v>
          </cell>
          <cell r="B6">
            <v>0.9</v>
          </cell>
          <cell r="C6">
            <v>4.5</v>
          </cell>
          <cell r="D6">
            <v>1</v>
          </cell>
          <cell r="E6">
            <v>0.45</v>
          </cell>
          <cell r="F6">
            <v>3</v>
          </cell>
        </row>
        <row r="7">
          <cell r="A7">
            <v>2</v>
          </cell>
          <cell r="B7">
            <v>0.85</v>
          </cell>
          <cell r="C7">
            <v>4.25</v>
          </cell>
          <cell r="D7">
            <v>2</v>
          </cell>
          <cell r="E7">
            <v>0.4</v>
          </cell>
          <cell r="F7">
            <v>2.67</v>
          </cell>
        </row>
        <row r="8">
          <cell r="A8">
            <v>4</v>
          </cell>
          <cell r="B8">
            <v>0.75</v>
          </cell>
          <cell r="C8">
            <v>3.75</v>
          </cell>
          <cell r="D8">
            <v>4</v>
          </cell>
          <cell r="E8">
            <v>0.35</v>
          </cell>
          <cell r="F8">
            <v>2.33</v>
          </cell>
        </row>
        <row r="9">
          <cell r="A9">
            <v>6</v>
          </cell>
          <cell r="B9">
            <v>0.65</v>
          </cell>
          <cell r="C9">
            <v>3.25</v>
          </cell>
          <cell r="D9">
            <v>6</v>
          </cell>
          <cell r="E9">
            <v>0.3</v>
          </cell>
          <cell r="F9">
            <v>2</v>
          </cell>
        </row>
        <row r="10">
          <cell r="A10">
            <v>12</v>
          </cell>
          <cell r="B10">
            <v>0.5</v>
          </cell>
          <cell r="C10">
            <v>2.5</v>
          </cell>
          <cell r="D10">
            <v>12</v>
          </cell>
          <cell r="E10">
            <v>0.25</v>
          </cell>
          <cell r="F10">
            <v>1.67</v>
          </cell>
        </row>
        <row r="11">
          <cell r="A11">
            <v>13</v>
          </cell>
          <cell r="B11">
            <v>0.4</v>
          </cell>
          <cell r="C11">
            <v>2</v>
          </cell>
          <cell r="D11">
            <v>13</v>
          </cell>
          <cell r="E11">
            <v>0.2</v>
          </cell>
          <cell r="F11">
            <v>1.33</v>
          </cell>
        </row>
      </sheetData>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 val="Hoja3"/>
      <sheetName val="MP"/>
      <sheetName val="PRODUCCION"/>
      <sheetName val="Hoja6"/>
      <sheetName val="detalle de otros"/>
    </sheetNames>
    <sheetDataSet>
      <sheetData sheetId="0" refreshError="1"/>
      <sheetData sheetId="1">
        <row r="41">
          <cell r="Q41">
            <v>7931</v>
          </cell>
        </row>
      </sheetData>
      <sheetData sheetId="2">
        <row r="41">
          <cell r="Q41">
            <v>160811</v>
          </cell>
        </row>
      </sheetData>
      <sheetData sheetId="3" refreshError="1"/>
      <sheetData sheetId="4" refreshError="1"/>
      <sheetData sheetId="5" refreshError="1"/>
      <sheetData sheetId="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LANTAS NEC"/>
      <sheetName val="PLANTAS FASB"/>
      <sheetName val="ING. VEG NEC"/>
      <sheetName val="VEG. $ NEC"/>
      <sheetName val="ING.VEG.FASB"/>
      <sheetName val="VEG $ FASB"/>
      <sheetName val="AMORT. A VEGET."/>
    </sheetNames>
    <sheetDataSet>
      <sheetData sheetId="0"/>
      <sheetData sheetId="1" refreshError="1"/>
      <sheetData sheetId="2"/>
      <sheetData sheetId="3"/>
      <sheetData sheetId="4" refreshError="1"/>
      <sheetData sheetId="5"/>
      <sheetData sheetId="6"/>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octubre"/>
      <sheetName val="NOVIEMBRE"/>
      <sheetName val="DICIEMBRE"/>
    </sheetNames>
    <sheetDataSet>
      <sheetData sheetId="0">
        <row r="1">
          <cell r="A1" t="str">
            <v>cod_cta</v>
          </cell>
        </row>
      </sheetData>
      <sheetData sheetId="1">
        <row r="1">
          <cell r="A1" t="str">
            <v>cod_cta</v>
          </cell>
          <cell r="B1" t="str">
            <v>nom_cta</v>
          </cell>
          <cell r="C1" t="str">
            <v>nivel</v>
          </cell>
          <cell r="D1" t="str">
            <v>padre</v>
          </cell>
          <cell r="E1" t="str">
            <v>compute_0009</v>
          </cell>
          <cell r="F1" t="str">
            <v>compute_0014</v>
          </cell>
        </row>
        <row r="2">
          <cell r="A2" t="str">
            <v>101010100</v>
          </cell>
          <cell r="B2" t="str">
            <v>CAJA</v>
          </cell>
          <cell r="C2" t="str">
            <v>4</v>
          </cell>
          <cell r="D2" t="str">
            <v>101010000</v>
          </cell>
          <cell r="E2">
            <v>1280</v>
          </cell>
          <cell r="F2" t="str">
            <v>D</v>
          </cell>
          <cell r="G2">
            <v>1280</v>
          </cell>
          <cell r="H2">
            <v>1280</v>
          </cell>
        </row>
        <row r="3">
          <cell r="A3" t="str">
            <v>101010200</v>
          </cell>
          <cell r="B3" t="str">
            <v>BANCOS</v>
          </cell>
          <cell r="C3" t="str">
            <v>4</v>
          </cell>
          <cell r="D3" t="str">
            <v>101010000</v>
          </cell>
          <cell r="E3">
            <v>19734.52</v>
          </cell>
          <cell r="F3" t="str">
            <v>D</v>
          </cell>
          <cell r="G3">
            <v>19734.52</v>
          </cell>
          <cell r="H3">
            <v>19734.52</v>
          </cell>
        </row>
        <row r="4">
          <cell r="A4" t="str">
            <v>101020100</v>
          </cell>
          <cell r="B4" t="str">
            <v>INVERSIONES</v>
          </cell>
          <cell r="C4" t="str">
            <v>4</v>
          </cell>
          <cell r="D4" t="str">
            <v>101020000</v>
          </cell>
          <cell r="E4">
            <v>5192.97</v>
          </cell>
          <cell r="F4" t="str">
            <v>D</v>
          </cell>
          <cell r="G4">
            <v>5192.97</v>
          </cell>
          <cell r="H4">
            <v>5192.97</v>
          </cell>
        </row>
        <row r="5">
          <cell r="A5" t="str">
            <v>101020200</v>
          </cell>
          <cell r="B5" t="str">
            <v>DEPOSITOS EN GARANTIA</v>
          </cell>
          <cell r="C5" t="str">
            <v>4</v>
          </cell>
          <cell r="D5" t="str">
            <v>101010000</v>
          </cell>
          <cell r="E5">
            <v>2364</v>
          </cell>
          <cell r="F5" t="str">
            <v>D</v>
          </cell>
          <cell r="G5">
            <v>2364</v>
          </cell>
          <cell r="H5">
            <v>2364</v>
          </cell>
        </row>
        <row r="6">
          <cell r="A6" t="str">
            <v>101030100</v>
          </cell>
          <cell r="B6" t="str">
            <v>CLIENTES</v>
          </cell>
          <cell r="C6" t="str">
            <v>4</v>
          </cell>
          <cell r="D6" t="str">
            <v>101030000</v>
          </cell>
          <cell r="E6">
            <v>1989276.55</v>
          </cell>
          <cell r="F6" t="str">
            <v>D</v>
          </cell>
          <cell r="G6">
            <v>1989276.55</v>
          </cell>
          <cell r="H6">
            <v>1989276.55</v>
          </cell>
        </row>
        <row r="7">
          <cell r="A7" t="str">
            <v>101030300</v>
          </cell>
          <cell r="B7" t="str">
            <v>CUENTAS POR COBRAR PERSONAL</v>
          </cell>
          <cell r="C7" t="str">
            <v>4</v>
          </cell>
          <cell r="D7" t="str">
            <v>101030000</v>
          </cell>
          <cell r="E7">
            <v>135241.04999999999</v>
          </cell>
          <cell r="F7" t="str">
            <v>D</v>
          </cell>
          <cell r="G7">
            <v>135241.04999999999</v>
          </cell>
          <cell r="H7">
            <v>135241.04999999999</v>
          </cell>
        </row>
        <row r="8">
          <cell r="A8" t="str">
            <v>101030400</v>
          </cell>
          <cell r="B8" t="str">
            <v>OTRAS CUENTAS POR COBRAR</v>
          </cell>
          <cell r="C8" t="str">
            <v>4</v>
          </cell>
          <cell r="D8" t="str">
            <v>101030000</v>
          </cell>
          <cell r="E8">
            <v>-4426.1099999999997</v>
          </cell>
          <cell r="F8" t="str">
            <v>D</v>
          </cell>
          <cell r="G8">
            <v>-4426.1099999999997</v>
          </cell>
          <cell r="H8">
            <v>-4426.1099999999997</v>
          </cell>
        </row>
        <row r="9">
          <cell r="A9" t="str">
            <v>101030500</v>
          </cell>
          <cell r="B9" t="str">
            <v>PROVISION CLIENTES</v>
          </cell>
          <cell r="C9" t="str">
            <v>4</v>
          </cell>
          <cell r="D9" t="str">
            <v>101030000</v>
          </cell>
          <cell r="E9">
            <v>-17488.75</v>
          </cell>
          <cell r="F9" t="str">
            <v>D</v>
          </cell>
          <cell r="G9">
            <v>-17488.75</v>
          </cell>
          <cell r="H9">
            <v>-17488.75</v>
          </cell>
        </row>
        <row r="10">
          <cell r="A10" t="str">
            <v>101040100</v>
          </cell>
          <cell r="B10" t="str">
            <v>ANTICIPO PROVEEDORES</v>
          </cell>
          <cell r="C10" t="str">
            <v>4</v>
          </cell>
          <cell r="D10" t="str">
            <v>101040000</v>
          </cell>
          <cell r="E10">
            <v>52594.52</v>
          </cell>
          <cell r="F10" t="str">
            <v>D</v>
          </cell>
          <cell r="G10">
            <v>52594.52</v>
          </cell>
          <cell r="H10">
            <v>52594.52</v>
          </cell>
        </row>
        <row r="11">
          <cell r="A11" t="str">
            <v>101050100</v>
          </cell>
          <cell r="B11" t="str">
            <v>IMPUESTOS CREDITO TRIBUTARIO</v>
          </cell>
          <cell r="C11" t="str">
            <v>4</v>
          </cell>
          <cell r="D11" t="str">
            <v>101050000</v>
          </cell>
          <cell r="E11">
            <v>59647.3</v>
          </cell>
          <cell r="F11" t="str">
            <v>D</v>
          </cell>
          <cell r="G11">
            <v>59647.3</v>
          </cell>
          <cell r="H11">
            <v>59647.3</v>
          </cell>
        </row>
        <row r="12">
          <cell r="A12" t="str">
            <v>101060100</v>
          </cell>
          <cell r="B12" t="str">
            <v>INVENTARIOS COSMED</v>
          </cell>
          <cell r="C12" t="str">
            <v>4</v>
          </cell>
          <cell r="D12" t="str">
            <v>101060000</v>
          </cell>
          <cell r="E12">
            <v>345727.64</v>
          </cell>
          <cell r="F12" t="str">
            <v>D</v>
          </cell>
          <cell r="G12">
            <v>345727.64</v>
          </cell>
          <cell r="H12">
            <v>345727.64</v>
          </cell>
        </row>
        <row r="13">
          <cell r="A13" t="str">
            <v>101060200</v>
          </cell>
          <cell r="B13" t="str">
            <v>INVENTARIOS MEDICAL</v>
          </cell>
          <cell r="C13" t="str">
            <v>4</v>
          </cell>
          <cell r="D13" t="str">
            <v>101060000</v>
          </cell>
          <cell r="E13">
            <v>202261.56</v>
          </cell>
          <cell r="F13" t="str">
            <v>D</v>
          </cell>
          <cell r="G13">
            <v>202261.56</v>
          </cell>
          <cell r="H13">
            <v>202261.56</v>
          </cell>
        </row>
        <row r="14">
          <cell r="A14" t="str">
            <v>101060300</v>
          </cell>
          <cell r="B14" t="str">
            <v>INVENTARIOS TESA</v>
          </cell>
          <cell r="C14" t="str">
            <v>4</v>
          </cell>
          <cell r="D14" t="str">
            <v>101060000</v>
          </cell>
          <cell r="E14">
            <v>137499.74</v>
          </cell>
          <cell r="F14" t="str">
            <v>D</v>
          </cell>
          <cell r="G14">
            <v>137499.74</v>
          </cell>
          <cell r="H14">
            <v>137499.74</v>
          </cell>
        </row>
        <row r="15">
          <cell r="A15" t="str">
            <v>101060400</v>
          </cell>
          <cell r="B15" t="str">
            <v>PRODUCTOS PARA PROMOCIONES</v>
          </cell>
          <cell r="C15" t="str">
            <v>4</v>
          </cell>
          <cell r="D15" t="str">
            <v>101060000</v>
          </cell>
          <cell r="E15">
            <v>93.62</v>
          </cell>
          <cell r="F15" t="str">
            <v>D</v>
          </cell>
          <cell r="G15">
            <v>93.62</v>
          </cell>
          <cell r="H15">
            <v>93.62</v>
          </cell>
        </row>
        <row r="16">
          <cell r="A16" t="str">
            <v>101060500</v>
          </cell>
          <cell r="B16" t="str">
            <v>PROVISION INVENTARIOS</v>
          </cell>
          <cell r="C16" t="str">
            <v>4</v>
          </cell>
          <cell r="D16" t="str">
            <v>101060000</v>
          </cell>
          <cell r="E16">
            <v>-49679.5</v>
          </cell>
          <cell r="F16" t="str">
            <v>D</v>
          </cell>
          <cell r="G16">
            <v>-49679.5</v>
          </cell>
          <cell r="H16">
            <v>-49679.5</v>
          </cell>
        </row>
        <row r="17">
          <cell r="A17" t="str">
            <v>101070100</v>
          </cell>
          <cell r="B17" t="str">
            <v>FACTURAS TRANSITO</v>
          </cell>
          <cell r="C17" t="str">
            <v>4</v>
          </cell>
          <cell r="D17" t="str">
            <v>101070000</v>
          </cell>
          <cell r="E17">
            <v>194028.9388</v>
          </cell>
          <cell r="F17" t="str">
            <v>D</v>
          </cell>
          <cell r="G17">
            <v>194028.9388</v>
          </cell>
          <cell r="H17">
            <v>194028.9388</v>
          </cell>
        </row>
        <row r="18">
          <cell r="A18" t="str">
            <v>101070200</v>
          </cell>
          <cell r="B18" t="str">
            <v>GASTOS DE IMPORTACION</v>
          </cell>
          <cell r="C18" t="str">
            <v>4</v>
          </cell>
          <cell r="D18" t="str">
            <v>101070000</v>
          </cell>
          <cell r="E18">
            <v>89745.23</v>
          </cell>
          <cell r="F18" t="str">
            <v>D</v>
          </cell>
          <cell r="G18">
            <v>89745.23</v>
          </cell>
          <cell r="H18">
            <v>89745.23</v>
          </cell>
        </row>
        <row r="19">
          <cell r="A19" t="str">
            <v>102010100</v>
          </cell>
          <cell r="B19" t="str">
            <v>PROPIEDAD PLANTA Y EQUIPO</v>
          </cell>
          <cell r="C19" t="str">
            <v>4</v>
          </cell>
          <cell r="D19" t="str">
            <v>102010000</v>
          </cell>
          <cell r="E19">
            <v>783927.26</v>
          </cell>
          <cell r="F19" t="str">
            <v>D</v>
          </cell>
          <cell r="G19">
            <v>783927.26</v>
          </cell>
          <cell r="H19">
            <v>783927.26</v>
          </cell>
        </row>
        <row r="20">
          <cell r="A20" t="str">
            <v>102010200</v>
          </cell>
          <cell r="B20" t="str">
            <v>REVALORIZACION ACTIVOS FIJOS</v>
          </cell>
          <cell r="C20" t="str">
            <v>4</v>
          </cell>
          <cell r="D20" t="str">
            <v>102010000</v>
          </cell>
          <cell r="E20">
            <v>111304.28</v>
          </cell>
          <cell r="F20" t="str">
            <v>D</v>
          </cell>
          <cell r="G20">
            <v>111304.28</v>
          </cell>
          <cell r="H20">
            <v>111304.28</v>
          </cell>
        </row>
        <row r="21">
          <cell r="A21" t="str">
            <v>102010300</v>
          </cell>
          <cell r="B21" t="str">
            <v>DEPRECIACION ACUMULADA ACTIVOS FIJOS</v>
          </cell>
          <cell r="C21" t="str">
            <v>4</v>
          </cell>
          <cell r="D21" t="str">
            <v>102010000</v>
          </cell>
          <cell r="E21">
            <v>-43814.43</v>
          </cell>
          <cell r="F21" t="str">
            <v>D</v>
          </cell>
          <cell r="G21">
            <v>-43814.43</v>
          </cell>
          <cell r="H21">
            <v>-43814.43</v>
          </cell>
        </row>
        <row r="22">
          <cell r="A22" t="str">
            <v>102010400</v>
          </cell>
          <cell r="B22" t="str">
            <v>DEP. ACUM. POR REVALORIAZCION</v>
          </cell>
          <cell r="C22" t="str">
            <v>4</v>
          </cell>
          <cell r="D22" t="str">
            <v>102010000</v>
          </cell>
          <cell r="E22">
            <v>-76463.58</v>
          </cell>
          <cell r="F22" t="str">
            <v>D</v>
          </cell>
          <cell r="G22">
            <v>-76463.58</v>
          </cell>
          <cell r="H22">
            <v>-76463.58</v>
          </cell>
        </row>
        <row r="23">
          <cell r="A23" t="str">
            <v>103010100</v>
          </cell>
          <cell r="B23" t="str">
            <v>GASTOS ANTICIPADOS</v>
          </cell>
          <cell r="C23" t="str">
            <v>4</v>
          </cell>
          <cell r="D23" t="str">
            <v>103010000</v>
          </cell>
          <cell r="E23">
            <v>13117.34</v>
          </cell>
          <cell r="F23" t="str">
            <v>D</v>
          </cell>
          <cell r="G23">
            <v>13117.34</v>
          </cell>
          <cell r="H23">
            <v>13117.34</v>
          </cell>
        </row>
        <row r="24">
          <cell r="A24" t="str">
            <v>103010200</v>
          </cell>
          <cell r="B24" t="str">
            <v>SEGUROS PAGADOS POR ANTICIPADO</v>
          </cell>
          <cell r="C24" t="str">
            <v>4</v>
          </cell>
          <cell r="D24" t="str">
            <v>103010000</v>
          </cell>
          <cell r="E24">
            <v>200.43</v>
          </cell>
          <cell r="F24" t="str">
            <v>D</v>
          </cell>
          <cell r="G24">
            <v>200.43</v>
          </cell>
          <cell r="H24">
            <v>200.43</v>
          </cell>
        </row>
        <row r="25">
          <cell r="A25" t="str">
            <v>103020100</v>
          </cell>
          <cell r="B25" t="str">
            <v>DIFERIDOS DE MARKETING</v>
          </cell>
          <cell r="C25" t="str">
            <v>4</v>
          </cell>
          <cell r="D25" t="str">
            <v>103020000</v>
          </cell>
          <cell r="E25">
            <v>50192.42</v>
          </cell>
          <cell r="F25" t="str">
            <v>D</v>
          </cell>
          <cell r="G25">
            <v>50192.42</v>
          </cell>
          <cell r="H25">
            <v>50192.42</v>
          </cell>
        </row>
        <row r="26">
          <cell r="A26" t="str">
            <v>103020200</v>
          </cell>
          <cell r="B26" t="str">
            <v>ACTIVOS Y GASTOS DIFERIDOS</v>
          </cell>
          <cell r="C26" t="str">
            <v>4</v>
          </cell>
          <cell r="D26" t="str">
            <v>103020000</v>
          </cell>
          <cell r="E26">
            <v>22940.54</v>
          </cell>
          <cell r="F26" t="str">
            <v>D</v>
          </cell>
          <cell r="G26">
            <v>22940.54</v>
          </cell>
          <cell r="H26">
            <v>22940.54</v>
          </cell>
        </row>
        <row r="27">
          <cell r="A27" t="str">
            <v>201010100</v>
          </cell>
          <cell r="B27" t="str">
            <v>SOBREGIROS OCASIONALES</v>
          </cell>
          <cell r="C27" t="str">
            <v>4</v>
          </cell>
          <cell r="D27" t="str">
            <v>201010000</v>
          </cell>
          <cell r="E27">
            <v>-0.28000000000000003</v>
          </cell>
          <cell r="F27" t="str">
            <v>C</v>
          </cell>
          <cell r="G27">
            <v>0.28000000000000003</v>
          </cell>
          <cell r="H27">
            <v>0.28000000000000003</v>
          </cell>
        </row>
        <row r="28">
          <cell r="A28" t="str">
            <v>201010200</v>
          </cell>
          <cell r="B28" t="str">
            <v>PRESTAMOS BANCARIOS</v>
          </cell>
          <cell r="C28" t="str">
            <v>4</v>
          </cell>
          <cell r="D28" t="str">
            <v>201010000</v>
          </cell>
          <cell r="E28">
            <v>474131.24</v>
          </cell>
          <cell r="F28" t="str">
            <v>C</v>
          </cell>
          <cell r="G28">
            <v>-474131.24</v>
          </cell>
          <cell r="H28">
            <v>-474131.24</v>
          </cell>
        </row>
        <row r="29">
          <cell r="A29" t="str">
            <v>201010300</v>
          </cell>
          <cell r="B29" t="str">
            <v>PRESTAMOS CIAS RELACIONADAS</v>
          </cell>
          <cell r="C29" t="str">
            <v>4</v>
          </cell>
          <cell r="D29" t="str">
            <v>201010000</v>
          </cell>
          <cell r="E29">
            <v>882228.66</v>
          </cell>
          <cell r="F29" t="str">
            <v>C</v>
          </cell>
          <cell r="G29">
            <v>-882228.66</v>
          </cell>
          <cell r="H29">
            <v>-882228.66</v>
          </cell>
        </row>
        <row r="30">
          <cell r="A30" t="str">
            <v>201020100</v>
          </cell>
          <cell r="B30" t="str">
            <v>PROVEEDORES CIAS. RELACIONADAS COSMED</v>
          </cell>
          <cell r="C30" t="str">
            <v>4</v>
          </cell>
          <cell r="D30" t="str">
            <v>201020000</v>
          </cell>
          <cell r="E30">
            <v>481935.81880000001</v>
          </cell>
          <cell r="F30" t="str">
            <v>C</v>
          </cell>
          <cell r="G30">
            <v>-481935.81880000001</v>
          </cell>
          <cell r="H30">
            <v>-481935.81880000001</v>
          </cell>
        </row>
        <row r="31">
          <cell r="A31" t="str">
            <v>201020200</v>
          </cell>
          <cell r="B31" t="str">
            <v>PROVEEDORES CIAS. RELACIONADAS MEDICAL</v>
          </cell>
          <cell r="C31" t="str">
            <v>4</v>
          </cell>
          <cell r="D31" t="str">
            <v>201020000</v>
          </cell>
          <cell r="E31">
            <v>176225.84</v>
          </cell>
          <cell r="F31" t="str">
            <v>C</v>
          </cell>
          <cell r="G31">
            <v>-176225.84</v>
          </cell>
          <cell r="H31">
            <v>-176225.84</v>
          </cell>
        </row>
        <row r="32">
          <cell r="A32" t="str">
            <v>201020300</v>
          </cell>
          <cell r="B32" t="str">
            <v>PROVEEDORES CIAS. RELACIONADAS TESA</v>
          </cell>
          <cell r="C32" t="str">
            <v>4</v>
          </cell>
          <cell r="D32" t="str">
            <v>201020000</v>
          </cell>
          <cell r="E32">
            <v>53113.22</v>
          </cell>
          <cell r="F32" t="str">
            <v>C</v>
          </cell>
          <cell r="G32">
            <v>-53113.22</v>
          </cell>
          <cell r="H32">
            <v>-53113.22</v>
          </cell>
        </row>
        <row r="33">
          <cell r="A33" t="str">
            <v>201030100</v>
          </cell>
          <cell r="B33" t="str">
            <v>PROVEEDORES TERCEROS COSMED</v>
          </cell>
          <cell r="C33" t="str">
            <v>4</v>
          </cell>
          <cell r="D33" t="str">
            <v>201030000</v>
          </cell>
          <cell r="E33">
            <v>38595.11</v>
          </cell>
          <cell r="F33" t="str">
            <v>C</v>
          </cell>
          <cell r="G33">
            <v>-38595.11</v>
          </cell>
          <cell r="H33">
            <v>-38595.11</v>
          </cell>
        </row>
        <row r="34">
          <cell r="A34" t="str">
            <v>201030200</v>
          </cell>
          <cell r="B34" t="str">
            <v>PROVEEDORES TERCEROS MEDICAL</v>
          </cell>
          <cell r="C34" t="str">
            <v>4</v>
          </cell>
          <cell r="D34" t="str">
            <v>201030000</v>
          </cell>
          <cell r="E34">
            <v>23213.8</v>
          </cell>
          <cell r="F34" t="str">
            <v>C</v>
          </cell>
          <cell r="G34">
            <v>-23213.8</v>
          </cell>
          <cell r="H34">
            <v>-23213.8</v>
          </cell>
        </row>
        <row r="35">
          <cell r="A35" t="str">
            <v>201030300</v>
          </cell>
          <cell r="B35" t="str">
            <v>PROVEEDORES TERCEROS TESA</v>
          </cell>
          <cell r="C35" t="str">
            <v>4</v>
          </cell>
          <cell r="D35" t="str">
            <v>201030000</v>
          </cell>
          <cell r="E35">
            <v>153.79</v>
          </cell>
          <cell r="F35" t="str">
            <v>C</v>
          </cell>
          <cell r="G35">
            <v>-153.79</v>
          </cell>
          <cell r="H35">
            <v>-153.79</v>
          </cell>
        </row>
        <row r="36">
          <cell r="A36" t="str">
            <v>201040100</v>
          </cell>
          <cell r="B36" t="str">
            <v>PROVEEDORES LOCALES</v>
          </cell>
          <cell r="C36" t="str">
            <v>4</v>
          </cell>
          <cell r="D36" t="str">
            <v>201040000</v>
          </cell>
          <cell r="E36">
            <v>827189</v>
          </cell>
          <cell r="F36" t="str">
            <v>C</v>
          </cell>
          <cell r="G36">
            <v>-827189</v>
          </cell>
          <cell r="H36">
            <v>-827189</v>
          </cell>
        </row>
        <row r="37">
          <cell r="A37" t="str">
            <v>201040200</v>
          </cell>
          <cell r="B37" t="str">
            <v>CUENTAS POR PAGAR NOMINA</v>
          </cell>
          <cell r="C37" t="str">
            <v>4</v>
          </cell>
          <cell r="D37" t="str">
            <v>201040000</v>
          </cell>
          <cell r="E37">
            <v>4600.3500000000004</v>
          </cell>
          <cell r="F37" t="str">
            <v>C</v>
          </cell>
          <cell r="G37">
            <v>-4600.3500000000004</v>
          </cell>
          <cell r="H37">
            <v>-4600.3500000000004</v>
          </cell>
        </row>
        <row r="38">
          <cell r="A38" t="str">
            <v>201040300</v>
          </cell>
          <cell r="B38" t="str">
            <v>OTRAS CUENTAS POR PAGAR</v>
          </cell>
          <cell r="C38" t="str">
            <v>4</v>
          </cell>
          <cell r="D38" t="str">
            <v>201040000</v>
          </cell>
          <cell r="E38">
            <v>3064.1</v>
          </cell>
          <cell r="F38" t="str">
            <v>C</v>
          </cell>
          <cell r="G38">
            <v>-3064.1</v>
          </cell>
          <cell r="H38">
            <v>-3064.1</v>
          </cell>
        </row>
        <row r="39">
          <cell r="A39" t="str">
            <v>201050100</v>
          </cell>
          <cell r="B39" t="str">
            <v>IMPUESTO GENERADO</v>
          </cell>
          <cell r="C39" t="str">
            <v>4</v>
          </cell>
          <cell r="D39" t="str">
            <v>201050000</v>
          </cell>
          <cell r="E39">
            <v>32186.41</v>
          </cell>
          <cell r="F39" t="str">
            <v>C</v>
          </cell>
          <cell r="G39">
            <v>-32186.41</v>
          </cell>
          <cell r="H39">
            <v>-32186.41</v>
          </cell>
        </row>
        <row r="40">
          <cell r="A40" t="str">
            <v>201050200</v>
          </cell>
          <cell r="B40" t="str">
            <v>RETENCIONES EN LA FUENTE</v>
          </cell>
          <cell r="C40" t="str">
            <v>4</v>
          </cell>
          <cell r="D40" t="str">
            <v>201050000</v>
          </cell>
          <cell r="E40">
            <v>6371.63</v>
          </cell>
          <cell r="F40" t="str">
            <v>C</v>
          </cell>
          <cell r="G40">
            <v>-6371.63</v>
          </cell>
          <cell r="H40">
            <v>-6371.63</v>
          </cell>
        </row>
        <row r="41">
          <cell r="A41" t="str">
            <v>201050300</v>
          </cell>
          <cell r="B41" t="str">
            <v>RETENCIONES IVA</v>
          </cell>
          <cell r="C41" t="str">
            <v>4</v>
          </cell>
          <cell r="D41" t="str">
            <v>201050000</v>
          </cell>
          <cell r="E41">
            <v>8629.9240000000009</v>
          </cell>
          <cell r="F41" t="str">
            <v>C</v>
          </cell>
          <cell r="G41">
            <v>-8629.9240000000009</v>
          </cell>
          <cell r="H41">
            <v>-8629.9240000000009</v>
          </cell>
        </row>
        <row r="42">
          <cell r="A42" t="str">
            <v>201060100</v>
          </cell>
          <cell r="B42" t="str">
            <v>PROVISIONES MARKETING</v>
          </cell>
          <cell r="C42" t="str">
            <v>4</v>
          </cell>
          <cell r="D42" t="str">
            <v>201060000</v>
          </cell>
          <cell r="E42">
            <v>578.07000000000005</v>
          </cell>
          <cell r="F42" t="str">
            <v>C</v>
          </cell>
          <cell r="G42">
            <v>-578.07000000000005</v>
          </cell>
          <cell r="H42">
            <v>-578.07000000000005</v>
          </cell>
        </row>
        <row r="43">
          <cell r="A43" t="str">
            <v>201060200</v>
          </cell>
          <cell r="B43" t="str">
            <v>PROVISIONES PARA PAGOS LABORALES</v>
          </cell>
          <cell r="C43" t="str">
            <v>4</v>
          </cell>
          <cell r="D43" t="str">
            <v>201060000</v>
          </cell>
          <cell r="E43">
            <v>79550.02</v>
          </cell>
          <cell r="F43" t="str">
            <v>C</v>
          </cell>
          <cell r="G43">
            <v>-79550.02</v>
          </cell>
          <cell r="H43">
            <v>-79550.02</v>
          </cell>
        </row>
        <row r="44">
          <cell r="A44" t="str">
            <v>201060300</v>
          </cell>
          <cell r="B44" t="str">
            <v>PROVISIONES PARA OBLIGACIONES FISCALES</v>
          </cell>
          <cell r="C44" t="str">
            <v>4</v>
          </cell>
          <cell r="D44" t="str">
            <v>201060000</v>
          </cell>
          <cell r="E44">
            <v>78534</v>
          </cell>
          <cell r="F44" t="str">
            <v>C</v>
          </cell>
          <cell r="G44">
            <v>-78534</v>
          </cell>
          <cell r="H44">
            <v>-78534</v>
          </cell>
        </row>
        <row r="45">
          <cell r="A45" t="str">
            <v>201060400</v>
          </cell>
          <cell r="B45" t="str">
            <v>REGALIAS POR PAGAR</v>
          </cell>
          <cell r="C45" t="str">
            <v>4</v>
          </cell>
          <cell r="D45" t="str">
            <v>201060000</v>
          </cell>
          <cell r="E45">
            <v>12697.57</v>
          </cell>
          <cell r="F45" t="str">
            <v>C</v>
          </cell>
          <cell r="G45">
            <v>-12697.57</v>
          </cell>
          <cell r="H45">
            <v>-12697.57</v>
          </cell>
        </row>
        <row r="46">
          <cell r="A46" t="str">
            <v>301010100</v>
          </cell>
          <cell r="B46" t="str">
            <v>CAPITAL SOCIAL</v>
          </cell>
          <cell r="C46" t="str">
            <v>4</v>
          </cell>
          <cell r="D46" t="str">
            <v>301010000</v>
          </cell>
          <cell r="E46">
            <v>424640</v>
          </cell>
          <cell r="F46" t="str">
            <v>C</v>
          </cell>
          <cell r="G46">
            <v>-424640</v>
          </cell>
          <cell r="H46">
            <v>-424640</v>
          </cell>
        </row>
        <row r="47">
          <cell r="A47" t="str">
            <v>301010200</v>
          </cell>
          <cell r="B47" t="str">
            <v>RESERVAS</v>
          </cell>
          <cell r="C47" t="str">
            <v>4</v>
          </cell>
          <cell r="D47" t="str">
            <v>301010000</v>
          </cell>
          <cell r="E47">
            <v>342021.54</v>
          </cell>
          <cell r="F47" t="str">
            <v>C</v>
          </cell>
          <cell r="G47">
            <v>-342021.54</v>
          </cell>
          <cell r="H47">
            <v>-342021.54</v>
          </cell>
        </row>
        <row r="48">
          <cell r="A48" t="str">
            <v>301010300</v>
          </cell>
          <cell r="B48" t="str">
            <v>REEXPRESION MONETARIA</v>
          </cell>
          <cell r="C48" t="str">
            <v>4</v>
          </cell>
          <cell r="D48" t="str">
            <v>301010000</v>
          </cell>
          <cell r="E48">
            <v>-175239.93</v>
          </cell>
          <cell r="F48" t="str">
            <v>C</v>
          </cell>
          <cell r="G48">
            <v>175239.93</v>
          </cell>
          <cell r="H48">
            <v>175239.93</v>
          </cell>
        </row>
        <row r="49">
          <cell r="A49" t="str">
            <v>301010400</v>
          </cell>
          <cell r="B49" t="str">
            <v>UTILIDADES RETENIDAS</v>
          </cell>
          <cell r="C49" t="str">
            <v>4</v>
          </cell>
          <cell r="D49" t="str">
            <v>301010000</v>
          </cell>
          <cell r="E49">
            <v>41579</v>
          </cell>
          <cell r="F49" t="str">
            <v>C</v>
          </cell>
          <cell r="G49">
            <v>-41579</v>
          </cell>
          <cell r="H49">
            <v>-41579</v>
          </cell>
        </row>
        <row r="50">
          <cell r="A50" t="str">
            <v>301010500</v>
          </cell>
          <cell r="B50" t="str">
            <v>UTILIDADES DEL EJERCICIO</v>
          </cell>
          <cell r="C50" t="str">
            <v>4</v>
          </cell>
          <cell r="D50" t="str">
            <v>301010000</v>
          </cell>
          <cell r="E50">
            <v>208498.65599999999</v>
          </cell>
          <cell r="F50" t="str">
            <v>C</v>
          </cell>
          <cell r="G50">
            <v>-208498.65599999999</v>
          </cell>
          <cell r="H50">
            <v>-208498.65599999999</v>
          </cell>
        </row>
      </sheetData>
      <sheetData sheetId="2">
        <row r="1">
          <cell r="A1" t="str">
            <v>cod_cta</v>
          </cell>
          <cell r="B1" t="str">
            <v>nom_cta</v>
          </cell>
          <cell r="C1" t="str">
            <v>nivel</v>
          </cell>
          <cell r="D1" t="str">
            <v>compute_0009</v>
          </cell>
          <cell r="E1" t="str">
            <v>compute_0014</v>
          </cell>
          <cell r="F1" t="str">
            <v>compute_0014</v>
          </cell>
        </row>
        <row r="2">
          <cell r="A2" t="str">
            <v>101010100</v>
          </cell>
          <cell r="B2" t="str">
            <v>CAJA</v>
          </cell>
          <cell r="C2" t="str">
            <v>4</v>
          </cell>
          <cell r="D2">
            <v>1280</v>
          </cell>
          <cell r="E2" t="str">
            <v>D</v>
          </cell>
          <cell r="F2">
            <v>1280</v>
          </cell>
          <cell r="G2">
            <v>1280</v>
          </cell>
        </row>
        <row r="3">
          <cell r="A3" t="str">
            <v>101010200</v>
          </cell>
          <cell r="B3" t="str">
            <v>BANCOS</v>
          </cell>
          <cell r="C3" t="str">
            <v>4</v>
          </cell>
          <cell r="D3">
            <v>103713.8838</v>
          </cell>
          <cell r="E3" t="str">
            <v>D</v>
          </cell>
          <cell r="F3">
            <v>103713.8838</v>
          </cell>
          <cell r="G3">
            <v>103713.8838</v>
          </cell>
        </row>
        <row r="4">
          <cell r="A4" t="str">
            <v>101020100</v>
          </cell>
          <cell r="B4" t="str">
            <v>INVERSIONES</v>
          </cell>
          <cell r="C4" t="str">
            <v>4</v>
          </cell>
          <cell r="D4">
            <v>5192.97</v>
          </cell>
          <cell r="E4" t="str">
            <v>D</v>
          </cell>
          <cell r="F4">
            <v>5192.97</v>
          </cell>
          <cell r="G4">
            <v>5192.97</v>
          </cell>
        </row>
        <row r="5">
          <cell r="A5" t="str">
            <v>101020200</v>
          </cell>
          <cell r="B5" t="str">
            <v>DEPOSITOS EN GARANTIA</v>
          </cell>
          <cell r="C5" t="str">
            <v>4</v>
          </cell>
          <cell r="D5">
            <v>3714</v>
          </cell>
          <cell r="E5" t="str">
            <v>D</v>
          </cell>
          <cell r="F5">
            <v>3714</v>
          </cell>
          <cell r="G5">
            <v>3714</v>
          </cell>
        </row>
        <row r="6">
          <cell r="A6" t="str">
            <v>101030100</v>
          </cell>
          <cell r="B6" t="str">
            <v>CLIENTES</v>
          </cell>
          <cell r="C6" t="str">
            <v>4</v>
          </cell>
          <cell r="D6">
            <v>2127488.64</v>
          </cell>
          <cell r="E6" t="str">
            <v>D</v>
          </cell>
          <cell r="F6">
            <v>2127488.64</v>
          </cell>
          <cell r="G6">
            <v>2127488.64</v>
          </cell>
        </row>
        <row r="7">
          <cell r="A7" t="str">
            <v>101030300</v>
          </cell>
          <cell r="B7" t="str">
            <v>CUENTAS POR COBRAR PERSONAL</v>
          </cell>
          <cell r="C7" t="str">
            <v>4</v>
          </cell>
          <cell r="D7">
            <v>150881.01999999999</v>
          </cell>
          <cell r="E7" t="str">
            <v>D</v>
          </cell>
          <cell r="F7">
            <v>150881.01999999999</v>
          </cell>
          <cell r="G7">
            <v>150881.01999999999</v>
          </cell>
        </row>
        <row r="8">
          <cell r="A8" t="str">
            <v>101030400</v>
          </cell>
          <cell r="B8" t="str">
            <v>OTRAS CUENTAS POR COBRAR</v>
          </cell>
          <cell r="C8" t="str">
            <v>4</v>
          </cell>
          <cell r="D8">
            <v>11328.2</v>
          </cell>
          <cell r="E8" t="str">
            <v>D</v>
          </cell>
          <cell r="F8">
            <v>11328.2</v>
          </cell>
          <cell r="G8">
            <v>11328.2</v>
          </cell>
        </row>
        <row r="9">
          <cell r="A9" t="str">
            <v>101030500</v>
          </cell>
          <cell r="B9" t="str">
            <v>PROVISION CLIENTES</v>
          </cell>
          <cell r="C9" t="str">
            <v>4</v>
          </cell>
          <cell r="D9">
            <v>-18420.97</v>
          </cell>
          <cell r="E9" t="str">
            <v>D</v>
          </cell>
          <cell r="F9">
            <v>-18420.97</v>
          </cell>
          <cell r="G9">
            <v>-18420.97</v>
          </cell>
        </row>
        <row r="10">
          <cell r="A10" t="str">
            <v>101040100</v>
          </cell>
          <cell r="B10" t="str">
            <v>ANTICIPO PROVEEDORES</v>
          </cell>
          <cell r="C10" t="str">
            <v>4</v>
          </cell>
          <cell r="D10">
            <v>59460.46</v>
          </cell>
          <cell r="E10" t="str">
            <v>D</v>
          </cell>
          <cell r="F10">
            <v>59460.46</v>
          </cell>
          <cell r="G10">
            <v>59460.46</v>
          </cell>
        </row>
        <row r="11">
          <cell r="A11" t="str">
            <v>101050100</v>
          </cell>
          <cell r="B11" t="str">
            <v>IMPUESTOS CREDITO TRIBUTARIO</v>
          </cell>
          <cell r="C11" t="str">
            <v>4</v>
          </cell>
          <cell r="D11">
            <v>64925.89</v>
          </cell>
          <cell r="E11" t="str">
            <v>D</v>
          </cell>
          <cell r="F11">
            <v>64925.89</v>
          </cell>
          <cell r="G11">
            <v>64925.89</v>
          </cell>
        </row>
        <row r="12">
          <cell r="A12" t="str">
            <v>101060100</v>
          </cell>
          <cell r="B12" t="str">
            <v>INVENTARIOS COSMED</v>
          </cell>
          <cell r="C12" t="str">
            <v>4</v>
          </cell>
          <cell r="D12">
            <v>347244.2</v>
          </cell>
          <cell r="E12" t="str">
            <v>D</v>
          </cell>
          <cell r="F12">
            <v>347244.2</v>
          </cell>
          <cell r="G12">
            <v>347244.2</v>
          </cell>
        </row>
        <row r="13">
          <cell r="A13" t="str">
            <v>101060200</v>
          </cell>
          <cell r="B13" t="str">
            <v>INVENTARIOS MEDICAL</v>
          </cell>
          <cell r="C13" t="str">
            <v>4</v>
          </cell>
          <cell r="D13">
            <v>240784.46</v>
          </cell>
          <cell r="E13" t="str">
            <v>D</v>
          </cell>
          <cell r="F13">
            <v>240784.46</v>
          </cell>
          <cell r="G13">
            <v>240784.46</v>
          </cell>
        </row>
        <row r="14">
          <cell r="A14" t="str">
            <v>101060300</v>
          </cell>
          <cell r="B14" t="str">
            <v>INVENTARIOS TESA</v>
          </cell>
          <cell r="C14" t="str">
            <v>4</v>
          </cell>
          <cell r="D14">
            <v>131299.81</v>
          </cell>
          <cell r="E14" t="str">
            <v>D</v>
          </cell>
          <cell r="F14">
            <v>131299.81</v>
          </cell>
          <cell r="G14">
            <v>131299.81</v>
          </cell>
        </row>
        <row r="15">
          <cell r="A15" t="str">
            <v>101060400</v>
          </cell>
          <cell r="B15" t="str">
            <v>PRODUCTOS PARA PROMOCIONES</v>
          </cell>
          <cell r="C15" t="str">
            <v>4</v>
          </cell>
          <cell r="D15">
            <v>93.62</v>
          </cell>
          <cell r="E15" t="str">
            <v>D</v>
          </cell>
          <cell r="F15">
            <v>93.62</v>
          </cell>
          <cell r="G15">
            <v>93.62</v>
          </cell>
        </row>
        <row r="16">
          <cell r="A16" t="str">
            <v>101060500</v>
          </cell>
          <cell r="B16" t="str">
            <v>PROVISION INVENTARIOS</v>
          </cell>
          <cell r="C16" t="str">
            <v>4</v>
          </cell>
          <cell r="D16">
            <v>-50977.89</v>
          </cell>
          <cell r="E16" t="str">
            <v>D</v>
          </cell>
          <cell r="F16">
            <v>-50977.89</v>
          </cell>
          <cell r="G16">
            <v>-50977.89</v>
          </cell>
        </row>
        <row r="17">
          <cell r="A17" t="str">
            <v>101070100</v>
          </cell>
          <cell r="B17" t="str">
            <v>FACTURAS TRANSITO</v>
          </cell>
          <cell r="C17" t="str">
            <v>4</v>
          </cell>
          <cell r="D17">
            <v>258285.9344</v>
          </cell>
          <cell r="E17" t="str">
            <v>D</v>
          </cell>
          <cell r="F17">
            <v>258285.9344</v>
          </cell>
          <cell r="G17">
            <v>258285.9344</v>
          </cell>
        </row>
        <row r="18">
          <cell r="A18" t="str">
            <v>101070200</v>
          </cell>
          <cell r="B18" t="str">
            <v>GASTOS DE IMPORTACION</v>
          </cell>
          <cell r="C18" t="str">
            <v>4</v>
          </cell>
          <cell r="D18">
            <v>114949.55</v>
          </cell>
          <cell r="E18" t="str">
            <v>D</v>
          </cell>
          <cell r="F18">
            <v>114949.55</v>
          </cell>
          <cell r="G18">
            <v>114949.55</v>
          </cell>
        </row>
        <row r="19">
          <cell r="A19" t="str">
            <v>102010100</v>
          </cell>
          <cell r="B19" t="str">
            <v>PROPIEDAD PLANTA Y EQUIPO</v>
          </cell>
          <cell r="C19" t="str">
            <v>4</v>
          </cell>
          <cell r="D19">
            <v>809480.31</v>
          </cell>
          <cell r="E19" t="str">
            <v>D</v>
          </cell>
          <cell r="F19">
            <v>809480.31</v>
          </cell>
          <cell r="G19">
            <v>809480.31</v>
          </cell>
        </row>
        <row r="20">
          <cell r="A20" t="str">
            <v>102010200</v>
          </cell>
          <cell r="B20" t="str">
            <v>REVALORIZACION ACTIVOS FIJOS</v>
          </cell>
          <cell r="C20" t="str">
            <v>4</v>
          </cell>
          <cell r="D20">
            <v>111304.28</v>
          </cell>
          <cell r="E20" t="str">
            <v>D</v>
          </cell>
          <cell r="F20">
            <v>111304.28</v>
          </cell>
          <cell r="G20">
            <v>111304.28</v>
          </cell>
        </row>
        <row r="21">
          <cell r="A21" t="str">
            <v>102010300</v>
          </cell>
          <cell r="B21" t="str">
            <v>DEPRECIACION ACUMULADA ACTIVOS FIJOS</v>
          </cell>
          <cell r="C21" t="str">
            <v>4</v>
          </cell>
          <cell r="D21">
            <v>-47579.27</v>
          </cell>
          <cell r="E21" t="str">
            <v>D</v>
          </cell>
          <cell r="F21">
            <v>-47579.27</v>
          </cell>
          <cell r="G21">
            <v>-47579.27</v>
          </cell>
        </row>
        <row r="22">
          <cell r="A22" t="str">
            <v>102010400</v>
          </cell>
          <cell r="B22" t="str">
            <v>DEP. ACUM. POR REVALORIAZCION</v>
          </cell>
          <cell r="C22" t="str">
            <v>4</v>
          </cell>
          <cell r="D22">
            <v>-79083.039999999994</v>
          </cell>
          <cell r="E22" t="str">
            <v>D</v>
          </cell>
          <cell r="F22">
            <v>-79083.039999999994</v>
          </cell>
          <cell r="G22">
            <v>-79083.039999999994</v>
          </cell>
        </row>
        <row r="23">
          <cell r="A23" t="str">
            <v>103010100</v>
          </cell>
          <cell r="B23" t="str">
            <v>GASTOS ANTICIPADOS</v>
          </cell>
          <cell r="C23" t="str">
            <v>4</v>
          </cell>
          <cell r="D23">
            <v>4347.37</v>
          </cell>
          <cell r="E23" t="str">
            <v>D</v>
          </cell>
          <cell r="F23">
            <v>4347.37</v>
          </cell>
          <cell r="G23">
            <v>4347.37</v>
          </cell>
        </row>
        <row r="24">
          <cell r="A24" t="str">
            <v>103010200</v>
          </cell>
          <cell r="B24" t="str">
            <v>SEGUROS PAGADOS POR ANTICIPADO</v>
          </cell>
          <cell r="C24" t="str">
            <v>4</v>
          </cell>
          <cell r="D24">
            <v>200.43</v>
          </cell>
          <cell r="E24" t="str">
            <v>D</v>
          </cell>
          <cell r="F24">
            <v>200.43</v>
          </cell>
          <cell r="G24">
            <v>200.43</v>
          </cell>
        </row>
        <row r="25">
          <cell r="A25" t="str">
            <v>103020100</v>
          </cell>
          <cell r="B25" t="str">
            <v>DIFERIDOS DE MARKETING</v>
          </cell>
          <cell r="C25" t="str">
            <v>4</v>
          </cell>
          <cell r="D25">
            <v>30361.31</v>
          </cell>
          <cell r="E25" t="str">
            <v>D</v>
          </cell>
          <cell r="F25">
            <v>30361.31</v>
          </cell>
          <cell r="G25">
            <v>30361.31</v>
          </cell>
        </row>
        <row r="26">
          <cell r="A26" t="str">
            <v>103020200</v>
          </cell>
          <cell r="B26" t="str">
            <v>ACTIVOS Y GASTOS DIFERIDOS</v>
          </cell>
          <cell r="C26" t="str">
            <v>4</v>
          </cell>
          <cell r="D26">
            <v>-0.01</v>
          </cell>
          <cell r="E26" t="str">
            <v>D</v>
          </cell>
          <cell r="F26">
            <v>-0.01</v>
          </cell>
          <cell r="G26">
            <v>-0.01</v>
          </cell>
        </row>
        <row r="27">
          <cell r="A27" t="str">
            <v>201010100</v>
          </cell>
          <cell r="B27" t="str">
            <v>SOBREGIROS OCASIONALES</v>
          </cell>
          <cell r="C27" t="str">
            <v>4</v>
          </cell>
          <cell r="D27">
            <v>122842.6</v>
          </cell>
          <cell r="E27" t="str">
            <v>C</v>
          </cell>
          <cell r="F27">
            <v>-122842.6</v>
          </cell>
          <cell r="G27">
            <v>-122842.6</v>
          </cell>
        </row>
        <row r="28">
          <cell r="A28" t="str">
            <v>201010200</v>
          </cell>
          <cell r="B28" t="str">
            <v>PRESTAMOS BANCARIOS</v>
          </cell>
          <cell r="C28" t="str">
            <v>4</v>
          </cell>
          <cell r="D28">
            <v>699516.74</v>
          </cell>
          <cell r="E28" t="str">
            <v>C</v>
          </cell>
          <cell r="F28">
            <v>-699516.74</v>
          </cell>
          <cell r="G28">
            <v>-699516.74</v>
          </cell>
        </row>
        <row r="29">
          <cell r="A29" t="str">
            <v>201010300</v>
          </cell>
          <cell r="B29" t="str">
            <v>PRESTAMOS CIAS RELACIONADAS</v>
          </cell>
          <cell r="C29" t="str">
            <v>4</v>
          </cell>
          <cell r="D29">
            <v>823895.33</v>
          </cell>
          <cell r="E29" t="str">
            <v>C</v>
          </cell>
          <cell r="F29">
            <v>-823895.33</v>
          </cell>
          <cell r="G29">
            <v>-823895.33</v>
          </cell>
        </row>
        <row r="30">
          <cell r="A30" t="str">
            <v>201020100</v>
          </cell>
          <cell r="B30" t="str">
            <v>PROVEEDORES CIAS. RELACIONADAS COSMED</v>
          </cell>
          <cell r="C30" t="str">
            <v>4</v>
          </cell>
          <cell r="D30">
            <v>485912.02639999997</v>
          </cell>
          <cell r="E30" t="str">
            <v>C</v>
          </cell>
          <cell r="F30">
            <v>-485912.02639999997</v>
          </cell>
          <cell r="G30">
            <v>-485912.02639999997</v>
          </cell>
        </row>
        <row r="31">
          <cell r="A31" t="str">
            <v>201020200</v>
          </cell>
          <cell r="B31" t="str">
            <v>PROVEEDORES CIAS. RELACIONADAS MEDICAL</v>
          </cell>
          <cell r="C31" t="str">
            <v>4</v>
          </cell>
          <cell r="D31">
            <v>158846.71</v>
          </cell>
          <cell r="E31" t="str">
            <v>C</v>
          </cell>
          <cell r="F31">
            <v>-158846.71</v>
          </cell>
          <cell r="G31">
            <v>-158846.71</v>
          </cell>
        </row>
        <row r="32">
          <cell r="A32" t="str">
            <v>201020300</v>
          </cell>
          <cell r="B32" t="str">
            <v>PROVEEDORES CIAS. RELACIONADAS TESA</v>
          </cell>
          <cell r="C32" t="str">
            <v>4</v>
          </cell>
          <cell r="D32">
            <v>39323.9</v>
          </cell>
          <cell r="E32" t="str">
            <v>C</v>
          </cell>
          <cell r="F32">
            <v>-39323.9</v>
          </cell>
          <cell r="G32">
            <v>-39323.9</v>
          </cell>
        </row>
        <row r="33">
          <cell r="A33" t="str">
            <v>201030100</v>
          </cell>
          <cell r="B33" t="str">
            <v>PROVEEDORES TERCEROS COSMED</v>
          </cell>
          <cell r="C33" t="str">
            <v>4</v>
          </cell>
          <cell r="D33">
            <v>47074.438000000002</v>
          </cell>
          <cell r="E33" t="str">
            <v>C</v>
          </cell>
          <cell r="F33">
            <v>-47074.438000000002</v>
          </cell>
          <cell r="G33">
            <v>-47074.438000000002</v>
          </cell>
        </row>
        <row r="34">
          <cell r="A34" t="str">
            <v>201030200</v>
          </cell>
          <cell r="B34" t="str">
            <v>PROVEEDORES TERCEROS MEDICAL</v>
          </cell>
          <cell r="C34" t="str">
            <v>4</v>
          </cell>
          <cell r="D34">
            <v>34074.959999999999</v>
          </cell>
          <cell r="E34" t="str">
            <v>C</v>
          </cell>
          <cell r="F34">
            <v>-34074.959999999999</v>
          </cell>
          <cell r="G34">
            <v>-34074.959999999999</v>
          </cell>
        </row>
        <row r="35">
          <cell r="A35" t="str">
            <v>201030300</v>
          </cell>
          <cell r="B35" t="str">
            <v>PROVEEDORES TERCEROS TESA</v>
          </cell>
          <cell r="C35" t="str">
            <v>4</v>
          </cell>
          <cell r="D35">
            <v>153.79</v>
          </cell>
          <cell r="E35" t="str">
            <v>C</v>
          </cell>
          <cell r="F35">
            <v>-153.79</v>
          </cell>
          <cell r="G35">
            <v>-153.79</v>
          </cell>
        </row>
        <row r="36">
          <cell r="A36" t="str">
            <v>201040100</v>
          </cell>
          <cell r="B36" t="str">
            <v>PROVEEDORES LOCALES</v>
          </cell>
          <cell r="C36" t="str">
            <v>4</v>
          </cell>
          <cell r="D36">
            <v>842143.04</v>
          </cell>
          <cell r="E36" t="str">
            <v>C</v>
          </cell>
          <cell r="F36">
            <v>-842143.04</v>
          </cell>
          <cell r="G36">
            <v>-842143.04</v>
          </cell>
        </row>
        <row r="37">
          <cell r="A37" t="str">
            <v>201040200</v>
          </cell>
          <cell r="B37" t="str">
            <v>CUENTAS POR PAGAR NOMINA</v>
          </cell>
          <cell r="C37" t="str">
            <v>4</v>
          </cell>
          <cell r="D37">
            <v>3758.93</v>
          </cell>
          <cell r="E37" t="str">
            <v>C</v>
          </cell>
          <cell r="F37">
            <v>-3758.93</v>
          </cell>
          <cell r="G37">
            <v>-3758.93</v>
          </cell>
        </row>
        <row r="38">
          <cell r="A38" t="str">
            <v>201040300</v>
          </cell>
          <cell r="B38" t="str">
            <v>OTRAS CUENTAS POR PAGAR</v>
          </cell>
          <cell r="C38" t="str">
            <v>4</v>
          </cell>
          <cell r="D38">
            <v>2713.38</v>
          </cell>
          <cell r="E38" t="str">
            <v>C</v>
          </cell>
          <cell r="F38">
            <v>-2713.38</v>
          </cell>
          <cell r="G38">
            <v>-2713.38</v>
          </cell>
        </row>
        <row r="39">
          <cell r="A39" t="str">
            <v>201050100</v>
          </cell>
          <cell r="B39" t="str">
            <v>IMPUESTO GENERADO</v>
          </cell>
          <cell r="C39" t="str">
            <v>4</v>
          </cell>
          <cell r="D39">
            <v>11589.28</v>
          </cell>
          <cell r="E39" t="str">
            <v>C</v>
          </cell>
          <cell r="F39">
            <v>-11589.28</v>
          </cell>
          <cell r="G39">
            <v>-11589.28</v>
          </cell>
        </row>
        <row r="40">
          <cell r="A40" t="str">
            <v>201050200</v>
          </cell>
          <cell r="B40" t="str">
            <v>RETENCIONES EN LA FUENTE</v>
          </cell>
          <cell r="C40" t="str">
            <v>4</v>
          </cell>
          <cell r="D40">
            <v>2822.93</v>
          </cell>
          <cell r="E40" t="str">
            <v>C</v>
          </cell>
          <cell r="F40">
            <v>-2822.93</v>
          </cell>
          <cell r="G40">
            <v>-2822.93</v>
          </cell>
        </row>
        <row r="41">
          <cell r="A41" t="str">
            <v>201050300</v>
          </cell>
          <cell r="B41" t="str">
            <v>RETENCIONES IVA</v>
          </cell>
          <cell r="C41" t="str">
            <v>4</v>
          </cell>
          <cell r="D41">
            <v>10505.074000000001</v>
          </cell>
          <cell r="E41" t="str">
            <v>C</v>
          </cell>
          <cell r="F41">
            <v>-10505.074000000001</v>
          </cell>
          <cell r="G41">
            <v>-10505.074000000001</v>
          </cell>
        </row>
        <row r="42">
          <cell r="A42" t="str">
            <v>201060100</v>
          </cell>
          <cell r="B42" t="str">
            <v>PROVISIONES MARKETING</v>
          </cell>
          <cell r="C42" t="str">
            <v>4</v>
          </cell>
          <cell r="D42">
            <v>24732.43</v>
          </cell>
          <cell r="E42" t="str">
            <v>C</v>
          </cell>
          <cell r="F42">
            <v>-24732.43</v>
          </cell>
          <cell r="G42">
            <v>-24732.43</v>
          </cell>
        </row>
        <row r="43">
          <cell r="A43" t="str">
            <v>201060200</v>
          </cell>
          <cell r="B43" t="str">
            <v>PROVISIONES PARA PAGOS LABORALES</v>
          </cell>
          <cell r="C43" t="str">
            <v>4</v>
          </cell>
          <cell r="D43">
            <v>87690.15</v>
          </cell>
          <cell r="E43" t="str">
            <v>C</v>
          </cell>
          <cell r="F43">
            <v>-87690.15</v>
          </cell>
          <cell r="G43">
            <v>-87690.15</v>
          </cell>
        </row>
        <row r="44">
          <cell r="A44" t="str">
            <v>201060300</v>
          </cell>
          <cell r="B44" t="str">
            <v>PROVISIONES PARA OBLIGACIONES FISCALES</v>
          </cell>
          <cell r="C44" t="str">
            <v>4</v>
          </cell>
          <cell r="D44">
            <v>87548.67</v>
          </cell>
          <cell r="E44" t="str">
            <v>C</v>
          </cell>
          <cell r="F44">
            <v>-87548.67</v>
          </cell>
          <cell r="G44">
            <v>-87548.67</v>
          </cell>
        </row>
        <row r="45">
          <cell r="A45" t="str">
            <v>201060400</v>
          </cell>
          <cell r="B45" t="str">
            <v>REGALIAS POR PAGAR</v>
          </cell>
          <cell r="C45" t="str">
            <v>4</v>
          </cell>
          <cell r="D45">
            <v>23156.35</v>
          </cell>
          <cell r="E45" t="str">
            <v>C</v>
          </cell>
          <cell r="F45">
            <v>-23156.35</v>
          </cell>
          <cell r="G45">
            <v>-23156.35</v>
          </cell>
        </row>
        <row r="46">
          <cell r="A46" t="str">
            <v>301010100</v>
          </cell>
          <cell r="B46" t="str">
            <v>CAPITAL SOCIAL</v>
          </cell>
          <cell r="C46" t="str">
            <v>4</v>
          </cell>
          <cell r="D46">
            <v>424640</v>
          </cell>
          <cell r="E46" t="str">
            <v>C</v>
          </cell>
          <cell r="F46">
            <v>-424640</v>
          </cell>
          <cell r="G46">
            <v>-424640</v>
          </cell>
        </row>
        <row r="47">
          <cell r="A47" t="str">
            <v>301010200</v>
          </cell>
          <cell r="B47" t="str">
            <v>RESERVAS</v>
          </cell>
          <cell r="C47" t="str">
            <v>4</v>
          </cell>
          <cell r="D47">
            <v>342021.54</v>
          </cell>
          <cell r="E47" t="str">
            <v>C</v>
          </cell>
          <cell r="F47">
            <v>-342021.54</v>
          </cell>
          <cell r="G47">
            <v>-342021.54</v>
          </cell>
        </row>
        <row r="48">
          <cell r="A48" t="str">
            <v>301010300</v>
          </cell>
          <cell r="B48" t="str">
            <v>REEXPRESION MONETARIA</v>
          </cell>
          <cell r="C48" t="str">
            <v>4</v>
          </cell>
          <cell r="D48">
            <v>-175239.93</v>
          </cell>
          <cell r="E48" t="str">
            <v>C</v>
          </cell>
          <cell r="F48">
            <v>175239.93</v>
          </cell>
          <cell r="G48">
            <v>175239.93</v>
          </cell>
        </row>
        <row r="49">
          <cell r="A49" t="str">
            <v>301010400</v>
          </cell>
          <cell r="B49" t="str">
            <v>UTILIDADES RETENIDAS</v>
          </cell>
          <cell r="C49" t="str">
            <v>4</v>
          </cell>
          <cell r="D49">
            <v>41579</v>
          </cell>
          <cell r="E49" t="str">
            <v>C</v>
          </cell>
          <cell r="F49">
            <v>-41579</v>
          </cell>
          <cell r="G49">
            <v>-41579</v>
          </cell>
        </row>
        <row r="50">
          <cell r="A50" t="str">
            <v>301010500</v>
          </cell>
          <cell r="B50" t="str">
            <v>UTILIDADES DEL EJERCICIO</v>
          </cell>
          <cell r="C50" t="str">
            <v>4</v>
          </cell>
          <cell r="D50">
            <v>238973.8198</v>
          </cell>
          <cell r="E50" t="str">
            <v>C</v>
          </cell>
          <cell r="F50">
            <v>-238973.8198</v>
          </cell>
          <cell r="G50">
            <v>-238973.8198</v>
          </cell>
        </row>
      </sheetData>
      <sheetData sheetId="3">
        <row r="1">
          <cell r="A1" t="str">
            <v>cod_cta</v>
          </cell>
        </row>
        <row r="2">
          <cell r="A2" t="str">
            <v>101010100</v>
          </cell>
          <cell r="B2" t="str">
            <v>CAJA</v>
          </cell>
          <cell r="C2" t="str">
            <v>4</v>
          </cell>
          <cell r="D2">
            <v>1680</v>
          </cell>
          <cell r="E2" t="str">
            <v>D</v>
          </cell>
          <cell r="F2">
            <v>1680</v>
          </cell>
          <cell r="G2">
            <v>1680</v>
          </cell>
        </row>
        <row r="3">
          <cell r="A3" t="str">
            <v>101010200</v>
          </cell>
          <cell r="B3" t="str">
            <v>BANCOS</v>
          </cell>
          <cell r="C3" t="str">
            <v>4</v>
          </cell>
          <cell r="D3">
            <v>111406.9538</v>
          </cell>
          <cell r="E3" t="str">
            <v>D</v>
          </cell>
          <cell r="F3">
            <v>111406.9538</v>
          </cell>
          <cell r="G3">
            <v>111406.9538</v>
          </cell>
        </row>
        <row r="4">
          <cell r="A4" t="str">
            <v>101020100</v>
          </cell>
          <cell r="B4" t="str">
            <v>INVERSIONES</v>
          </cell>
          <cell r="C4" t="str">
            <v>4</v>
          </cell>
          <cell r="D4">
            <v>5192.97</v>
          </cell>
          <cell r="E4" t="str">
            <v>D</v>
          </cell>
          <cell r="F4">
            <v>5192.97</v>
          </cell>
          <cell r="G4">
            <v>5192.97</v>
          </cell>
        </row>
        <row r="5">
          <cell r="A5" t="str">
            <v>101020200</v>
          </cell>
          <cell r="B5" t="str">
            <v>DEPOSITOS EN GARANTIA</v>
          </cell>
          <cell r="C5" t="str">
            <v>4</v>
          </cell>
          <cell r="D5">
            <v>2060</v>
          </cell>
          <cell r="E5" t="str">
            <v>D</v>
          </cell>
          <cell r="F5">
            <v>2060</v>
          </cell>
          <cell r="G5">
            <v>2060</v>
          </cell>
        </row>
        <row r="6">
          <cell r="A6" t="str">
            <v>101030100</v>
          </cell>
          <cell r="B6" t="str">
            <v>CLIENTES</v>
          </cell>
          <cell r="C6" t="str">
            <v>4</v>
          </cell>
          <cell r="D6">
            <v>2189856.36</v>
          </cell>
          <cell r="E6" t="str">
            <v>D</v>
          </cell>
          <cell r="F6">
            <v>2189856.36</v>
          </cell>
          <cell r="G6">
            <v>2189856.36</v>
          </cell>
        </row>
        <row r="7">
          <cell r="A7" t="str">
            <v>101030300</v>
          </cell>
          <cell r="B7" t="str">
            <v>CUENTAS POR COBRAR PERSONAL</v>
          </cell>
          <cell r="C7" t="str">
            <v>4</v>
          </cell>
          <cell r="D7">
            <v>146141.20000000001</v>
          </cell>
          <cell r="E7" t="str">
            <v>D</v>
          </cell>
          <cell r="F7">
            <v>146141.20000000001</v>
          </cell>
          <cell r="G7">
            <v>146141.20000000001</v>
          </cell>
        </row>
        <row r="8">
          <cell r="A8" t="str">
            <v>101030400</v>
          </cell>
          <cell r="B8" t="str">
            <v>OTRAS CUENTAS POR COBRAR</v>
          </cell>
          <cell r="C8" t="str">
            <v>4</v>
          </cell>
          <cell r="D8">
            <v>-51801.279999999999</v>
          </cell>
          <cell r="E8" t="str">
            <v>D</v>
          </cell>
          <cell r="F8">
            <v>-51801.279999999999</v>
          </cell>
          <cell r="G8">
            <v>-51801.279999999999</v>
          </cell>
        </row>
        <row r="9">
          <cell r="A9" t="str">
            <v>101030500</v>
          </cell>
          <cell r="B9" t="str">
            <v>PROVISION CLIENTES</v>
          </cell>
          <cell r="C9" t="str">
            <v>4</v>
          </cell>
          <cell r="D9">
            <v>-16531.39</v>
          </cell>
          <cell r="E9" t="str">
            <v>D</v>
          </cell>
          <cell r="F9">
            <v>-16531.39</v>
          </cell>
          <cell r="G9">
            <v>-16531.39</v>
          </cell>
        </row>
        <row r="10">
          <cell r="A10" t="str">
            <v>101040100</v>
          </cell>
          <cell r="B10" t="str">
            <v>ANTICIPO PROVEEDORES</v>
          </cell>
          <cell r="C10" t="str">
            <v>4</v>
          </cell>
          <cell r="D10">
            <v>47785.06</v>
          </cell>
          <cell r="E10" t="str">
            <v>D</v>
          </cell>
          <cell r="F10">
            <v>47785.06</v>
          </cell>
          <cell r="G10">
            <v>47785.06</v>
          </cell>
        </row>
        <row r="11">
          <cell r="A11" t="str">
            <v>101050100</v>
          </cell>
          <cell r="B11" t="str">
            <v>IMPUESTOS CREDITO TRIBUTARIO</v>
          </cell>
          <cell r="C11" t="str">
            <v>4</v>
          </cell>
          <cell r="D11">
            <v>69653.279999999999</v>
          </cell>
          <cell r="E11" t="str">
            <v>D</v>
          </cell>
          <cell r="F11">
            <v>69653.279999999999</v>
          </cell>
          <cell r="G11">
            <v>69653.279999999999</v>
          </cell>
        </row>
        <row r="12">
          <cell r="A12" t="str">
            <v>101060100</v>
          </cell>
          <cell r="B12" t="str">
            <v>INVENTARIOS COSMED</v>
          </cell>
          <cell r="C12" t="str">
            <v>4</v>
          </cell>
          <cell r="D12">
            <v>346043.02</v>
          </cell>
          <cell r="E12" t="str">
            <v>D</v>
          </cell>
          <cell r="F12">
            <v>346043.02</v>
          </cell>
          <cell r="G12">
            <v>346043.02</v>
          </cell>
        </row>
        <row r="13">
          <cell r="A13" t="str">
            <v>101060200</v>
          </cell>
          <cell r="B13" t="str">
            <v>INVENTARIOS MEDICAL</v>
          </cell>
          <cell r="C13" t="str">
            <v>4</v>
          </cell>
          <cell r="D13">
            <v>178240.98</v>
          </cell>
          <cell r="E13" t="str">
            <v>D</v>
          </cell>
          <cell r="F13">
            <v>178240.98</v>
          </cell>
          <cell r="G13">
            <v>178240.98</v>
          </cell>
        </row>
        <row r="14">
          <cell r="A14" t="str">
            <v>101060300</v>
          </cell>
          <cell r="B14" t="str">
            <v>INVENTARIOS TESA</v>
          </cell>
          <cell r="C14" t="str">
            <v>4</v>
          </cell>
          <cell r="D14">
            <v>114999.54</v>
          </cell>
          <cell r="E14" t="str">
            <v>D</v>
          </cell>
          <cell r="F14">
            <v>114999.54</v>
          </cell>
          <cell r="G14">
            <v>114999.54</v>
          </cell>
        </row>
        <row r="15">
          <cell r="A15" t="str">
            <v>101060400</v>
          </cell>
          <cell r="B15" t="str">
            <v>PRODUCTOS PARA PROMOCIONES</v>
          </cell>
          <cell r="C15" t="str">
            <v>4</v>
          </cell>
          <cell r="D15">
            <v>86.26</v>
          </cell>
          <cell r="E15" t="str">
            <v>D</v>
          </cell>
          <cell r="F15">
            <v>86.26</v>
          </cell>
          <cell r="G15">
            <v>86.26</v>
          </cell>
        </row>
        <row r="16">
          <cell r="A16" t="str">
            <v>101060500</v>
          </cell>
          <cell r="B16" t="str">
            <v>PROVISION INVENTARIOS</v>
          </cell>
          <cell r="C16" t="str">
            <v>4</v>
          </cell>
          <cell r="D16">
            <v>-35304.26</v>
          </cell>
          <cell r="E16" t="str">
            <v>D</v>
          </cell>
          <cell r="F16">
            <v>-35304.26</v>
          </cell>
          <cell r="G16">
            <v>-35304.26</v>
          </cell>
        </row>
        <row r="17">
          <cell r="A17" t="str">
            <v>101070100</v>
          </cell>
          <cell r="B17" t="str">
            <v>FACTURAS TRANSITO</v>
          </cell>
          <cell r="C17" t="str">
            <v>4</v>
          </cell>
          <cell r="D17">
            <v>267838.57059999998</v>
          </cell>
          <cell r="E17" t="str">
            <v>D</v>
          </cell>
          <cell r="F17">
            <v>267838.57059999998</v>
          </cell>
          <cell r="G17">
            <v>267838.57059999998</v>
          </cell>
        </row>
        <row r="18">
          <cell r="A18" t="str">
            <v>101070200</v>
          </cell>
          <cell r="B18" t="str">
            <v>GASTOS DE IMPORTACION</v>
          </cell>
          <cell r="C18" t="str">
            <v>4</v>
          </cell>
          <cell r="D18">
            <v>122766.6</v>
          </cell>
          <cell r="E18" t="str">
            <v>D</v>
          </cell>
          <cell r="F18">
            <v>122766.6</v>
          </cell>
          <cell r="G18">
            <v>122766.6</v>
          </cell>
        </row>
        <row r="19">
          <cell r="A19" t="str">
            <v>102010100</v>
          </cell>
          <cell r="B19" t="str">
            <v>PROPIEDAD PLANTA Y EQUIPO</v>
          </cell>
          <cell r="C19" t="str">
            <v>4</v>
          </cell>
          <cell r="D19">
            <v>811824.31</v>
          </cell>
          <cell r="E19" t="str">
            <v>D</v>
          </cell>
          <cell r="F19">
            <v>811824.31</v>
          </cell>
          <cell r="G19">
            <v>811824.31</v>
          </cell>
        </row>
        <row r="20">
          <cell r="A20" t="str">
            <v>102010200</v>
          </cell>
          <cell r="B20" t="str">
            <v>REVALORIZACION ACTIVOS FIJOS</v>
          </cell>
          <cell r="C20" t="str">
            <v>4</v>
          </cell>
          <cell r="D20">
            <v>111304.28</v>
          </cell>
          <cell r="E20" t="str">
            <v>D</v>
          </cell>
          <cell r="F20">
            <v>111304.28</v>
          </cell>
          <cell r="G20">
            <v>111304.28</v>
          </cell>
        </row>
        <row r="21">
          <cell r="A21" t="str">
            <v>102010300</v>
          </cell>
          <cell r="B21" t="str">
            <v>DEPRECIACION ACUMULADA ACTIVOS FIJOS</v>
          </cell>
          <cell r="C21" t="str">
            <v>4</v>
          </cell>
          <cell r="D21">
            <v>-49461.69</v>
          </cell>
          <cell r="E21" t="str">
            <v>D</v>
          </cell>
          <cell r="F21">
            <v>-49461.69</v>
          </cell>
          <cell r="G21">
            <v>-49461.69</v>
          </cell>
        </row>
        <row r="22">
          <cell r="A22" t="str">
            <v>102010400</v>
          </cell>
          <cell r="B22" t="str">
            <v>DEP. ACUM. POR REVALORIAZCION</v>
          </cell>
          <cell r="C22" t="str">
            <v>4</v>
          </cell>
          <cell r="D22">
            <v>-80392.77</v>
          </cell>
          <cell r="E22" t="str">
            <v>D</v>
          </cell>
          <cell r="F22">
            <v>-80392.77</v>
          </cell>
          <cell r="G22">
            <v>-80392.77</v>
          </cell>
        </row>
        <row r="23">
          <cell r="A23" t="str">
            <v>103010100</v>
          </cell>
          <cell r="B23" t="str">
            <v>GASTOS ANTICIPADOS</v>
          </cell>
          <cell r="C23" t="str">
            <v>4</v>
          </cell>
          <cell r="D23">
            <v>4347.37</v>
          </cell>
          <cell r="E23" t="str">
            <v>D</v>
          </cell>
          <cell r="F23">
            <v>4347.37</v>
          </cell>
          <cell r="G23">
            <v>4347.37</v>
          </cell>
        </row>
        <row r="24">
          <cell r="A24" t="str">
            <v>103010200</v>
          </cell>
          <cell r="B24" t="str">
            <v>SEGUROS PAGADOS POR ANTICIPADO</v>
          </cell>
          <cell r="C24" t="str">
            <v>4</v>
          </cell>
          <cell r="D24">
            <v>200.43</v>
          </cell>
          <cell r="E24" t="str">
            <v>D</v>
          </cell>
          <cell r="F24">
            <v>200.43</v>
          </cell>
          <cell r="G24">
            <v>200.43</v>
          </cell>
        </row>
        <row r="25">
          <cell r="A25" t="str">
            <v>103020100</v>
          </cell>
          <cell r="B25" t="str">
            <v>DIFERIDOS DE MARKETING</v>
          </cell>
          <cell r="C25" t="str">
            <v>4</v>
          </cell>
          <cell r="D25">
            <v>47248.27</v>
          </cell>
          <cell r="E25" t="str">
            <v>D</v>
          </cell>
          <cell r="F25">
            <v>47248.27</v>
          </cell>
          <cell r="G25">
            <v>47248.27</v>
          </cell>
        </row>
        <row r="26">
          <cell r="A26" t="str">
            <v>103020200</v>
          </cell>
          <cell r="B26" t="str">
            <v>ACTIVOS Y GASTOS DIFERIDOS</v>
          </cell>
          <cell r="C26" t="str">
            <v>4</v>
          </cell>
          <cell r="D26">
            <v>-0.01</v>
          </cell>
          <cell r="E26" t="str">
            <v>D</v>
          </cell>
          <cell r="F26">
            <v>-0.01</v>
          </cell>
          <cell r="G26">
            <v>-0.01</v>
          </cell>
        </row>
        <row r="27">
          <cell r="A27" t="str">
            <v>201010100</v>
          </cell>
          <cell r="B27" t="str">
            <v>SOBREGIROS OCASIONALES</v>
          </cell>
          <cell r="C27" t="str">
            <v>4</v>
          </cell>
          <cell r="D27">
            <v>122842.6</v>
          </cell>
          <cell r="E27" t="str">
            <v>C</v>
          </cell>
          <cell r="F27">
            <v>-122842.6</v>
          </cell>
          <cell r="G27">
            <v>-122842.6</v>
          </cell>
        </row>
        <row r="28">
          <cell r="A28" t="str">
            <v>201010200</v>
          </cell>
          <cell r="B28" t="str">
            <v>PRESTAMOS BANCARIOS</v>
          </cell>
          <cell r="C28" t="str">
            <v>4</v>
          </cell>
          <cell r="D28">
            <v>599614.92000000004</v>
          </cell>
          <cell r="E28" t="str">
            <v>C</v>
          </cell>
          <cell r="F28">
            <v>-599614.92000000004</v>
          </cell>
          <cell r="G28">
            <v>-599614.92000000004</v>
          </cell>
        </row>
        <row r="29">
          <cell r="A29" t="str">
            <v>201010300</v>
          </cell>
          <cell r="B29" t="str">
            <v>PRESTAMOS CIAS RELACIONADAS</v>
          </cell>
          <cell r="C29" t="str">
            <v>4</v>
          </cell>
          <cell r="D29">
            <v>810822.7</v>
          </cell>
          <cell r="E29" t="str">
            <v>C</v>
          </cell>
          <cell r="F29">
            <v>-810822.7</v>
          </cell>
          <cell r="G29">
            <v>-810822.7</v>
          </cell>
        </row>
        <row r="30">
          <cell r="A30" t="str">
            <v>201020100</v>
          </cell>
          <cell r="B30" t="str">
            <v>PROVEEDORES CIAS. RELACIONADAS COSMED</v>
          </cell>
          <cell r="C30" t="str">
            <v>4</v>
          </cell>
          <cell r="D30">
            <v>628745.34259999997</v>
          </cell>
          <cell r="E30" t="str">
            <v>C</v>
          </cell>
          <cell r="F30">
            <v>-628745.34259999997</v>
          </cell>
          <cell r="G30">
            <v>-628745.34259999997</v>
          </cell>
        </row>
        <row r="31">
          <cell r="A31" t="str">
            <v>201020200</v>
          </cell>
          <cell r="B31" t="str">
            <v>PROVEEDORES CIAS. RELACIONADAS MEDICAL</v>
          </cell>
          <cell r="C31" t="str">
            <v>4</v>
          </cell>
          <cell r="D31">
            <v>158846.71</v>
          </cell>
          <cell r="E31" t="str">
            <v>C</v>
          </cell>
          <cell r="F31">
            <v>-158846.71</v>
          </cell>
          <cell r="G31">
            <v>-158846.71</v>
          </cell>
        </row>
        <row r="32">
          <cell r="A32" t="str">
            <v>201020300</v>
          </cell>
          <cell r="B32" t="str">
            <v>PROVEEDORES CIAS. RELACIONADAS TESA</v>
          </cell>
          <cell r="C32" t="str">
            <v>4</v>
          </cell>
          <cell r="D32">
            <v>37816.33</v>
          </cell>
          <cell r="E32" t="str">
            <v>C</v>
          </cell>
          <cell r="F32">
            <v>-37816.33</v>
          </cell>
          <cell r="G32">
            <v>-37816.33</v>
          </cell>
        </row>
        <row r="33">
          <cell r="A33" t="str">
            <v>201030100</v>
          </cell>
          <cell r="B33" t="str">
            <v>PROVEEDORES TERCEROS COSMED</v>
          </cell>
          <cell r="C33" t="str">
            <v>4</v>
          </cell>
          <cell r="D33">
            <v>47074.438000000002</v>
          </cell>
          <cell r="E33" t="str">
            <v>C</v>
          </cell>
          <cell r="F33">
            <v>-47074.438000000002</v>
          </cell>
          <cell r="G33">
            <v>-47074.438000000002</v>
          </cell>
        </row>
        <row r="34">
          <cell r="A34" t="str">
            <v>201030200</v>
          </cell>
          <cell r="B34" t="str">
            <v>PROVEEDORES TERCEROS MEDICAL</v>
          </cell>
          <cell r="C34" t="str">
            <v>4</v>
          </cell>
          <cell r="D34">
            <v>34074.959999999999</v>
          </cell>
          <cell r="E34" t="str">
            <v>C</v>
          </cell>
          <cell r="F34">
            <v>-34074.959999999999</v>
          </cell>
          <cell r="G34">
            <v>-34074.959999999999</v>
          </cell>
        </row>
        <row r="35">
          <cell r="A35" t="str">
            <v>201030300</v>
          </cell>
          <cell r="B35" t="str">
            <v>PROVEEDORES TERCEROS TESA</v>
          </cell>
          <cell r="C35" t="str">
            <v>4</v>
          </cell>
          <cell r="D35">
            <v>153.79</v>
          </cell>
          <cell r="E35" t="str">
            <v>C</v>
          </cell>
          <cell r="F35">
            <v>-153.79</v>
          </cell>
          <cell r="G35">
            <v>-153.79</v>
          </cell>
        </row>
        <row r="36">
          <cell r="A36" t="str">
            <v>201040100</v>
          </cell>
          <cell r="B36" t="str">
            <v>PROVEEDORES LOCALES</v>
          </cell>
          <cell r="C36" t="str">
            <v>4</v>
          </cell>
          <cell r="D36">
            <v>808337.53</v>
          </cell>
          <cell r="E36" t="str">
            <v>C</v>
          </cell>
          <cell r="F36">
            <v>-808337.53</v>
          </cell>
          <cell r="G36">
            <v>-808337.53</v>
          </cell>
        </row>
        <row r="37">
          <cell r="A37" t="str">
            <v>201040200</v>
          </cell>
          <cell r="B37" t="str">
            <v>CUENTAS POR PAGAR NOMINA</v>
          </cell>
          <cell r="C37" t="str">
            <v>4</v>
          </cell>
          <cell r="D37">
            <v>3947.54</v>
          </cell>
          <cell r="E37" t="str">
            <v>C</v>
          </cell>
          <cell r="F37">
            <v>-3947.54</v>
          </cell>
          <cell r="G37">
            <v>-3947.54</v>
          </cell>
        </row>
        <row r="38">
          <cell r="A38" t="str">
            <v>201040300</v>
          </cell>
          <cell r="B38" t="str">
            <v>OTRAS CUENTAS POR PAGAR</v>
          </cell>
          <cell r="C38" t="str">
            <v>4</v>
          </cell>
          <cell r="D38">
            <v>2695.14</v>
          </cell>
          <cell r="E38" t="str">
            <v>C</v>
          </cell>
          <cell r="F38">
            <v>-2695.14</v>
          </cell>
          <cell r="G38">
            <v>-2695.14</v>
          </cell>
        </row>
        <row r="39">
          <cell r="A39" t="str">
            <v>201050100</v>
          </cell>
          <cell r="B39" t="str">
            <v>IMPUESTO GENERADO</v>
          </cell>
          <cell r="C39" t="str">
            <v>4</v>
          </cell>
          <cell r="D39">
            <v>24266.43</v>
          </cell>
          <cell r="E39" t="str">
            <v>C</v>
          </cell>
          <cell r="F39">
            <v>-24266.43</v>
          </cell>
          <cell r="G39">
            <v>-24266.43</v>
          </cell>
        </row>
        <row r="40">
          <cell r="A40" t="str">
            <v>201050200</v>
          </cell>
          <cell r="B40" t="str">
            <v>RETENCIONES EN LA FUENTE</v>
          </cell>
          <cell r="C40" t="str">
            <v>4</v>
          </cell>
          <cell r="D40">
            <v>7141.72</v>
          </cell>
          <cell r="E40" t="str">
            <v>C</v>
          </cell>
          <cell r="F40">
            <v>-7141.72</v>
          </cell>
          <cell r="G40">
            <v>-7141.72</v>
          </cell>
        </row>
        <row r="41">
          <cell r="A41" t="str">
            <v>201050300</v>
          </cell>
          <cell r="B41" t="str">
            <v>RETENCIONES IVA</v>
          </cell>
          <cell r="C41" t="str">
            <v>4</v>
          </cell>
          <cell r="D41">
            <v>9889.4740000000002</v>
          </cell>
          <cell r="E41" t="str">
            <v>C</v>
          </cell>
          <cell r="F41">
            <v>-9889.4740000000002</v>
          </cell>
          <cell r="G41">
            <v>-9889.4740000000002</v>
          </cell>
        </row>
        <row r="42">
          <cell r="A42" t="str">
            <v>201060100</v>
          </cell>
          <cell r="B42" t="str">
            <v>PROVISIONES MARKETING</v>
          </cell>
          <cell r="C42" t="str">
            <v>4</v>
          </cell>
          <cell r="D42">
            <v>568.65</v>
          </cell>
          <cell r="E42" t="str">
            <v>C</v>
          </cell>
          <cell r="F42">
            <v>-568.65</v>
          </cell>
          <cell r="G42">
            <v>-568.65</v>
          </cell>
        </row>
        <row r="43">
          <cell r="A43" t="str">
            <v>201060200</v>
          </cell>
          <cell r="B43" t="str">
            <v>PROVISIONES PARA PAGOS LABORALES</v>
          </cell>
          <cell r="C43" t="str">
            <v>4</v>
          </cell>
          <cell r="D43">
            <v>68680.45</v>
          </cell>
          <cell r="E43" t="str">
            <v>C</v>
          </cell>
          <cell r="F43">
            <v>-68680.45</v>
          </cell>
          <cell r="G43">
            <v>-68680.45</v>
          </cell>
        </row>
        <row r="44">
          <cell r="A44" t="str">
            <v>201060300</v>
          </cell>
          <cell r="B44" t="str">
            <v>PROVISIONES PARA OBLIGACIONES FISCALES</v>
          </cell>
          <cell r="C44" t="str">
            <v>4</v>
          </cell>
          <cell r="D44">
            <v>91082.74</v>
          </cell>
          <cell r="E44" t="str">
            <v>C</v>
          </cell>
          <cell r="F44">
            <v>-91082.74</v>
          </cell>
          <cell r="G44">
            <v>-91082.74</v>
          </cell>
        </row>
        <row r="45">
          <cell r="A45" t="str">
            <v>301010100</v>
          </cell>
          <cell r="B45" t="str">
            <v>CAPITAL SOCIAL</v>
          </cell>
          <cell r="C45" t="str">
            <v>4</v>
          </cell>
          <cell r="D45">
            <v>31424</v>
          </cell>
          <cell r="E45" t="str">
            <v>C</v>
          </cell>
          <cell r="F45">
            <v>-424640</v>
          </cell>
          <cell r="G45">
            <v>-424640</v>
          </cell>
        </row>
        <row r="46">
          <cell r="A46" t="str">
            <v>301010200</v>
          </cell>
          <cell r="B46" t="str">
            <v>RESERVAS</v>
          </cell>
          <cell r="C46" t="str">
            <v>4</v>
          </cell>
          <cell r="D46">
            <v>342021.54</v>
          </cell>
          <cell r="E46" t="str">
            <v>C</v>
          </cell>
          <cell r="F46">
            <v>-342021.54</v>
          </cell>
          <cell r="G46">
            <v>-342021.54</v>
          </cell>
        </row>
        <row r="47">
          <cell r="A47" t="str">
            <v>301010300</v>
          </cell>
          <cell r="B47" t="str">
            <v>REEXPRESION MONETARIA</v>
          </cell>
          <cell r="C47" t="str">
            <v>4</v>
          </cell>
          <cell r="D47">
            <v>-175239.93</v>
          </cell>
          <cell r="E47" t="str">
            <v>C</v>
          </cell>
          <cell r="F47">
            <v>175239.93</v>
          </cell>
          <cell r="G47">
            <v>175239.93</v>
          </cell>
        </row>
        <row r="48">
          <cell r="A48" t="str">
            <v>301010400</v>
          </cell>
          <cell r="B48" t="str">
            <v>UTILIDADES RETENIDAS</v>
          </cell>
          <cell r="C48" t="str">
            <v>4</v>
          </cell>
          <cell r="D48">
            <v>41579</v>
          </cell>
          <cell r="E48" t="str">
            <v>C</v>
          </cell>
          <cell r="F48">
            <v>-41579</v>
          </cell>
          <cell r="G48">
            <v>-41579</v>
          </cell>
        </row>
        <row r="49">
          <cell r="A49" t="str">
            <v>301010500</v>
          </cell>
          <cell r="B49" t="str">
            <v>UTILIDADES DEL EJERCICIO</v>
          </cell>
          <cell r="C49" t="str">
            <v>4</v>
          </cell>
          <cell r="D49">
            <v>255581.9798</v>
          </cell>
          <cell r="E49" t="str">
            <v>C</v>
          </cell>
          <cell r="F49">
            <v>-255581.9798</v>
          </cell>
          <cell r="G49">
            <v>-255581.9798</v>
          </cell>
        </row>
        <row r="50">
          <cell r="A50" t="str">
            <v>301010500</v>
          </cell>
          <cell r="B50" t="str">
            <v>UTILIDADES DEL EJERCICIO</v>
          </cell>
          <cell r="C50" t="str">
            <v>4</v>
          </cell>
          <cell r="D50">
            <v>238973.8198</v>
          </cell>
          <cell r="E50" t="str">
            <v>C</v>
          </cell>
          <cell r="F50">
            <v>-238973.8198</v>
          </cell>
          <cell r="G50">
            <v>-238973.8198</v>
          </cell>
        </row>
        <row r="51">
          <cell r="F51">
            <v>0</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do de Compañías"/>
      <sheetName val="Anexos EEFF"/>
      <sheetName val="Comentarios"/>
      <sheetName val="Balance Comp. (AS)"/>
      <sheetName val="E.E.F.F."/>
      <sheetName val="Revisión Analítica"/>
      <sheetName val="Cajas Chicas - Sueltos (MI)"/>
      <sheetName val="Concili. Bancarias (MI)"/>
      <sheetName val="Detalle Conc. Banc. (MI)"/>
      <sheetName val="Inversiones"/>
      <sheetName val="Cartera Cías. Relac. (PCH)"/>
      <sheetName val="Cartera (PCH)"/>
      <sheetName val="Prov. Incobra. (PCH)"/>
      <sheetName val="Prov. Pérdida de Inventario (AS"/>
      <sheetName val="Costo Amortizado NIIF (AS)"/>
      <sheetName val="Conceciones (AS)"/>
      <sheetName val="Otras Cuentas por Cobrar (PT)"/>
      <sheetName val="Servicios Pag. x Adelan (AS)"/>
      <sheetName val="Amortizaciones (AS)"/>
      <sheetName val="Arriendos Pag. x Adelan (AS)"/>
      <sheetName val="Licencias Pag. x Adelan (AS)"/>
      <sheetName val="Detalle Inv. Valorado"/>
      <sheetName val="Mov. Inv. (YA)"/>
      <sheetName val="Detalle Compras Inven. (YA)"/>
      <sheetName val="Inv. Tránsit. (YA)"/>
      <sheetName val="Prov. Obsolesc. (YA)"/>
      <sheetName val="Detalle Polizas Seguros (YA)"/>
      <sheetName val="1294.03 AMORTIZACIONES"/>
      <sheetName val="PPE (HR)"/>
      <sheetName val="Mov. PPE Costo (HR)"/>
      <sheetName val="Mov. PPE Deprec. (HR)"/>
      <sheetName val="Detalle compras PPE (HR)"/>
      <sheetName val="Bajas y ventas PPE (HR)"/>
      <sheetName val="Detalle Concesiones"/>
      <sheetName val="Inversiones en Acciones"/>
      <sheetName val="Mov. Inversiones Acciones"/>
      <sheetName val="Proveedores (PCH)"/>
      <sheetName val="Prestamos"/>
      <sheetName val="CxP Cías. Relacionadas (PCH)"/>
      <sheetName val="Provisiones (YA)"/>
      <sheetName val="Det de Oblig. Financieras (MI)"/>
      <sheetName val="Benefcios Sociales (PT)"/>
      <sheetName val="IVA (HR)"/>
      <sheetName val="Cruce IVA vs Libros (HR)"/>
      <sheetName val="Cruce Renta vs Libros (YA)"/>
      <sheetName val="Movimiento Patrimonio (AS)"/>
      <sheetName val="bc (AS)"/>
      <sheetName val="Anticipos ISD (PCH)"/>
      <sheetName val="n"/>
      <sheetName val="Transitoria Bancos (YA)"/>
      <sheetName val="DETALLE P.COMER-OBLIG (MI)"/>
    </sheetNames>
    <sheetDataSet>
      <sheetData sheetId="0"/>
      <sheetData sheetId="1">
        <row r="8">
          <cell r="H8" t="str">
            <v>Superdeporte S.A.</v>
          </cell>
        </row>
      </sheetData>
      <sheetData sheetId="2"/>
      <sheetData sheetId="3">
        <row r="146">
          <cell r="G146">
            <v>249208.24000000005</v>
          </cell>
        </row>
      </sheetData>
      <sheetData sheetId="4"/>
      <sheetData sheetId="5"/>
      <sheetData sheetId="6"/>
      <sheetData sheetId="7">
        <row r="3">
          <cell r="A3">
            <v>42613</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ow r="14">
          <cell r="K14">
            <v>60981288.149999999</v>
          </cell>
        </row>
      </sheetData>
      <sheetData sheetId="23"/>
      <sheetData sheetId="24"/>
      <sheetData sheetId="25"/>
      <sheetData sheetId="26"/>
      <sheetData sheetId="27"/>
      <sheetData sheetId="28">
        <row r="30">
          <cell r="B30" t="str">
            <v>1212,02</v>
          </cell>
        </row>
      </sheetData>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ead"/>
      <sheetName val="Links"/>
      <sheetName val="XREF"/>
      <sheetName val="Tickmarks"/>
    </sheetNames>
    <sheetDataSet>
      <sheetData sheetId="0">
        <row r="2">
          <cell r="F2" t="str">
            <v>Preliminar</v>
          </cell>
          <cell r="I2" t="str">
            <v>Saldos Ajustados</v>
          </cell>
        </row>
        <row r="4">
          <cell r="I4">
            <v>0</v>
          </cell>
        </row>
        <row r="6">
          <cell r="I6">
            <v>0</v>
          </cell>
        </row>
        <row r="8">
          <cell r="I8">
            <v>0</v>
          </cell>
        </row>
        <row r="10">
          <cell r="I10">
            <v>0</v>
          </cell>
        </row>
        <row r="12">
          <cell r="I12">
            <v>0</v>
          </cell>
        </row>
        <row r="14">
          <cell r="I14">
            <v>467</v>
          </cell>
        </row>
        <row r="15">
          <cell r="I15">
            <v>119540</v>
          </cell>
        </row>
        <row r="16">
          <cell r="I16">
            <v>172</v>
          </cell>
        </row>
        <row r="17">
          <cell r="I17">
            <v>462</v>
          </cell>
        </row>
        <row r="18">
          <cell r="I18">
            <v>120641</v>
          </cell>
        </row>
        <row r="20">
          <cell r="I20">
            <v>5000</v>
          </cell>
        </row>
        <row r="21">
          <cell r="I21">
            <v>45000</v>
          </cell>
        </row>
        <row r="22">
          <cell r="I22">
            <v>50000</v>
          </cell>
        </row>
        <row r="24">
          <cell r="I24">
            <v>369</v>
          </cell>
        </row>
        <row r="25">
          <cell r="I25">
            <v>369</v>
          </cell>
        </row>
        <row r="27">
          <cell r="I27">
            <v>0</v>
          </cell>
        </row>
        <row r="29">
          <cell r="I29">
            <v>0</v>
          </cell>
        </row>
        <row r="31">
          <cell r="I31">
            <v>1466</v>
          </cell>
        </row>
        <row r="32">
          <cell r="I32">
            <v>1466</v>
          </cell>
        </row>
        <row r="34">
          <cell r="I34">
            <v>0</v>
          </cell>
        </row>
        <row r="36">
          <cell r="I36">
            <v>87</v>
          </cell>
        </row>
        <row r="37">
          <cell r="I37">
            <v>1083</v>
          </cell>
        </row>
        <row r="38">
          <cell r="I38">
            <v>1320</v>
          </cell>
        </row>
        <row r="39">
          <cell r="I39">
            <v>2867</v>
          </cell>
        </row>
        <row r="40">
          <cell r="I40">
            <v>5357</v>
          </cell>
        </row>
        <row r="42">
          <cell r="I42">
            <v>2948</v>
          </cell>
        </row>
        <row r="43">
          <cell r="I43">
            <v>2948</v>
          </cell>
        </row>
      </sheetData>
      <sheetData sheetId="1">
        <row r="1">
          <cell r="F1" t="str">
            <v>Preliminar</v>
          </cell>
          <cell r="G1" t="str">
            <v>AJE</v>
          </cell>
          <cell r="I1" t="str">
            <v>RJE</v>
          </cell>
          <cell r="J1" t="str">
            <v>31-Dic-03</v>
          </cell>
          <cell r="K1" t="str">
            <v>31-dic-02</v>
          </cell>
        </row>
        <row r="3">
          <cell r="F3">
            <v>0</v>
          </cell>
          <cell r="G3">
            <v>0</v>
          </cell>
          <cell r="I3">
            <v>0</v>
          </cell>
          <cell r="J3">
            <v>0</v>
          </cell>
          <cell r="K3">
            <v>0</v>
          </cell>
        </row>
        <row r="5">
          <cell r="F5">
            <v>0</v>
          </cell>
          <cell r="G5">
            <v>0</v>
          </cell>
          <cell r="I5">
            <v>0</v>
          </cell>
          <cell r="J5">
            <v>0</v>
          </cell>
          <cell r="K5">
            <v>0</v>
          </cell>
        </row>
        <row r="7">
          <cell r="F7">
            <v>0</v>
          </cell>
          <cell r="G7">
            <v>0</v>
          </cell>
          <cell r="I7">
            <v>0</v>
          </cell>
          <cell r="J7">
            <v>0</v>
          </cell>
          <cell r="K7">
            <v>0</v>
          </cell>
        </row>
        <row r="9">
          <cell r="F9">
            <v>0</v>
          </cell>
          <cell r="G9">
            <v>0</v>
          </cell>
          <cell r="I9">
            <v>0</v>
          </cell>
          <cell r="J9">
            <v>0</v>
          </cell>
          <cell r="K9">
            <v>0</v>
          </cell>
        </row>
        <row r="11">
          <cell r="F11">
            <v>0</v>
          </cell>
          <cell r="G11">
            <v>0</v>
          </cell>
          <cell r="I11">
            <v>0</v>
          </cell>
          <cell r="J11">
            <v>0</v>
          </cell>
          <cell r="K11">
            <v>0</v>
          </cell>
        </row>
        <row r="13">
          <cell r="F13">
            <v>467</v>
          </cell>
          <cell r="G13">
            <v>0</v>
          </cell>
          <cell r="I13">
            <v>0</v>
          </cell>
          <cell r="J13">
            <v>467</v>
          </cell>
          <cell r="K13">
            <v>0</v>
          </cell>
        </row>
        <row r="14">
          <cell r="F14">
            <v>119540</v>
          </cell>
          <cell r="G14">
            <v>0</v>
          </cell>
          <cell r="I14">
            <v>0</v>
          </cell>
          <cell r="J14">
            <v>119540</v>
          </cell>
          <cell r="K14">
            <v>0</v>
          </cell>
        </row>
        <row r="15">
          <cell r="F15">
            <v>172</v>
          </cell>
          <cell r="G15">
            <v>0</v>
          </cell>
          <cell r="I15">
            <v>0</v>
          </cell>
          <cell r="J15">
            <v>172</v>
          </cell>
          <cell r="K15">
            <v>0</v>
          </cell>
        </row>
        <row r="16">
          <cell r="F16">
            <v>462</v>
          </cell>
          <cell r="G16">
            <v>0</v>
          </cell>
          <cell r="I16">
            <v>0</v>
          </cell>
          <cell r="J16">
            <v>462</v>
          </cell>
          <cell r="K16">
            <v>0</v>
          </cell>
        </row>
        <row r="17">
          <cell r="F17">
            <v>120641</v>
          </cell>
          <cell r="G17">
            <v>0</v>
          </cell>
          <cell r="I17">
            <v>0</v>
          </cell>
          <cell r="J17">
            <v>120641</v>
          </cell>
          <cell r="K17">
            <v>0</v>
          </cell>
        </row>
        <row r="19">
          <cell r="F19">
            <v>5000</v>
          </cell>
          <cell r="G19">
            <v>0</v>
          </cell>
          <cell r="I19">
            <v>0</v>
          </cell>
          <cell r="J19">
            <v>5000</v>
          </cell>
          <cell r="K19">
            <v>0</v>
          </cell>
        </row>
        <row r="20">
          <cell r="F20">
            <v>45000</v>
          </cell>
          <cell r="G20">
            <v>0</v>
          </cell>
          <cell r="I20">
            <v>0</v>
          </cell>
          <cell r="J20">
            <v>45000</v>
          </cell>
          <cell r="K20">
            <v>0</v>
          </cell>
        </row>
        <row r="21">
          <cell r="F21">
            <v>50000</v>
          </cell>
          <cell r="G21">
            <v>0</v>
          </cell>
          <cell r="I21">
            <v>0</v>
          </cell>
          <cell r="J21">
            <v>50000</v>
          </cell>
          <cell r="K21">
            <v>0</v>
          </cell>
        </row>
        <row r="23">
          <cell r="F23">
            <v>369</v>
          </cell>
          <cell r="G23">
            <v>0</v>
          </cell>
          <cell r="I23">
            <v>0</v>
          </cell>
          <cell r="J23">
            <v>369</v>
          </cell>
          <cell r="K23">
            <v>0</v>
          </cell>
        </row>
        <row r="24">
          <cell r="F24">
            <v>369</v>
          </cell>
          <cell r="G24">
            <v>0</v>
          </cell>
          <cell r="I24">
            <v>0</v>
          </cell>
          <cell r="J24">
            <v>369</v>
          </cell>
          <cell r="K24">
            <v>0</v>
          </cell>
        </row>
        <row r="26">
          <cell r="F26">
            <v>0</v>
          </cell>
          <cell r="G26">
            <v>0</v>
          </cell>
          <cell r="I26">
            <v>0</v>
          </cell>
          <cell r="J26">
            <v>0</v>
          </cell>
          <cell r="K26">
            <v>0</v>
          </cell>
        </row>
        <row r="28">
          <cell r="F28">
            <v>0</v>
          </cell>
          <cell r="G28">
            <v>0</v>
          </cell>
          <cell r="I28">
            <v>0</v>
          </cell>
          <cell r="J28">
            <v>0</v>
          </cell>
          <cell r="K28">
            <v>0</v>
          </cell>
        </row>
        <row r="30">
          <cell r="F30">
            <v>1466</v>
          </cell>
          <cell r="G30">
            <v>0</v>
          </cell>
          <cell r="I30">
            <v>0</v>
          </cell>
          <cell r="J30">
            <v>1466</v>
          </cell>
          <cell r="K30">
            <v>0</v>
          </cell>
        </row>
        <row r="31">
          <cell r="F31">
            <v>1466</v>
          </cell>
          <cell r="G31">
            <v>0</v>
          </cell>
          <cell r="I31">
            <v>0</v>
          </cell>
          <cell r="J31">
            <v>1466</v>
          </cell>
          <cell r="K31">
            <v>0</v>
          </cell>
        </row>
        <row r="33">
          <cell r="F33">
            <v>0</v>
          </cell>
          <cell r="G33">
            <v>0</v>
          </cell>
          <cell r="I33">
            <v>0</v>
          </cell>
          <cell r="J33">
            <v>0</v>
          </cell>
          <cell r="K33">
            <v>0</v>
          </cell>
        </row>
        <row r="35">
          <cell r="F35">
            <v>87</v>
          </cell>
          <cell r="G35">
            <v>0</v>
          </cell>
          <cell r="I35">
            <v>0</v>
          </cell>
          <cell r="J35">
            <v>87</v>
          </cell>
          <cell r="K35">
            <v>0</v>
          </cell>
        </row>
        <row r="36">
          <cell r="F36">
            <v>1083</v>
          </cell>
          <cell r="G36">
            <v>0</v>
          </cell>
          <cell r="I36">
            <v>0</v>
          </cell>
          <cell r="J36">
            <v>1083</v>
          </cell>
          <cell r="K36">
            <v>0</v>
          </cell>
        </row>
        <row r="37">
          <cell r="F37">
            <v>1320</v>
          </cell>
          <cell r="G37">
            <v>0</v>
          </cell>
          <cell r="I37">
            <v>0</v>
          </cell>
          <cell r="J37">
            <v>1320</v>
          </cell>
          <cell r="K37">
            <v>0</v>
          </cell>
        </row>
        <row r="38">
          <cell r="F38">
            <v>2867</v>
          </cell>
          <cell r="G38">
            <v>0</v>
          </cell>
          <cell r="I38">
            <v>0</v>
          </cell>
          <cell r="J38">
            <v>2867</v>
          </cell>
          <cell r="K38">
            <v>0</v>
          </cell>
        </row>
        <row r="39">
          <cell r="F39">
            <v>5357</v>
          </cell>
          <cell r="G39">
            <v>0</v>
          </cell>
          <cell r="I39">
            <v>0</v>
          </cell>
          <cell r="J39">
            <v>5357</v>
          </cell>
          <cell r="K39">
            <v>0</v>
          </cell>
        </row>
        <row r="41">
          <cell r="F41">
            <v>2948</v>
          </cell>
          <cell r="G41">
            <v>0</v>
          </cell>
          <cell r="I41">
            <v>0</v>
          </cell>
          <cell r="J41">
            <v>2948</v>
          </cell>
          <cell r="K41">
            <v>0</v>
          </cell>
        </row>
        <row r="42">
          <cell r="F42">
            <v>2948</v>
          </cell>
          <cell r="G42">
            <v>0</v>
          </cell>
          <cell r="I42">
            <v>0</v>
          </cell>
          <cell r="J42">
            <v>2948</v>
          </cell>
          <cell r="K42">
            <v>0</v>
          </cell>
        </row>
        <row r="43">
          <cell r="F43">
            <v>180781</v>
          </cell>
          <cell r="G43">
            <v>0</v>
          </cell>
          <cell r="I43">
            <v>0</v>
          </cell>
          <cell r="J43">
            <v>180781</v>
          </cell>
          <cell r="K43">
            <v>0</v>
          </cell>
        </row>
      </sheetData>
      <sheetData sheetId="2" refreshError="1"/>
      <sheetData sheetId="3"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01"/>
      <sheetName val="A.02"/>
      <sheetName val="A_01"/>
    </sheetNames>
    <sheetDataSet>
      <sheetData sheetId="0">
        <row r="50">
          <cell r="K50" t="str">
            <v>Carta a la Gerencia</v>
          </cell>
        </row>
        <row r="51">
          <cell r="K51" t="str">
            <v>Opinión de Auditoría</v>
          </cell>
        </row>
        <row r="52">
          <cell r="K52" t="str">
            <v>Carta a la Gerencia y Opinión de Auditoría</v>
          </cell>
        </row>
        <row r="53">
          <cell r="K53" t="str">
            <v>No Aplica</v>
          </cell>
        </row>
      </sheetData>
      <sheetData sheetId="1" refreshError="1"/>
      <sheetData sheetId="2"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uidance"/>
      <sheetName val="Overview"/>
      <sheetName val="SA Procedures"/>
      <sheetName val="Expectation"/>
      <sheetName val="Explanation"/>
      <sheetName val="Threshold Table"/>
      <sheetName val="Tickmarks"/>
      <sheetName val="Guía"/>
      <sheetName val="Provisiones"/>
      <sheetName val="Expectation Provisiones"/>
      <sheetName val="Beneficios Sociales"/>
      <sheetName val="Expectation Beneficios Sociales"/>
      <sheetName val="Sueldos"/>
      <sheetName val="Arriendo"/>
      <sheetName val="Expectation arriendo"/>
      <sheetName val="Expectation Sueldos"/>
      <sheetName val="XREF"/>
      <sheetName val="Explanation Sueldos"/>
      <sheetName val="Explanation Beeficios Sociales"/>
      <sheetName val="Prv. Beneficios Sociales"/>
      <sheetName val="Expectation Prov. Beneficios so"/>
      <sheetName val="Explanation Prov"/>
      <sheetName val="Cómputo"/>
      <sheetName val="#REF"/>
      <sheetName val="SA Procedures (2)"/>
      <sheetName val="Det. Rec. Prov. Locales {PPC}"/>
      <sheetName val="Guidance Perform SA Procedures"/>
      <sheetName val="Examples Develop An Expectation"/>
      <sheetName val="MetaData"/>
      <sheetName val="SA_Procedures"/>
      <sheetName val="Threshold_Table1"/>
      <sheetName val="Threshold_Table"/>
      <sheetName val="Hoja1"/>
      <sheetName val="Prb"/>
    </sheetNames>
    <sheetDataSet>
      <sheetData sheetId="0" refreshError="1"/>
      <sheetData sheetId="1" refreshError="1"/>
      <sheetData sheetId="2"/>
      <sheetData sheetId="3">
        <row r="2">
          <cell r="A2">
            <v>0.7</v>
          </cell>
        </row>
      </sheetData>
      <sheetData sheetId="4" refreshError="1"/>
      <sheetData sheetId="5" refreshError="1">
        <row r="2">
          <cell r="A2">
            <v>0.7</v>
          </cell>
        </row>
        <row r="3">
          <cell r="A3">
            <v>1.7</v>
          </cell>
        </row>
        <row r="4">
          <cell r="A4">
            <v>2</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sheetData sheetId="30">
        <row r="2">
          <cell r="A2">
            <v>0.7</v>
          </cell>
        </row>
      </sheetData>
      <sheetData sheetId="31"/>
      <sheetData sheetId="32">
        <row r="3">
          <cell r="A3" t="str">
            <v>Contratos de inversión</v>
          </cell>
        </row>
      </sheetData>
      <sheetData sheetId="33"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Reexp"/>
      <sheetName val="Amort.Costo+Reexp"/>
      <sheetName val="Cálculo Amort."/>
      <sheetName val="Cálculo Reexp.Costo"/>
      <sheetName val="Cálculo Reexp Amort."/>
      <sheetName val="Cálculo Amort. (fec.siemb.)"/>
      <sheetName val="Cálculo Reexp Amort. (fech.sie)"/>
      <sheetName val="Mov. Plant.Proceso"/>
      <sheetName val="CorrMonPlantProc"/>
      <sheetName val="selec.adic.plant.proc"/>
      <sheetName val="Anál.Ad.plant.proc."/>
      <sheetName val="Detalle de ptas.adquir."/>
      <sheetName val="distrib.ctos."/>
      <sheetName val="Tildes"/>
      <sheetName val="XREF"/>
      <sheetName val="Hoja2"/>
      <sheetName val="detalle M.O"/>
      <sheetName val="Costo_Reexp"/>
      <sheetName val="Nota"/>
      <sheetName val="Detalle"/>
      <sheetName val=" Costo"/>
      <sheetName val="Amortización"/>
      <sheetName val="MMA "/>
      <sheetName val="Tickmarks"/>
      <sheetName val="Mov.Costo"/>
      <sheetName val="Cál."/>
      <sheetName val="MMA"/>
      <sheetName val="APT Adics."/>
      <sheetName val="Límite"/>
      <sheetName val="Valuación"/>
      <sheetName val="Costo-Pivot"/>
      <sheetName val="Mov. Amort."/>
      <sheetName val="Cal.Amort."/>
      <sheetName val="Adiciones"/>
      <sheetName val="Costo"/>
      <sheetName val="Amort. Acumulada"/>
      <sheetName val="Cal. Amort."/>
      <sheetName val="Análisis"/>
      <sheetName val="Ventas"/>
      <sheetName val="Análisis de Adic."/>
      <sheetName val="Análisis Importaciones"/>
      <sheetName val="Calc. Límite"/>
      <sheetName val="Sheet1"/>
      <sheetName val="Récalculo Amortización"/>
      <sheetName val="Mov. Costo"/>
      <sheetName val="Mov. Amortiz"/>
      <sheetName val="Anál Adi"/>
      <sheetName val="Notas"/>
      <sheetName val="Anali. Adiciones"/>
      <sheetName val="Amort. Acumulada (2)"/>
      <sheetName val="#REF"/>
      <sheetName val="Links"/>
      <sheetName val="Lead"/>
      <sheetName val="Proveed. Loc."/>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heet1"/>
      <sheetName val="MMA"/>
      <sheetName val="seleccionados"/>
      <sheetName val="Cálculo Depreciación"/>
      <sheetName val="Movimiento Activo"/>
      <sheetName val="Tickmarks"/>
      <sheetName val="Movimiento costo"/>
      <sheetName val="Nota a los Estados Financieros"/>
      <sheetName val="Movimiento dep-costo"/>
      <sheetName val="Selección"/>
      <sheetName val="Adiciones"/>
      <sheetName val="Retiros"/>
      <sheetName val="XREF"/>
      <sheetName val="Nota"/>
      <sheetName val="Costo"/>
      <sheetName val="ECU12 (2)"/>
      <sheetName val="Dep."/>
      <sheetName val="Cálc. Global. Dep."/>
      <sheetName val="Cálculo Reexp. Costo"/>
      <sheetName val="Cálculo Reexp. Dep."/>
      <sheetName val="Reex."/>
      <sheetName val="Reex. Dep."/>
      <sheetName val="Mov. Activo Fijo"/>
      <sheetName val="Movimiento depreciación"/>
      <sheetName val="C Glob. Deprec. "/>
      <sheetName val="Límite"/>
      <sheetName val="T. Límite"/>
      <sheetName val="Selección Adiciones"/>
      <sheetName val="Selecciion Ajustes"/>
      <sheetName val="Ajustes"/>
      <sheetName val="Listado AF"/>
      <sheetName val="Nota AF FINAL"/>
      <sheetName val="Conciliación"/>
      <sheetName val="Costo Reexp."/>
      <sheetName val="Dep.Costo."/>
      <sheetName val="Dep.Costo. Rex"/>
      <sheetName val="Calc.Gasto Costo"/>
      <sheetName val="Calc.Gasto Costo Reexp."/>
      <sheetName val="Calc.Reexp. Costo"/>
      <sheetName val="Calc Reexp.Dep."/>
      <sheetName val="APT"/>
      <sheetName val="Bajas"/>
      <sheetName val="Listado PPC"/>
      <sheetName val="Corrección Monetaria"/>
      <sheetName val="Nota "/>
      <sheetName val="Af costo "/>
      <sheetName val="Af Deprec"/>
      <sheetName val="Cálculo Deprec"/>
      <sheetName val="Análisis adic."/>
      <sheetName val="Bajas AF "/>
      <sheetName val="Det. Cons. Curso"/>
      <sheetName val="Selecc const. curso"/>
      <sheetName val="Análisis CC"/>
      <sheetName val="Selección toma física"/>
      <sheetName val="Reexp. Costo"/>
      <sheetName val="Depreciación"/>
      <sheetName val="#REF"/>
      <sheetName val="Deprec."/>
      <sheetName val="Calc. glob. dep."/>
      <sheetName val="An.Adiciones"/>
      <sheetName val="An.Bajas"/>
      <sheetName val="Sheet3"/>
      <sheetName val="mov. def."/>
      <sheetName val="cal. global dep."/>
      <sheetName val="Hoja 1"/>
      <sheetName val="Sheet2"/>
      <sheetName val="Marcas Estándar"/>
      <sheetName val="Análisis de adiciones"/>
      <sheetName val="mov."/>
      <sheetName val="Mov. final"/>
      <sheetName val="Mov. depreciación"/>
      <sheetName val="Mov. preliminar"/>
      <sheetName val="Detalle bajas"/>
      <sheetName val="base act. fijos"/>
      <sheetName val="Mov. Costo {ppc}"/>
      <sheetName val="Mov. Dep. {ppc}"/>
      <sheetName val="Prueba S.I."/>
      <sheetName val="Cálculo global deprec."/>
      <sheetName val="Análisis Adiciones"/>
      <sheetName val="Ventas {ppc}"/>
      <sheetName val="AF Inmateriales"/>
      <sheetName val="A.F.Costo"/>
      <sheetName val="A.F.Deprec."/>
      <sheetName val="Recálculo Dep."/>
      <sheetName val="Ventas AF 9"/>
      <sheetName val="Análisis"/>
      <sheetName val="Dep.Acum."/>
      <sheetName val="C. Global Deprec."/>
      <sheetName val="Adiciones1"/>
      <sheetName val="Ventas y Retiros"/>
      <sheetName val="Listado (PPC)"/>
      <sheetName val="Totalmente Deprec."/>
      <sheetName val="Analisis Adiciones"/>
      <sheetName val="AF en Internacion temporal  PPC"/>
      <sheetName val="Nota E.F"/>
      <sheetName val="Mov.Costo"/>
      <sheetName val="Mov. Depreciacion"/>
      <sheetName val="Cálculo Global Dep."/>
      <sheetName val="An. Bajas"/>
      <sheetName val="Tíckmarks"/>
      <sheetName val="Nota EEFF"/>
      <sheetName val="Mov.Dep.Costo"/>
      <sheetName val="Calc.Gto.Dep."/>
      <sheetName val="Mov.Act.Fijo PPC"/>
      <sheetName val="Mov.Costo Reexp."/>
      <sheetName val="Mov.Dep.Costo."/>
      <sheetName val="Mov.Dep. Reex."/>
      <sheetName val="Calc.Gasto Dep "/>
      <sheetName val="Calc Reexp Costo"/>
      <sheetName val="Calc.Reexp. Dep"/>
      <sheetName val="Detalle de Adiciones"/>
      <sheetName val="Selección de adiciones"/>
      <sheetName val="Análisis de Bajas"/>
      <sheetName val="Selección de bajas"/>
      <sheetName val="AnálisisBajas"/>
      <sheetName val="Muebles"/>
      <sheetName val="Computadoras"/>
      <sheetName val="Vehículos"/>
      <sheetName val="Selec. Adic"/>
      <sheetName val="Anal. Adqu."/>
      <sheetName val="C.Glob.Deprec.Costo"/>
      <sheetName val="RM depreciación"/>
      <sheetName val="RM G. costo"/>
      <sheetName val="Cálculo Dep."/>
      <sheetName val="Detalle activos fijos"/>
      <sheetName val="Cal.Deprec."/>
      <sheetName val="Ventas"/>
      <sheetName val="Cal.Deprec. (Prel.)"/>
      <sheetName val="APT Adiciones"/>
      <sheetName val="Mov. Costo"/>
      <sheetName val="Mov. Deprec."/>
      <sheetName val="Calc.Global Deprec."/>
      <sheetName val="Calc Límite"/>
      <sheetName val="MMA S.I"/>
      <sheetName val="Adiciones (SI)"/>
      <sheetName val="Selecc. Sal"/>
      <sheetName val="Movi. Act."/>
      <sheetName val="MMA Adici."/>
      <sheetName val="Anál. Adiciones"/>
      <sheetName val="Listado A.F."/>
      <sheetName val="Movimi. Deprec."/>
      <sheetName val="Movim. Depre."/>
      <sheetName val="Calc. Glob. Depr."/>
      <sheetName val="Cálculo Global"/>
      <sheetName val="Listado"/>
      <sheetName val="Cálc. Global"/>
      <sheetName val="Conciliación "/>
      <sheetName val="NotaEF"/>
      <sheetName val="Dep.Costo"/>
      <sheetName val="Calc.global deprec"/>
      <sheetName val="Limite"/>
      <sheetName val="MMA Adiciones"/>
      <sheetName val="Tildes"/>
      <sheetName val="Notas"/>
      <sheetName val="Mov. Deprec"/>
      <sheetName val="Listado vs. libros"/>
      <sheetName val="Cálculo Dep Final"/>
      <sheetName val="Venta A.F."/>
      <sheetName val="Adiciiones"/>
      <sheetName val="Cálculo Dep preliminar"/>
      <sheetName val="Importaciones en Trans."/>
      <sheetName val="Adic. Prel"/>
      <sheetName val="Cálculo Dep "/>
      <sheetName val="Cálculo Dep (F)"/>
      <sheetName val="MMA  (F)"/>
      <sheetName val="Adic. (F)"/>
      <sheetName val="Cál. Dep."/>
      <sheetName val="MMA "/>
      <sheetName val="Toma física Quito"/>
      <sheetName val="List 31-Dic-06"/>
      <sheetName val="Adiciones Activo Fijo"/>
      <sheetName val="Calc.Depr"/>
      <sheetName val="Ventas-Bajas"/>
      <sheetName val="MMA Adics."/>
      <sheetName val="MMAToma Física"/>
      <sheetName val="Cálculo del límite"/>
      <sheetName val="Límites"/>
      <sheetName val="Calc.Depr (fin)"/>
      <sheetName val="Detalle Eq. En tráns"/>
      <sheetName val="Detalle Eq. En tránsito"/>
      <sheetName val="Mayor"/>
      <sheetName val="Calc.Depr."/>
      <sheetName val="Selecc Adic Prelim"/>
      <sheetName val="Toma física"/>
      <sheetName val="MMA Toma Física"/>
      <sheetName val="Mov.Dep."/>
      <sheetName val="C.G.Dep.Final"/>
      <sheetName val="Lím."/>
      <sheetName val="Cal.Lim."/>
      <sheetName val="MMA Ad.Prel."/>
      <sheetName val="Adic.Prel."/>
      <sheetName val="Sel.Sal."/>
      <sheetName val="MMA Adic.Final"/>
      <sheetName val="Adic.Final"/>
      <sheetName val="Nota a EEFF"/>
      <sheetName val="Depreciacion"/>
      <sheetName val="CGlobal Dep."/>
      <sheetName val="Bajas-ventas"/>
      <sheetName val=" Detalle Imp Tráns "/>
      <sheetName val="Selecc Adic "/>
      <sheetName val="MMA Adic final"/>
      <sheetName val="Detalle vtas. bajas"/>
      <sheetName val="Cálculo Global Final"/>
      <sheetName val="C. Global Deprec. PreL."/>
      <sheetName val="Detalle Eq. tránsito"/>
      <sheetName val="Listado Final (PPC)"/>
      <sheetName val="Listado Prel. (PPC)"/>
      <sheetName val="Totalmente deprec. final"/>
      <sheetName val="Ventas &amp; Bajas Final"/>
      <sheetName val="Movim. final"/>
      <sheetName val="Movim. pre"/>
      <sheetName val="Calc.Deprec.Act.Fijo"/>
      <sheetName val="Cálculo Amortiz."/>
      <sheetName val="Cálculo límites"/>
      <sheetName val="Parámetros"/>
      <sheetName val="Base Datos final"/>
      <sheetName val="Base de datos pre"/>
      <sheetName val="Adiciones Prel."/>
      <sheetName val="Depreciados (PPC)"/>
      <sheetName val="Costo PPC"/>
      <sheetName val="Depreciación PPC"/>
      <sheetName val="Resumen"/>
      <sheetName val="Gasto Final"/>
      <sheetName val="Retiros Final (PPC)"/>
      <sheetName val="Gasto Prel."/>
      <sheetName val="Retiros Prel. (PPC)"/>
      <sheetName val="Saldos iniciales"/>
      <sheetName val="Calc. Glo. Depre"/>
      <sheetName val="Cal. Glob. Depre"/>
      <sheetName val="Listados"/>
      <sheetName val="Nota AF"/>
      <sheetName val="Revisión Analítica"/>
      <sheetName val="Análisis Ad. Prelim."/>
      <sheetName val="VTA AF"/>
      <sheetName val="Listado A. Fijos"/>
      <sheetName val="Bajas AF"/>
      <sheetName val="LISTADO ACTIVOS"/>
      <sheetName val="DEPRECIADOS TOTALMENTE"/>
      <sheetName val="TRANSF. (-)"/>
      <sheetName val="TRANSF.(+)"/>
      <sheetName val="Totalmente deprec. FINAL 2002"/>
      <sheetName val="Listado FINAL (2002)"/>
      <sheetName val="Dep.Acum.Fin"/>
      <sheetName val="C. Global Deprec. Fin"/>
      <sheetName val="Conciliación-Fin"/>
      <sheetName val="Equipos en Tránsito"/>
      <sheetName val="MMA Eq.Trán"/>
      <sheetName val="Análisis Eq.Trán"/>
      <sheetName val="MMA adiciones Prel"/>
      <sheetName val="MMA adiciones Fin"/>
      <sheetName val="LISTADO ACTIVOS-Fin"/>
      <sheetName val="DEPRECIADOS TOTALMENTE-Fin"/>
      <sheetName val="TRANSF(+)"/>
      <sheetName val="Conciliación-Prel"/>
      <sheetName val="LISTADO ACTIVOS-Prel"/>
      <sheetName val="DEPRECIADOS TOTALMENTE-Prel"/>
      <sheetName val="TRANSF.(+)Pre"/>
      <sheetName val="Movimiento Deprec."/>
      <sheetName val="Recálc. Dep."/>
      <sheetName val="Cálc.Global Deprec."/>
      <sheetName val="Cálculo Global Dpreciación"/>
      <sheetName val="Adicio."/>
      <sheetName val="Lis."/>
      <sheetName val="Mov. Dep."/>
      <sheetName val="Adic."/>
      <sheetName val="List."/>
      <sheetName val="Mov. A.Fijo"/>
      <sheetName val="Mov. Dep.A.Fijp"/>
      <sheetName val="Detalle ventas-baja"/>
      <sheetName val="Análisis Vtas-Bajas"/>
      <sheetName val="Recálculo Depreciación"/>
      <sheetName val="Bajas Ventas"/>
      <sheetName val="Conciliación Prel."/>
      <sheetName val="C.G.Preliminar"/>
      <sheetName val="Bajas "/>
      <sheetName val="T. Depreciados"/>
      <sheetName val="Conciliación Final"/>
      <sheetName val="C. Global Deprec.Final"/>
      <sheetName val="Ventas (PPC)"/>
      <sheetName val="Depreciados (PPC)final"/>
      <sheetName val="Listado (PPC) Final"/>
      <sheetName val="Activos nuevos final"/>
      <sheetName val="AF Costo"/>
      <sheetName val="Bajas y Ventas AF"/>
      <sheetName val="Cálc.Global (Prel)"/>
      <sheetName val="Cruce Listados-Libros"/>
      <sheetName val="Detalle"/>
      <sheetName val="Mov. AF. (P)"/>
      <sheetName val="Mov. Cons. en Curso. (P)"/>
      <sheetName val="Mov. Deprec. (P)"/>
      <sheetName val="Cálc.Global Dep. (P)"/>
      <sheetName val="Bajas y Vtas. AF (P)"/>
      <sheetName val="Depreciaciones"/>
      <sheetName val="Costo AF"/>
      <sheetName val="Depreciación AF"/>
      <sheetName val="Cálculo Gasto Depreciación"/>
      <sheetName val="MMA Final"/>
      <sheetName val="Ventas y Bajas"/>
      <sheetName val="Listado AF final"/>
      <sheetName val="Listado AF Preliminar"/>
      <sheetName val="Calc.global deprec Final"/>
      <sheetName val="MMA Adiciones Final"/>
      <sheetName val="Compras Locales"/>
      <sheetName val="Importaciones"/>
      <sheetName val="Ventas Prel."/>
      <sheetName val="Calc.Global Gs. Dep."/>
      <sheetName val="Analisis C. Locales"/>
      <sheetName val="Nota EE.FF"/>
      <sheetName val="Cálculo depr."/>
      <sheetName val="Cálculo.global"/>
      <sheetName val="Terreno"/>
      <sheetName val="MyE"/>
      <sheetName val="Edificios-instal"/>
      <sheetName val="Maq"/>
      <sheetName val="Eqind"/>
      <sheetName val="Veh"/>
      <sheetName val="Eqoficina"/>
      <sheetName val="Calc.Dep"/>
      <sheetName val="Calc.Dep final"/>
      <sheetName val="Ventas Activo Fijo"/>
      <sheetName val="Movimiento"/>
      <sheetName val="Cálculo Global Depc."/>
      <sheetName val="AnalisisCosto AF"/>
      <sheetName val="Cálculo Deprec (F)"/>
      <sheetName val="Adiciones (F)"/>
      <sheetName val="Adiciones Prel"/>
      <sheetName val="Ventas (F)"/>
      <sheetName val="Depreciaión"/>
      <sheetName val="CMA_Adiciones"/>
      <sheetName val="CMA_Selections "/>
      <sheetName val="Análisis de Adiciones "/>
      <sheetName val="SA Procedures"/>
      <sheetName val="Expectation"/>
      <sheetName val="Explanation"/>
      <sheetName val="Mov. Depr"/>
      <sheetName val="Cal. Global Final"/>
      <sheetName val="Det. Bajas"/>
      <sheetName val="D. Importaciones"/>
      <sheetName val="Análisi de Adiciones "/>
      <sheetName val="Importaciones en tránsito "/>
      <sheetName val="Cál. Global"/>
      <sheetName val="Costo "/>
      <sheetName val="Cal.Global Dep."/>
      <sheetName val="APT Adiciones Final"/>
      <sheetName val="Bajas - Ventas (2)"/>
      <sheetName val="Compras AF.Nov05"/>
      <sheetName val="Activos en tránsito"/>
      <sheetName val="MMA Compras"/>
      <sheetName val="Análisis de Adic."/>
      <sheetName val="Bajas - Ventas"/>
      <sheetName val="Calc. Global Deprec."/>
      <sheetName val="Otros"/>
      <sheetName val="Cálculo de Exceso"/>
      <sheetName val="Análisis de compras"/>
      <sheetName val="Detalle de compras y bajas"/>
      <sheetName val="Mov. AF."/>
      <sheetName val="Cálc. Dep."/>
      <sheetName val="Bajas y Vtas. AF "/>
      <sheetName val="Movimiento Depreciacion"/>
      <sheetName val="Cálculo del umbral"/>
      <sheetName val="PPC-Listado AF"/>
      <sheetName val="Cálculo Global Depreciación"/>
      <sheetName val="Constr y mejoras"/>
      <sheetName val="MMA SI"/>
      <sheetName val="Análisis SI"/>
      <sheetName val="MMA Observ físico"/>
      <sheetName val="C. Depreciación"/>
      <sheetName val="C. Depreciación final"/>
      <sheetName val="C. Depreciación final - LOCAL"/>
      <sheetName val="D. Clientes"/>
      <sheetName val="AdicionesA.F."/>
      <sheetName val="Valoracion AF Bodegas"/>
      <sheetName val="RetirosAF(PPC)"/>
      <sheetName val="BASE CLIENTES OBSOLETOS"/>
      <sheetName val="Tabla del Limite"/>
      <sheetName val="Vtas-Bajas"/>
      <sheetName val="Clientes"/>
      <sheetName val="Adiciones AF- imp"/>
      <sheetName val="C.G. Depreciación"/>
      <sheetName val="Clientes Mar"/>
      <sheetName val="Clientes Jun"/>
      <sheetName val="Telepuerto Jun"/>
      <sheetName val="Clientes Sep"/>
      <sheetName val="Telep Sep"/>
      <sheetName val="Análisis exterior"/>
      <sheetName val="Calc.glob.dep."/>
      <sheetName val="Ventas AF"/>
      <sheetName val="Movimiento de Activos Fijos"/>
      <sheetName val="Movimiento Depreciac.Acumul."/>
      <sheetName val="Cálculo Global dep"/>
      <sheetName val="Anexo retiros"/>
      <sheetName val="MMA saldo inical"/>
      <sheetName val="Constatación Fisica"/>
      <sheetName val="Detalle de bajas y ventas"/>
      <sheetName val="MMA saldo"/>
      <sheetName val="Detalle Activos Fijos2000"/>
      <sheetName val="Adicion herramientas"/>
      <sheetName val="Calculo global deprec,"/>
      <sheetName val="Analisis Saldos iniciales"/>
      <sheetName val="INFORME"/>
      <sheetName val="Mal soportado"/>
      <sheetName val="Sin soporte"/>
      <sheetName val="Nota EF´s"/>
      <sheetName val="Listado 2005"/>
      <sheetName val="CG Dep. Prel."/>
      <sheetName val="CG Dep. Final"/>
      <sheetName val="MMA Prel."/>
      <sheetName val="Límite Prel."/>
      <sheetName val="Límite Final"/>
      <sheetName val="CG Depreciación"/>
      <sheetName val="Listado - PPC"/>
      <sheetName val="Cálc.Global"/>
      <sheetName val="Cálculo global depr."/>
      <sheetName val="Análisis Bajas"/>
      <sheetName val="Detalle adiciones"/>
      <sheetName val="Listado Oct"/>
      <sheetName val="Listado Dic"/>
      <sheetName val="Movim. Costo"/>
      <sheetName val="Movim. Deprecia."/>
      <sheetName val="Calculo Gasto Depre"/>
      <sheetName val="Anál Adiciones AF"/>
      <sheetName val="Listado de A.F.(ppc)"/>
      <sheetName val="Adquisiciones y Bajas (ppc)"/>
      <sheetName val="Nota Final"/>
      <sheetName val="Nota Prel."/>
      <sheetName val="Cal. Global Depreciación"/>
      <sheetName val="Listado a Oct-03 (PPC)"/>
      <sheetName val="A.F depreciados"/>
      <sheetName val="Calc.Amort.Plantaciones"/>
      <sheetName val="Base de datos"/>
      <sheetName val="C Glob. Deprec."/>
      <sheetName val="MMA Compras Inventarios"/>
      <sheetName val="Bajas y Vtas"/>
      <sheetName val="AnálisisAdic"/>
      <sheetName val="Mov"/>
      <sheetName val="C.Global"/>
      <sheetName val="Det.Lim"/>
      <sheetName val="Vtas. y Bajas"/>
      <sheetName val="MMA adiciones activos"/>
      <sheetName val="Nota 02"/>
      <sheetName val="Mov.Depr."/>
      <sheetName val="Calc.Depr. (PPC)"/>
      <sheetName val="Calc.CM. (PPC)"/>
      <sheetName val="Recálculo"/>
      <sheetName val="Selec. y Anál. Adic."/>
      <sheetName val="Mov. Activo Costo"/>
      <sheetName val="cal.glob.dep.fin"/>
      <sheetName val="Adciones"/>
      <sheetName val="Detalle de Ajustes"/>
      <sheetName val="Mov. Costo(p)"/>
      <sheetName val="Mov. Depreciacion (p)"/>
      <sheetName val="Listado AF(ppc)"/>
      <sheetName val="Listado A.F. 2005(ppc)"/>
      <sheetName val="MMA S. I."/>
      <sheetName val="Calculo Global Depreciación"/>
      <sheetName val="Análisis de Ventas y bajas"/>
      <sheetName val="Análisis de adic"/>
      <sheetName val="Calculo Global Dep final"/>
      <sheetName val="Detalle de ventas y bajas"/>
      <sheetName val="Calc Glob Dep."/>
      <sheetName val="Toma Física AF"/>
      <sheetName val="Anexo de A.F. Compañía"/>
      <sheetName val="Listado de AF PPC"/>
      <sheetName val="MMA-preliminar"/>
      <sheetName val="Análisis adiciones importa"/>
      <sheetName val="Dep.Costo. "/>
      <sheetName val="Cálculo Glob Dep."/>
      <sheetName val="Calc. Límites"/>
      <sheetName val="MMA Adic. Final"/>
      <sheetName val="Análisis Adic.Imp."/>
      <sheetName val="MMAAdiciones Prelim."/>
      <sheetName val="Venta Activos"/>
      <sheetName val="Análisis Compras"/>
      <sheetName val="Listado AF 31-ago-08"/>
      <sheetName val="Dep.Mejoras"/>
      <sheetName val="Listado de A.F"/>
      <sheetName val="Bajas Activos fijos"/>
      <sheetName val="Listados Vs. Registros "/>
      <sheetName val="Capitalizaciones"/>
      <sheetName val="Listado Act. Fijo Dic"/>
      <sheetName val="Listados Vs. Registros Dic"/>
      <sheetName val="MMA Dic"/>
      <sheetName val="Listados Vs. Registros"/>
      <sheetName val="Listado de Activos fijos"/>
      <sheetName val="Límite (2)"/>
      <sheetName val="MMA-Sep"/>
      <sheetName val="P&amp;A"/>
      <sheetName val="Cálculo Global Nov"/>
      <sheetName val="Cálculo Global Ago"/>
      <sheetName val="Listado de Activos"/>
      <sheetName val="Listado Diciembre"/>
      <sheetName val="Proyecto (Gasto)"/>
      <sheetName val="Análisis de Gastos"/>
      <sheetName val="Límite Nov"/>
      <sheetName val="Límite Preliminar"/>
      <sheetName val="DEP. AREA 61"/>
      <sheetName val="DEP. AREA 11"/>
      <sheetName val="Temp"/>
      <sheetName val="Dep. Costo"/>
      <sheetName val="MMA. Adici.Final"/>
      <sheetName val="MMA. Adici.Prel"/>
      <sheetName val="MMA Saldos Prel."/>
      <sheetName val="Conciliación Prel-PPC"/>
      <sheetName val="Listado AF Local GM Prel"/>
      <sheetName val="Listado AF Reexp GM Prel"/>
      <sheetName val="MMA Adic Dic-03 "/>
      <sheetName val="Análisis Adiciones Dic-03"/>
      <sheetName val="Análisis de Bajas y Ventas"/>
      <sheetName val="MMA Adic Ago-03"/>
      <sheetName val="Análisis Adiciones Ago-03"/>
      <sheetName val="Listado AF Local-Ago-03"/>
      <sheetName val="Listado AF Reexp-Sep"/>
      <sheetName val="Calc. Gasto Dep"/>
      <sheetName val="Listado AF(Nov)"/>
      <sheetName val="Compras"/>
      <sheetName val="Gastos (Activos en Proceso)"/>
      <sheetName val="Determinación del Límite"/>
      <sheetName val="Mov. Costo Otros"/>
      <sheetName val="MMA Prel"/>
      <sheetName val="Análisis Adic. Sep."/>
      <sheetName val="Análisis Adic. Dic."/>
      <sheetName val="Toma Fisica"/>
      <sheetName val="Dep acum"/>
      <sheetName val="Venta Act.Fijos"/>
      <sheetName val="C.G Depr"/>
      <sheetName val="C. Clobal"/>
      <sheetName val="Análisis Saldos In."/>
      <sheetName val="Mov. Costo "/>
      <sheetName val="Mov. Dep. "/>
      <sheetName val="Calc. Dep Oct-03"/>
      <sheetName val="Anal.Adic."/>
      <sheetName val="Límite-Sep"/>
      <sheetName val="Cálculo global Dic"/>
      <sheetName val="Análisis AdicionesDic"/>
      <sheetName val="Bajas Dic"/>
      <sheetName val="Excess Calc Dic"/>
      <sheetName val="Cálculo global prem"/>
      <sheetName val="Listados Vs. Registros prem"/>
      <sheetName val="Listado de Activos prem"/>
      <sheetName val="MMA prem"/>
      <sheetName val="Capitalizaciones prem"/>
      <sheetName val="Bajas prem"/>
      <sheetName val="Límite-Sep prem"/>
      <sheetName val="Movimiento Costos"/>
      <sheetName val="Movimiento Dep."/>
      <sheetName val="Análisis Vtas."/>
      <sheetName val="Listado A.F. Dic"/>
      <sheetName val="Cálculo global "/>
      <sheetName val="Calc.Glob.Dep. Prel"/>
      <sheetName val="Adición Fijos"/>
      <sheetName val="Nota 1"/>
      <sheetName val="MMA-adiciones"/>
      <sheetName val="C. locales"/>
      <sheetName val="Construc. en curso"/>
      <sheetName val="MMA const. en curso"/>
      <sheetName val="Anál Construc. en curso"/>
      <sheetName val="Desglose CC"/>
      <sheetName val="Construcciones en curso"/>
      <sheetName val="MMA-adiciones preliminar"/>
      <sheetName val="MMA construcciones en curso"/>
      <sheetName val="Cálculo Glob Dep.Prelim"/>
      <sheetName val="Análisis Ad"/>
      <sheetName val="Detalle Rep. #21"/>
      <sheetName val="Detalle Rep # 38"/>
      <sheetName val="Detalle Rep # 47"/>
      <sheetName val="Tabla Límites"/>
      <sheetName val="MMAAdiciones Final"/>
      <sheetName val="Cálculo Glob Dep.Final"/>
      <sheetName val="Análisis Adic. Final"/>
      <sheetName val="MMAAdiciones"/>
      <sheetName val="MMAAdiciones (2)"/>
      <sheetName val="VentaActivos"/>
      <sheetName val="Análisis Ad. Final"/>
      <sheetName val="Dep.Costo. Prelimi."/>
      <sheetName val="Cálculo Glob Dep. Final"/>
      <sheetName val="MMA Preliminar"/>
      <sheetName val="Dep. Acumulada"/>
      <sheetName val="Proyectos"/>
      <sheetName val="MMA S. Iniciales"/>
      <sheetName val="Mov Depreciación (USGAAP)"/>
      <sheetName val="Mov Depreciación (LOCAL)"/>
      <sheetName val="Determinación del Límite (2)"/>
      <sheetName val="Bajas de Activos"/>
      <sheetName val="Calc. Global Amort."/>
      <sheetName val="Mov Deprec (Spanis)"/>
      <sheetName val="Análisis de Vtas y bajas"/>
      <sheetName val="Costo (ppc)"/>
      <sheetName val="Depreciacion (ppc)"/>
      <sheetName val="C.G. Depreciacion"/>
      <sheetName val="Bajas y Ventas"/>
      <sheetName val="Análisis adic"/>
      <sheetName val="Bajas de AF"/>
      <sheetName val="Selección SI"/>
      <sheetName val="Detalle Vtas y Bajas"/>
      <sheetName val="Análisis Vtas. y Bajas"/>
      <sheetName val="Listado de AF"/>
      <sheetName val="Listado de AF prelim"/>
      <sheetName val="Vtas y Bajas"/>
      <sheetName val="Nota EEF"/>
      <sheetName val="Mov Costo"/>
      <sheetName val="Venta"/>
      <sheetName val="MMA adciones prel"/>
      <sheetName val="Adiciones "/>
      <sheetName val="Resumen de Saldos Iniciales"/>
      <sheetName val="MMA saldos iniciales "/>
      <sheetName val="Prueba de Bajas"/>
      <sheetName val="Adiciones Importac"/>
      <sheetName val="Análisis de Ventas"/>
      <sheetName val="Nota EF"/>
      <sheetName val="Detalle de Vtas y bajas"/>
      <sheetName val="MMA Ad. Final"/>
      <sheetName val="MMA Ad. Pre."/>
      <sheetName val="Cál. global dep."/>
      <sheetName val="Detalle de compras"/>
      <sheetName val="Nota E.F."/>
      <sheetName val="Mvto. Costo"/>
      <sheetName val="Mvto. Depreciación"/>
      <sheetName val="Gasto"/>
      <sheetName val="Detalle de Ventas"/>
      <sheetName val="MMA Prelim. Vts."/>
      <sheetName val="Análisis Vts."/>
      <sheetName val="MMA Prelim. Ad."/>
      <sheetName val="Análisis Ad."/>
      <sheetName val="IMP. TRAN"/>
      <sheetName val="MMA Preli"/>
      <sheetName val="APT Imp.Tran."/>
      <sheetName val="MMA Prelim. Import."/>
      <sheetName val="Mvto. Costo semov."/>
      <sheetName val="Mvto. Dep. semov."/>
      <sheetName val="C.Global Dep."/>
      <sheetName val="Detalle Bajas y ventas"/>
      <sheetName val="Detalle dep."/>
      <sheetName val="Detalle de Bajas"/>
      <sheetName val=" Deprec"/>
      <sheetName val="Cons. vs.Repor "/>
      <sheetName val="Cálculo Global Dep. Final"/>
      <sheetName val="Cálculo Global Dep.Prelim"/>
      <sheetName val="Selección Adiciones AF"/>
      <sheetName val="Mov. Const.Curso"/>
      <sheetName val="Selección Adiciones CC"/>
      <sheetName val="Análisis Ad. CC"/>
      <sheetName val="Ajuste Instal"/>
      <sheetName val="constuccion curso"/>
      <sheetName val="Mov. Act. Fijo"/>
      <sheetName val="Cál.Dep. Final"/>
      <sheetName val="Retiros Final"/>
      <sheetName val="Cál.Dep. Preliminar"/>
      <sheetName val="análisis del avalúo (2)"/>
      <sheetName val="análisis del avalúo"/>
      <sheetName val="RetirosAF PPC"/>
      <sheetName val="BIENES RAICES SG (PPC)"/>
      <sheetName val=" BIENESRAICES SV(PPC)"/>
      <sheetName val="Tabla del Límite"/>
      <sheetName val="Cál.Dep."/>
      <sheetName val="Ventas Bajas"/>
      <sheetName val="MMA Adic. Act. Fij Ago 07"/>
      <sheetName val="APT Adición Act. Fijos"/>
      <sheetName val="Detalle Const. Proceso"/>
      <sheetName val="Listado Act. Fijos 31-Ago-07"/>
      <sheetName val="MMA Adiciones Prel."/>
      <sheetName val="APT Ventas y Bajas"/>
      <sheetName val="Const. en Proceso"/>
      <sheetName val="Listado Prel."/>
      <sheetName val="Ventas y bajas Dic"/>
      <sheetName val="Anexo 11"/>
      <sheetName val="Det. Bajas Dep"/>
      <sheetName val="Mov Deprec"/>
      <sheetName val="Cálculo Global Deprec"/>
      <sheetName val="Listado_Jul-09"/>
      <sheetName val="MovC"/>
      <sheetName val="Mov.Depr"/>
      <sheetName val="Análisis de Vtas.-Bajas"/>
      <sheetName val="ListadoAF"/>
      <sheetName val="Costos"/>
      <sheetName val="Deprec.Acum."/>
      <sheetName val="APTadiciones"/>
      <sheetName val="Dep. Acum."/>
      <sheetName val="Cal.Dep.Act.Fijo"/>
      <sheetName val="Venta AF"/>
      <sheetName val="Bajas Junio"/>
      <sheetName val="Cálc Global"/>
      <sheetName val="Cálcl Global"/>
      <sheetName val="Mov Dep"/>
      <sheetName val="Anal Adic"/>
      <sheetName val="Detalle de Bajas "/>
      <sheetName val="Cálculo Global Dep. "/>
      <sheetName val="Análisis Adiciones "/>
      <sheetName val="Detalle Imp. Tránsito"/>
      <sheetName val="MMA Importaciones"/>
      <sheetName val="Análisis Imp. Tránsito"/>
      <sheetName val="Cálculo Dep. (Dic)"/>
      <sheetName val="MMA Adiciones (Dic)"/>
      <sheetName val="Avalúo"/>
      <sheetName val="Depre"/>
      <sheetName val="Cal Depre"/>
      <sheetName val="Cálc. Global Deprec."/>
      <sheetName val="Listado Act. Fijo"/>
      <sheetName val="Cal.Glob.Deprec."/>
      <sheetName val="List.Act.Fijo"/>
      <sheetName val="Depreciac"/>
      <sheetName val="Cálculo x listado"/>
      <sheetName val="Cálc.Global Final"/>
      <sheetName val="MMA (adiciones)"/>
      <sheetName val="Mov.Cost Hist."/>
      <sheetName val="Mov.Deprec."/>
      <sheetName val="Calculo Global Pre"/>
      <sheetName val="Calculo Global Fin"/>
      <sheetName val="List. Act. Fijo"/>
      <sheetName val="List. AF Final"/>
      <sheetName val="Anal. Adic"/>
      <sheetName val="Anál. Bajas"/>
      <sheetName val="APT Adic"/>
      <sheetName val="S Iniciales"/>
      <sheetName val="MMA SInic"/>
      <sheetName val="Gasto deprec."/>
      <sheetName val="Hoja de Datos"/>
      <sheetName val="Adiciones PPC"/>
      <sheetName val="Ventas A. Fijo PPC"/>
      <sheetName val="Cons Curso final"/>
      <sheetName val="Cons. Curso"/>
      <sheetName val="Act. Fijo Tránsito"/>
      <sheetName val="MMA act. f. trans"/>
      <sheetName val="Análisis de Act. Fijo Tráns."/>
      <sheetName val="Análisis Imp. CBH"/>
      <sheetName val="Detalle Vtas-Bajs"/>
      <sheetName val="Conc. Listado AF FINAL"/>
      <sheetName val="Conciliación Listado"/>
      <sheetName val="Cálc.Global (P)"/>
      <sheetName val="MMA Saldos Iniciales"/>
      <sheetName val="Análisis Saldos Iniciales"/>
      <sheetName val="Venta y Bajas"/>
      <sheetName val="Constatación"/>
      <sheetName val="Mov Costo Final"/>
      <sheetName val="MMA Adquisiciones Proyectos"/>
      <sheetName val="MMA Adquisiciones "/>
      <sheetName val="APT Obras en proceso"/>
      <sheetName val="Listado de act fijos"/>
      <sheetName val="Obras en construcción"/>
      <sheetName val="Movimiento AF y Depreciación"/>
      <sheetName val="Detalle anticipos"/>
      <sheetName val="MMA Anticipos Prelim"/>
      <sheetName val="MMA Anticipos Final"/>
      <sheetName val="Análisis de Anticipos"/>
      <sheetName val="Detalle Const Curso"/>
      <sheetName val="Detalle No Activados"/>
      <sheetName val="MMA Const Curso Prel"/>
      <sheetName val="MMA Const Curso Final"/>
      <sheetName val="Análisis Const Curso"/>
      <sheetName val="Cobertura de Seguros"/>
      <sheetName val="Notas EEFF"/>
      <sheetName val="Pruebas Sustantivas"/>
      <sheetName val="Movimiento del costo"/>
      <sheetName val="Movimiento de Depreciación"/>
      <sheetName val="Listado final"/>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refreshError="1"/>
      <sheetData sheetId="11"/>
      <sheetData sheetId="12" refreshError="1"/>
      <sheetData sheetId="13" refreshError="1"/>
      <sheetData sheetId="14" refreshError="1"/>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sheetData sheetId="86"/>
      <sheetData sheetId="87"/>
      <sheetData sheetId="88" refreshError="1"/>
      <sheetData sheetId="89"/>
      <sheetData sheetId="90"/>
      <sheetData sheetId="91"/>
      <sheetData sheetId="92"/>
      <sheetData sheetId="93"/>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sheetData sheetId="155" refreshError="1"/>
      <sheetData sheetId="156" refreshError="1"/>
      <sheetData sheetId="157"/>
      <sheetData sheetId="158" refreshError="1"/>
      <sheetData sheetId="159" refreshError="1"/>
      <sheetData sheetId="160"/>
      <sheetData sheetId="161" refreshError="1"/>
      <sheetData sheetId="162" refreshError="1"/>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sheetData sheetId="199"/>
      <sheetData sheetId="200" refreshError="1"/>
      <sheetData sheetId="201" refreshError="1"/>
      <sheetData sheetId="202"/>
      <sheetData sheetId="203"/>
      <sheetData sheetId="204"/>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sheetData sheetId="264"/>
      <sheetData sheetId="265"/>
      <sheetData sheetId="266"/>
      <sheetData sheetId="267"/>
      <sheetData sheetId="268"/>
      <sheetData sheetId="269"/>
      <sheetData sheetId="270" refreshError="1"/>
      <sheetData sheetId="271"/>
      <sheetData sheetId="272" refreshError="1"/>
      <sheetData sheetId="273"/>
      <sheetData sheetId="274"/>
      <sheetData sheetId="275"/>
      <sheetData sheetId="276" refreshError="1"/>
      <sheetData sheetId="277" refreshError="1"/>
      <sheetData sheetId="278" refreshError="1"/>
      <sheetData sheetId="279" refreshError="1"/>
      <sheetData sheetId="280" refreshError="1"/>
      <sheetData sheetId="281" refreshError="1"/>
      <sheetData sheetId="282"/>
      <sheetData sheetId="283"/>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refreshError="1"/>
      <sheetData sheetId="305" refreshError="1"/>
      <sheetData sheetId="306" refreshError="1"/>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sheetData sheetId="410"/>
      <sheetData sheetId="411" refreshError="1"/>
      <sheetData sheetId="412"/>
      <sheetData sheetId="413"/>
      <sheetData sheetId="414" refreshError="1"/>
      <sheetData sheetId="415" refreshError="1"/>
      <sheetData sheetId="416" refreshError="1"/>
      <sheetData sheetId="417"/>
      <sheetData sheetId="418" refreshError="1"/>
      <sheetData sheetId="419"/>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sheetData sheetId="429"/>
      <sheetData sheetId="430" refreshError="1"/>
      <sheetData sheetId="431" refreshError="1"/>
      <sheetData sheetId="432" refreshError="1"/>
      <sheetData sheetId="433" refreshError="1"/>
      <sheetData sheetId="434" refreshError="1"/>
      <sheetData sheetId="435"/>
      <sheetData sheetId="436" refreshError="1"/>
      <sheetData sheetId="437" refreshError="1"/>
      <sheetData sheetId="438" refreshError="1"/>
      <sheetData sheetId="439" refreshError="1"/>
      <sheetData sheetId="440"/>
      <sheetData sheetId="441"/>
      <sheetData sheetId="442"/>
      <sheetData sheetId="443" refreshError="1"/>
      <sheetData sheetId="444"/>
      <sheetData sheetId="445" refreshError="1"/>
      <sheetData sheetId="446" refreshError="1"/>
      <sheetData sheetId="447" refreshError="1"/>
      <sheetData sheetId="448" refreshError="1"/>
      <sheetData sheetId="449"/>
      <sheetData sheetId="450"/>
      <sheetData sheetId="451"/>
      <sheetData sheetId="452"/>
      <sheetData sheetId="453"/>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sheetData sheetId="467" refreshError="1"/>
      <sheetData sheetId="468" refreshError="1"/>
      <sheetData sheetId="469"/>
      <sheetData sheetId="470"/>
      <sheetData sheetId="47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sheetData sheetId="481"/>
      <sheetData sheetId="482"/>
      <sheetData sheetId="483" refreshError="1"/>
      <sheetData sheetId="484" refreshError="1"/>
      <sheetData sheetId="485"/>
      <sheetData sheetId="486"/>
      <sheetData sheetId="487"/>
      <sheetData sheetId="488"/>
      <sheetData sheetId="489"/>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sheetData sheetId="523"/>
      <sheetData sheetId="524"/>
      <sheetData sheetId="525"/>
      <sheetData sheetId="526"/>
      <sheetData sheetId="527" refreshError="1"/>
      <sheetData sheetId="528" refreshError="1"/>
      <sheetData sheetId="529"/>
      <sheetData sheetId="530"/>
      <sheetData sheetId="53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sheetData sheetId="562"/>
      <sheetData sheetId="563"/>
      <sheetData sheetId="564"/>
      <sheetData sheetId="565"/>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sheetData sheetId="587"/>
      <sheetData sheetId="588"/>
      <sheetData sheetId="589"/>
      <sheetData sheetId="590"/>
      <sheetData sheetId="591" refreshError="1"/>
      <sheetData sheetId="592" refreshError="1"/>
      <sheetData sheetId="593"/>
      <sheetData sheetId="594"/>
      <sheetData sheetId="595"/>
      <sheetData sheetId="596" refreshError="1"/>
      <sheetData sheetId="597" refreshError="1"/>
      <sheetData sheetId="598" refreshError="1"/>
      <sheetData sheetId="599"/>
      <sheetData sheetId="600" refreshError="1"/>
      <sheetData sheetId="601"/>
      <sheetData sheetId="602"/>
      <sheetData sheetId="603"/>
      <sheetData sheetId="604"/>
      <sheetData sheetId="605"/>
      <sheetData sheetId="606" refreshError="1"/>
      <sheetData sheetId="607" refreshError="1"/>
      <sheetData sheetId="608"/>
      <sheetData sheetId="609"/>
      <sheetData sheetId="610" refreshError="1"/>
      <sheetData sheetId="611"/>
      <sheetData sheetId="612" refreshError="1"/>
      <sheetData sheetId="613" refreshError="1"/>
      <sheetData sheetId="614" refreshError="1"/>
      <sheetData sheetId="615"/>
      <sheetData sheetId="616"/>
      <sheetData sheetId="617" refreshError="1"/>
      <sheetData sheetId="618"/>
      <sheetData sheetId="619" refreshError="1"/>
      <sheetData sheetId="620" refreshError="1"/>
      <sheetData sheetId="621" refreshError="1"/>
      <sheetData sheetId="622" refreshError="1"/>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sheetData sheetId="633" refreshError="1"/>
      <sheetData sheetId="634" refreshError="1"/>
      <sheetData sheetId="635" refreshError="1"/>
      <sheetData sheetId="636" refreshError="1"/>
      <sheetData sheetId="637" refreshError="1"/>
      <sheetData sheetId="638"/>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sheetData sheetId="657"/>
      <sheetData sheetId="658" refreshError="1"/>
      <sheetData sheetId="659"/>
      <sheetData sheetId="660"/>
      <sheetData sheetId="661"/>
      <sheetData sheetId="662"/>
      <sheetData sheetId="663" refreshError="1"/>
      <sheetData sheetId="664" refreshError="1"/>
      <sheetData sheetId="665" refreshError="1"/>
      <sheetData sheetId="666" refreshError="1"/>
      <sheetData sheetId="667" refreshError="1"/>
      <sheetData sheetId="668" refreshError="1"/>
      <sheetData sheetId="669"/>
      <sheetData sheetId="670"/>
      <sheetData sheetId="671"/>
      <sheetData sheetId="672"/>
      <sheetData sheetId="673"/>
      <sheetData sheetId="674"/>
      <sheetData sheetId="675"/>
      <sheetData sheetId="676" refreshError="1"/>
      <sheetData sheetId="677" refreshError="1"/>
      <sheetData sheetId="678" refreshError="1"/>
      <sheetData sheetId="679"/>
      <sheetData sheetId="680" refreshError="1"/>
      <sheetData sheetId="681" refreshError="1"/>
      <sheetData sheetId="682"/>
      <sheetData sheetId="683" refreshError="1"/>
      <sheetData sheetId="684" refreshError="1"/>
      <sheetData sheetId="685"/>
      <sheetData sheetId="686"/>
      <sheetData sheetId="687"/>
      <sheetData sheetId="688"/>
      <sheetData sheetId="689" refreshError="1"/>
      <sheetData sheetId="690" refreshError="1"/>
      <sheetData sheetId="691" refreshError="1"/>
      <sheetData sheetId="692"/>
      <sheetData sheetId="693"/>
      <sheetData sheetId="694" refreshError="1"/>
      <sheetData sheetId="695" refreshError="1"/>
      <sheetData sheetId="696"/>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C"/>
      <sheetName val="C1"/>
      <sheetName val="C2"/>
      <sheetName val="C3"/>
      <sheetName val="C4"/>
      <sheetName val="C5"/>
      <sheetName val="D"/>
      <sheetName val="E"/>
      <sheetName val="G"/>
      <sheetName val="H"/>
      <sheetName val="H1"/>
      <sheetName val="H2"/>
      <sheetName val="H3"/>
      <sheetName val="I"/>
      <sheetName val="J"/>
      <sheetName val="K"/>
      <sheetName val="L"/>
      <sheetName val="M"/>
      <sheetName val="M1"/>
      <sheetName val="N"/>
      <sheetName val="Q"/>
      <sheetName val="RS"/>
      <sheetName val="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APBEXqueries"/>
      <sheetName val="SAPBEXfilters"/>
      <sheetName val="Options"/>
      <sheetName val="LC"/>
      <sheetName val="FX"/>
      <sheetName val="Days"/>
      <sheetName val="P10"/>
      <sheetName val="P10A"/>
      <sheetName val="P10B"/>
      <sheetName val="P10C"/>
      <sheetName val="P10D"/>
      <sheetName val="P11"/>
      <sheetName val="P11A"/>
      <sheetName val="P11B"/>
      <sheetName val="P11C"/>
      <sheetName val="P11D"/>
    </sheetNames>
    <sheetDataSet>
      <sheetData sheetId="0" refreshError="1"/>
      <sheetData sheetId="1" refreshError="1"/>
      <sheetData sheetId="2" refreshError="1">
        <row r="1">
          <cell r="B1">
            <v>1000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exo 1"/>
      <sheetName val="Anexo 3"/>
      <sheetName val="Anexo 4"/>
      <sheetName val="Anexo 5"/>
      <sheetName val="Anexo 6"/>
      <sheetName val="Anexo 7"/>
      <sheetName val="Anexo 8"/>
      <sheetName val="Anexo 10"/>
      <sheetName val="Anexo 11"/>
      <sheetName val="Anexo 12"/>
      <sheetName val="Anexo 13"/>
      <sheetName val="Anexo 14"/>
      <sheetName val="Anexo 15"/>
      <sheetName val="Anexo 16"/>
      <sheetName val="Anexo 17"/>
      <sheetName val="Anexo 2"/>
      <sheetName val="Anexo 9"/>
      <sheetName val="Lead"/>
      <sheetName val="Links"/>
    </sheetNames>
    <sheetDataSet>
      <sheetData sheetId="0"/>
      <sheetData sheetId="1" refreshError="1"/>
      <sheetData sheetId="2"/>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a los Estados Financieros"/>
      <sheetName val="Costo {PPC}"/>
      <sheetName val="Deprec. {PPC}"/>
      <sheetName val="Cálculo Dep (Preliminar)"/>
      <sheetName val="Límites"/>
      <sheetName val="MMA Adiciones"/>
      <sheetName val="MMA Saldo Inicial"/>
      <sheetName val="Obs. Toma Física"/>
      <sheetName val="Análisis Adiciones"/>
      <sheetName val="Cálculo Dep (Final)"/>
      <sheetName val="XREF"/>
      <sheetName val="Tickmarks"/>
      <sheetName val="NotaalosEstadosFinancieros"/>
      <sheetName val="Deprec__PPC_"/>
      <sheetName val="Detalle"/>
      <sheetName val="MMA"/>
      <sheetName val="APT Gastos"/>
      <sheetName val="Arriendos"/>
      <sheetName val="Arr. Mercantil [ppc]"/>
      <sheetName val="Asistencia VW"/>
      <sheetName val="Comis. y Honorarios"/>
      <sheetName val="Otras ctas.xpagar (PPC)"/>
      <sheetName val="Mov. Benef. Socs."/>
      <sheetName val="Calc. Global Benef. (Sep)"/>
      <sheetName val="Calc. Global Benef. (Oct)"/>
      <sheetName val="Pagos Posteriores"/>
      <sheetName val="F.Conting. (oct)"/>
      <sheetName val="F. Conting. (Sep)"/>
      <sheetName val="Calc. Límites"/>
      <sheetName val="Mov. Inventarios"/>
      <sheetName val="Devoluci."/>
      <sheetName val="Adiciones MP."/>
      <sheetName val="Import. Tráns."/>
      <sheetName val="Valuación"/>
      <sheetName val="Préstamos Terceros"/>
      <sheetName val="Movimiento Benef.Soc."/>
      <sheetName val="Calc. Global Benef. (Prel)"/>
      <sheetName val="Det.Anticipos Clientes"/>
      <sheetName val="Análisis anticipos"/>
      <sheetName val="Int.no devenga"/>
      <sheetName val="A"/>
      <sheetName val="NotaEF "/>
      <sheetName val="Costo"/>
      <sheetName val="Dep.Costo. "/>
      <sheetName val="MMA (Adiciones) "/>
      <sheetName val="MMA S.Inicial"/>
      <sheetName val="MMA Toma física"/>
      <sheetName val="S Inicial"/>
      <sheetName val="Cálc. Global"/>
      <sheetName val="APT Adiciones"/>
    </sheetNames>
    <sheetDataSet>
      <sheetData sheetId="0"/>
      <sheetData sheetId="1"/>
      <sheetData sheetId="2"/>
      <sheetData sheetId="3"/>
      <sheetData sheetId="4" refreshError="1"/>
      <sheetData sheetId="5"/>
      <sheetData sheetId="6" refreshError="1"/>
      <sheetData sheetId="7" refreshError="1"/>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refreshError="1"/>
      <sheetData sheetId="45" refreshError="1"/>
      <sheetData sheetId="46" refreshError="1"/>
      <sheetData sheetId="47" refreshError="1"/>
      <sheetData sheetId="48"/>
      <sheetData sheetId="49"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a"/>
      <sheetName val="Detalle"/>
      <sheetName val="Mov. Costo"/>
      <sheetName val="Mov. Depreciación"/>
      <sheetName val="Cálculo Global"/>
      <sheetName val="Adición Act. Fijo"/>
      <sheetName val="Selección Adiciones"/>
      <sheetName val="APT de Adiciones Act. Fijo"/>
      <sheetName val="Detalle Ventas Activos"/>
      <sheetName val="Selección Ventas"/>
      <sheetName val="Análisis Ventas"/>
      <sheetName val="Saldos Iniciales"/>
      <sheetName val="XREF"/>
      <sheetName val="Tickmarks"/>
    </sheetNames>
    <sheetDataSet>
      <sheetData sheetId="0"/>
      <sheetData sheetId="1" refreshError="1"/>
      <sheetData sheetId="2"/>
      <sheetData sheetId="3"/>
      <sheetData sheetId="4"/>
      <sheetData sheetId="5"/>
      <sheetData sheetId="6"/>
      <sheetData sheetId="7"/>
      <sheetData sheetId="8"/>
      <sheetData sheetId="9"/>
      <sheetData sheetId="10"/>
      <sheetData sheetId="11"/>
      <sheetData sheetId="12" refreshError="1"/>
      <sheetData sheetId="13">
        <row r="3">
          <cell r="A3" t="str">
            <v>{a}</v>
          </cell>
        </row>
      </sheetData>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MMA"/>
      <sheetName val="Cálculo S. I."/>
      <sheetName val="Análisis Saldo Inicial"/>
      <sheetName val="XREF"/>
      <sheetName val="Tickmarks"/>
      <sheetName val="CálculoS_I_"/>
      <sheetName val="Anexo 4"/>
    </sheetNames>
    <sheetDataSet>
      <sheetData sheetId="0" refreshError="1"/>
      <sheetData sheetId="1" refreshError="1"/>
      <sheetData sheetId="2"/>
      <sheetData sheetId="3" refreshError="1"/>
      <sheetData sheetId="4" refreshError="1"/>
      <sheetData sheetId="5"/>
      <sheetData sheetId="6"/>
      <sheetData sheetId="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nálisis IVA"/>
      <sheetName val="Análisis Ret Fuente"/>
      <sheetName val="Tickmarks"/>
      <sheetName val="XREF"/>
      <sheetName val="AnálisisIVA"/>
      <sheetName val="Detalle de Gastos"/>
      <sheetName val="Tax Working"/>
      <sheetName val="INSTRUCTIONS"/>
      <sheetName val="Varios dólares"/>
      <sheetName val="SSO"/>
      <sheetName val="Reexpresado año 2000"/>
      <sheetName val="Owned"/>
      <sheetName val="VALORES PUBLICOS"/>
      <sheetName val="CONSTANTES"/>
      <sheetName val="LPH INCE"/>
      <sheetName val="F-1.0 Balance Gral"/>
      <sheetName val="IPC"/>
      <sheetName val="Prueba de Diferencial Cambi (2)"/>
      <sheetName val="sapactivexlhiddensheet"/>
      <sheetName val="Matríz Dic 04"/>
      <sheetName val="31 Dic 96"/>
      <sheetName val="Detalle"/>
      <sheetName val="Detalle Cuentas por Cobrar"/>
      <sheetName val="Sheet1"/>
      <sheetName val="ROLCOBOS"/>
      <sheetName val="Imp_Noviembre"/>
      <sheetName val="Hoja4"/>
      <sheetName val="Hoja3"/>
      <sheetName val="Cuadre"/>
      <sheetName val="Reembolsos"/>
      <sheetName val="CT"/>
      <sheetName val="AUT "/>
      <sheetName val="Partes  relacionadas"/>
      <sheetName val="ATS"/>
      <sheetName val="PARTES RELACIONADAS"/>
      <sheetName val="Hoja1"/>
      <sheetName val="Hoja2"/>
      <sheetName val="ORG"/>
      <sheetName val="Namelist"/>
      <sheetName val="SetUp"/>
      <sheetName val="Balance General"/>
      <sheetName val="Sheet6"/>
      <sheetName val="Adiciones e intereses"/>
      <sheetName val="Utilidades"/>
      <sheetName val="Prest. Soc."/>
      <sheetName val="TABLAIPC "/>
      <sheetName val="Hoja5"/>
      <sheetName val="Abr-03"/>
      <sheetName val="DB"/>
      <sheetName val="LPH e INCE"/>
      <sheetName val="Movimiento"/>
      <sheetName val="Prov Activo Fijo Jun-2002"/>
      <sheetName val="Anexo 12"/>
      <sheetName val="BM PPR Act"/>
      <sheetName val="Prueba global - Pasivo"/>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Asignaciones"/>
      <sheetName val="APT Gastos"/>
      <sheetName val="Sueldos"/>
      <sheetName val="Honorarios"/>
      <sheetName val="Marcas Estándar"/>
      <sheetName val="XREF"/>
      <sheetName val="#REF"/>
      <sheetName val="Gtos. Admin. y Vtas."/>
      <sheetName val="MMA APT"/>
      <sheetName val="Análisis APT"/>
      <sheetName val="Tickmarks"/>
      <sheetName val="Detalle APT"/>
      <sheetName val="Selección APT"/>
      <sheetName val="Detalle Cuentas Public."/>
      <sheetName val="Sheet13"/>
      <sheetName val="Sheet12"/>
      <sheetName val="Detalle Prove Public."/>
      <sheetName val="Análisis Selec."/>
      <sheetName val="Det. Gto.Ben.Soc"/>
      <sheetName val="Det.Gst.Fij"/>
      <sheetName val="Det.GstoInterc"/>
      <sheetName val="Gsto.Interc."/>
      <sheetName val="Det.Pub."/>
      <sheetName val="MMA"/>
      <sheetName val="Anál. APT"/>
      <sheetName val="Análisis Remun."/>
      <sheetName val="GASTOS"/>
      <sheetName val="Sheet1"/>
      <sheetName val="Roles sep-00"/>
      <sheetName val="Benefic. sep.00"/>
      <sheetName val=" Sue. y prov.-final"/>
      <sheetName val="CalcuGlobalSueldo"/>
      <sheetName val=" MMA"/>
      <sheetName val="Análisis"/>
      <sheetName val="Mayores MMA (PPC)"/>
      <sheetName val="Hoja1"/>
      <sheetName val="Cálculo Sueldos"/>
      <sheetName val="Detalle abierto"/>
      <sheetName val="APT"/>
      <sheetName val="Detalle (1)"/>
      <sheetName val="Tildes"/>
      <sheetName val="Detalle -Apt"/>
      <sheetName val="CG - sueldos"/>
      <sheetName val="CG - Arriendos"/>
      <sheetName val="Comisiones pagadas"/>
      <sheetName val="Selección"/>
      <sheetName val="Siniestros pagados"/>
      <sheetName val="MMA Siniestros"/>
      <sheetName val="Siniestros pagados final"/>
      <sheetName val="MMA Anulaciones"/>
      <sheetName val="Análisis Anulaciones"/>
      <sheetName val="Sheet1 (2)"/>
      <sheetName val="Detalle  (2)"/>
      <sheetName val="CALCULO GLOBAL SUELDOS"/>
      <sheetName val="An. remuner."/>
      <sheetName val="R. Analítica"/>
      <sheetName val="Cálculo del límite"/>
      <sheetName val="Tabla del Limite"/>
      <sheetName val="Cálc. Global Sueldos (2)"/>
      <sheetName val="Detalle de Gastos"/>
      <sheetName val="Cálc. Global Sueldos"/>
      <sheetName val="Selección de Gtos."/>
      <sheetName val="Analisis de gastos"/>
      <sheetName val="Det Gtos Oper"/>
      <sheetName val="Análisis Gastos Oper"/>
      <sheetName val="Análisis de Anul y Canc"/>
      <sheetName val="MMA final"/>
      <sheetName val="Anal Sin pagados"/>
      <sheetName val="det. brokers"/>
      <sheetName val="MMA BROKERS"/>
      <sheetName val="CMA_Calculations"/>
      <sheetName val="CMA_Selections"/>
      <sheetName val="Arriendos"/>
      <sheetName val="Nómina"/>
      <sheetName val="Beneficios Sociales"/>
      <sheetName val="C.G. Comisiones"/>
      <sheetName val="Indemnizaciones"/>
      <sheetName val="C.G.Vehículos F.Vtas."/>
      <sheetName val="C.G. Arriendos"/>
      <sheetName val="C.G Honorarios"/>
      <sheetName val="C.G. Bonificaciones"/>
      <sheetName val="Límite"/>
      <sheetName val="Tabla"/>
      <sheetName val="Detalle Gastos"/>
      <sheetName val="Otros Gastos"/>
      <sheetName val="Resumen Comisiones"/>
      <sheetName val="C. Tarjetas"/>
      <sheetName val="Technical SAG."/>
      <sheetName val="Mant. redes"/>
      <sheetName val="Comisiones-bonos-residuales"/>
      <sheetName val="roles de pago"/>
      <sheetName val="Sueldo final"/>
      <sheetName val="Sueldo prel"/>
      <sheetName val="Alimentación"/>
      <sheetName val="Liq. empleados"/>
      <sheetName val="1000 "/>
      <sheetName val="2000"/>
      <sheetName val="3000"/>
      <sheetName val="4000"/>
      <sheetName val="5000"/>
      <sheetName val="6000"/>
      <sheetName val="70081"/>
      <sheetName val="70082"/>
      <sheetName val="70083"/>
      <sheetName val="70084"/>
      <sheetName val="8000"/>
      <sheetName val="Análisis Gtos.Oper."/>
      <sheetName val="Resumen"/>
      <sheetName val="Selección "/>
      <sheetName val="Cál.Glob.Arrend."/>
      <sheetName val="Sueldos Final"/>
      <sheetName val="APT Gastos (Final)"/>
      <sheetName val="Honorarios profesionales"/>
      <sheetName val="Det. dep.prov.amort."/>
      <sheetName val="Gasto Arriendo"/>
      <sheetName val="Pivot"/>
      <sheetName val="Subdetalle Final"/>
      <sheetName val="Subdetalle Prel."/>
      <sheetName val="Planillas"/>
      <sheetName val="Hoja 1"/>
      <sheetName val="Cal. Glob. Sueldos"/>
      <sheetName val="Cálculo Varios"/>
      <sheetName val="Cálc.Serv.Distr."/>
      <sheetName val="Detalle Regalías"/>
      <sheetName val="Regalías"/>
      <sheetName val="Detalle Arriendos"/>
      <sheetName val="Patentes"/>
      <sheetName val="Publicidad"/>
      <sheetName val="APT Gtos."/>
      <sheetName val="Pivot "/>
      <sheetName val="APT MMA"/>
      <sheetName val="Determinación del Límite"/>
      <sheetName val="Tabla del Límite"/>
      <sheetName val="Join V."/>
      <sheetName val="EDS"/>
      <sheetName val="Guarantee"/>
      <sheetName val="Seguros"/>
      <sheetName val="MMA "/>
      <sheetName val="APT Dic"/>
      <sheetName val="Calc. Límites Dic-04"/>
      <sheetName val=" Límite"/>
      <sheetName val="Detalle G. Op."/>
      <sheetName val="Leasing"/>
      <sheetName val="E. Electrica"/>
      <sheetName val="Consumo E. Electrica"/>
      <sheetName val="Det  Benef.Soc."/>
      <sheetName val="Gasto Sueldos"/>
      <sheetName val="Cálculo Global Sueldos"/>
      <sheetName val="Revisión analítica gastos"/>
      <sheetName val="Gráfico"/>
      <sheetName val="MMA (2)"/>
      <sheetName val="Detalle de Gastos "/>
      <sheetName val="Detalle gastos administ"/>
      <sheetName val="Detalle gastos ventas"/>
      <sheetName val="Planillas IESS"/>
      <sheetName val="Cál.Glob. Sueldos"/>
      <sheetName val="Rol"/>
      <sheetName val="Análisis Honorarios"/>
      <sheetName val="Marcas"/>
      <sheetName val="MMA Gastos"/>
      <sheetName val="Detalle de Sueldos y Salarios"/>
      <sheetName val="Trabajo Prestado"/>
      <sheetName val="Calc. Límites"/>
      <sheetName val="Persoserv"/>
      <sheetName val="Guarantee (Sep)"/>
      <sheetName val="Arriendo"/>
      <sheetName val="Remuneraciones"/>
      <sheetName val="Resumen Planillas"/>
      <sheetName val="Cuadro Comparativo"/>
      <sheetName val="Asist. Técnica"/>
      <sheetName val="Comisiones del Ext."/>
      <sheetName val="Gtos. Ventas y Administración"/>
      <sheetName val="Cálculo del umbral"/>
      <sheetName val="C. Globla Primas 2003"/>
      <sheetName val="Cálculos Globales"/>
      <sheetName val="Calc. Límites "/>
      <sheetName val="Fact.Que No Cumplen Reg. Fact."/>
      <sheetName val="C. Global Mov. y B. Resp."/>
      <sheetName val="Marca"/>
      <sheetName val="Detalle servicios especial"/>
      <sheetName val="Aportes a la AGD"/>
      <sheetName val="Aporte SIB"/>
      <sheetName val="Servipagos"/>
      <sheetName val="Tevcol"/>
      <sheetName val="Detalle 2004"/>
      <sheetName val="Variaciones Jul-Sept04"/>
      <sheetName val="MMA Sept04"/>
      <sheetName val="APT Sept04"/>
      <sheetName val="Sueldos y benef Adm"/>
      <sheetName val="Suel y Benf Estac"/>
      <sheetName val="Alquiler"/>
      <sheetName val="Depreciación FASB52"/>
      <sheetName val="MMA (var)"/>
      <sheetName val="Base"/>
      <sheetName val="MMAAPT"/>
      <sheetName val="Gtos."/>
      <sheetName val="Seleccionados"/>
      <sheetName val="Rol ejecut."/>
      <sheetName val="Indemnización"/>
      <sheetName val="Otros Serv."/>
      <sheetName val="Pivot (dic)"/>
      <sheetName val="Pivot (sept)"/>
      <sheetName val="Revisión analítica"/>
      <sheetName val="Seguro Médico"/>
      <sheetName val="Sueldos Corp."/>
      <sheetName val="MMA Prelim"/>
      <sheetName val="Interhealth"/>
      <sheetName val="Brokers"/>
      <sheetName val="Detalle Gastos APT"/>
      <sheetName val="Detalle Gastos Vtas"/>
      <sheetName val="Análisis Gastos APT"/>
      <sheetName val="C. Global Gto.Coms."/>
      <sheetName val="APTGastos"/>
      <sheetName val="Gasstos mensuales"/>
      <sheetName val="MMA Jul-Dic"/>
      <sheetName val="APT Gastos "/>
      <sheetName val="Cálculo arrendamiento"/>
      <sheetName val=" MMA Sept-04"/>
      <sheetName val="APT Sept-04"/>
      <sheetName val="Cal.Sueldos"/>
      <sheetName val="Cálculo Glob. Arriendos"/>
      <sheetName val="Análisis Gastos"/>
      <sheetName val="Imptos y Contrib."/>
      <sheetName val="Transp. Mercaderia"/>
      <sheetName val="Vtas Diners"/>
      <sheetName val="Recuper.Gtos"/>
      <sheetName val="Tabla Límites"/>
      <sheetName val="Detalle Gastos Opert."/>
      <sheetName val="Impuestos y Contribuciones"/>
      <sheetName val="Anal.Remun."/>
      <sheetName val="Tickmarks (2)"/>
      <sheetName val="Calc. Global Sueldos"/>
      <sheetName val="Arrendamiento"/>
      <sheetName val="Cálc. Glob. Arrend."/>
      <sheetName val="MMAGastos"/>
      <sheetName val="límite "/>
      <sheetName val="Revision Analitica"/>
      <sheetName val="Gastos por CC"/>
      <sheetName val="Rev. Analítica"/>
      <sheetName val="Límites Prel"/>
      <sheetName val="Límites Dic"/>
      <sheetName val="Límites"/>
      <sheetName val="Cálc. Glob. Arriendos"/>
      <sheetName val="Cálc. Glob. Guardianía"/>
      <sheetName val="Cálc. Glob. Alimentación"/>
      <sheetName val="Análisis de Gastos APT"/>
      <sheetName val="Servicios Corporativos"/>
      <sheetName val="Prorrateo"/>
      <sheetName val="Análisis Prorrateo"/>
      <sheetName val="MMA Prel"/>
      <sheetName val="Límite Ap.IESS"/>
      <sheetName val="Aj Sueldos"/>
      <sheetName val="Ben Soc"/>
      <sheetName val="Limite Arr"/>
      <sheetName val="Pivot (Fin)"/>
      <sheetName val="Pivot (Prel)"/>
      <sheetName val="MMA (APT)"/>
      <sheetName val="Asesorías"/>
      <sheetName val="Base Costos y Gastos"/>
      <sheetName val="OPERACIONALES"/>
      <sheetName val="Pivot (Dic05)"/>
      <sheetName val="Pivot(Sep05)"/>
      <sheetName val="Rev. Análitica"/>
      <sheetName val="Cal.Glob.Corp"/>
      <sheetName val="Cal. Glob. Arriend"/>
      <sheetName val="Seg. Médico"/>
      <sheetName val="Sueldos Laminado (2002)"/>
      <sheetName val="Local 101"/>
      <sheetName val="Compra de Inmodiamante."/>
      <sheetName val="Aportes AGD"/>
      <sheetName val="Contrib SBS"/>
      <sheetName val="MMA Sep-05"/>
      <sheetName val="EBITDA"/>
      <sheetName val="Remuneración Variable"/>
      <sheetName val="Gasto Vehículos"/>
      <sheetName val="Gasto Km"/>
      <sheetName val="Km Fact"/>
      <sheetName val="CCostos"/>
      <sheetName val="Cálculo Nómina"/>
      <sheetName val="MMA Junio"/>
      <sheetName val="CG Honorarios"/>
      <sheetName val="CG Seguridad"/>
      <sheetName val="CG Arriendos"/>
      <sheetName val="Sueldos y B. Soc."/>
      <sheetName val="Beneficios"/>
      <sheetName val="Servicios Profesionales"/>
      <sheetName val="RR HH"/>
      <sheetName val="Limpieza"/>
      <sheetName val="Mant y Rep"/>
      <sheetName val="Contratos"/>
      <sheetName val="Salas VIP"/>
      <sheetName val="Suministros"/>
      <sheetName val="Gastos generales"/>
      <sheetName val="Tercerización"/>
      <sheetName val="Detalle Nov-03"/>
      <sheetName val="Calculo Sueldos"/>
      <sheetName val="Calculo Mant. SPIDER"/>
      <sheetName val="C.G. Sueldos"/>
      <sheetName val="C.G. Honorarios"/>
      <sheetName val="C.G. Arriendos y Vigilancia"/>
      <sheetName val="MMA Dic"/>
      <sheetName val="MMA Sept"/>
      <sheetName val="No Operacionales"/>
      <sheetName val="Anal Sin pag sept 02"/>
      <sheetName val="Análisis gastos adminis."/>
      <sheetName val="Anal Sin pag junio 02"/>
      <sheetName val="Det. de Gastos "/>
      <sheetName val="PPC-1100103"/>
      <sheetName val="Threshold Calc"/>
      <sheetName val="Det Ctas Benef Soc"/>
      <sheetName val="S5210"/>
      <sheetName val="PPC-S5210"/>
      <sheetName val="Gtos Manufactura"/>
      <sheetName val="Reaseg Cedidos"/>
      <sheetName val="Siniestros Vida"/>
      <sheetName val="Siniestros Generales"/>
      <sheetName val="Comisiones (sep)"/>
      <sheetName val="Análisis Comisiones"/>
      <sheetName val="No proporcionales"/>
      <sheetName val="Comisiones"/>
      <sheetName val="Reaseguros Cedidos"/>
      <sheetName val="Serv. Administrativos"/>
      <sheetName val="MMA Conserv y Mant"/>
      <sheetName val="Ansalisis Conserv y Mant"/>
      <sheetName val="Comisión Brokers"/>
      <sheetName val="Comisión Nova"/>
      <sheetName val="MMA Prelim."/>
      <sheetName val="APT Comisiones"/>
      <sheetName val="MMA Sep"/>
      <sheetName val="Sueldos-Benef Cía"/>
      <sheetName val="Sueldos-Benf. Estaciones"/>
      <sheetName val="Movimiento Benf. Soc"/>
      <sheetName val="CG Vigilancia"/>
      <sheetName val="Sobresueldos"/>
      <sheetName val="Base de Datos"/>
      <sheetName val="Análisis Base de datos"/>
      <sheetName val="MMA Preliminar"/>
      <sheetName val="Asesorías y Honorarios"/>
      <sheetName val="Benef. Sociales"/>
      <sheetName val="MMA Gastos Final"/>
      <sheetName val="MMA Gastos Prelim."/>
      <sheetName val="Detalle Convenios"/>
      <sheetName val="Análisis de Comisiones"/>
      <sheetName val="Cobertura Seguros"/>
      <sheetName val="MMA Comisiones"/>
      <sheetName val="Análisis APT Gastos"/>
      <sheetName val="Análisis Siniestros"/>
      <sheetName val="Cobertura Exterior"/>
      <sheetName val="Detalle Siniestros"/>
      <sheetName val="Siniestros Ajustes Manuales"/>
      <sheetName val="Analisis Siniestros"/>
      <sheetName val="Siniestros Anulados"/>
      <sheetName val="Gs. Adm."/>
      <sheetName val="Gs. Ventas"/>
      <sheetName val="Calc. Gl. Honorarios"/>
      <sheetName val="Cálculo global"/>
      <sheetName val="Análisis de honorarios"/>
      <sheetName val="Empleados y Funcionarios"/>
      <sheetName val="MMA Comisiones Prelim."/>
      <sheetName val="MMA Liq. Rescates"/>
      <sheetName val="Remuneraciones "/>
      <sheetName val="Otros pagos"/>
      <sheetName val="Personal"/>
      <sheetName val="Total"/>
      <sheetName val="2002 "/>
      <sheetName val="2002"/>
      <sheetName val="2001 2002"/>
      <sheetName val="2001.2002"/>
      <sheetName val="Selección resumen"/>
      <sheetName val="Testing"/>
      <sheetName val="MMA Pagos"/>
      <sheetName val="APT Pagos"/>
      <sheetName val="Análisis saldos negativos"/>
      <sheetName val="Detalle Final"/>
      <sheetName val="MMA APT-Hugo"/>
      <sheetName val="Detalle-Hugo"/>
      <sheetName val="Sueldos (prel.)"/>
      <sheetName val="APT de todo"/>
      <sheetName val="MMA APT (2)"/>
      <sheetName val="Detalle (2)- prueba"/>
      <sheetName val="APT "/>
      <sheetName val="Reembolso Gstos"/>
      <sheetName val="Tarjeta Crédito"/>
      <sheetName val="Resnet"/>
      <sheetName val="Detalle-Preliminar"/>
      <sheetName val="Límites "/>
      <sheetName val="MMA - Final"/>
      <sheetName val="APT - Gastos"/>
      <sheetName val="Detalle "/>
      <sheetName val="CMA_SampleDesign"/>
      <sheetName val="DialogInsert"/>
      <sheetName val="Calculo S.B."/>
      <sheetName val="APT Final"/>
      <sheetName val="APT Preliminar"/>
      <sheetName val="Sueldos "/>
      <sheetName val="Límite Honorarios"/>
      <sheetName val="Excess Calc"/>
      <sheetName val="Pivot centro de Costo"/>
      <sheetName val="Base Pivot"/>
      <sheetName val="Agrupación"/>
      <sheetName val="Tercerizadoras"/>
      <sheetName val="Trabajo de Terceros"/>
      <sheetName val="APT Prelim"/>
      <sheetName val="Hoja de Datos"/>
      <sheetName val="Bienes y Serv. Cons"/>
      <sheetName val="Asistencia Técnica"/>
      <sheetName val="Fedapal"/>
      <sheetName val="Ancupa"/>
      <sheetName val="Calc. Límite"/>
      <sheetName val="Análisis de Adic."/>
      <sheetName val="Primas"/>
      <sheetName val="Analisis de Roles"/>
      <sheetName val="SA Procedures"/>
      <sheetName val="Expectation"/>
      <sheetName val="Explanation"/>
      <sheetName val="Análisis de Nómina"/>
      <sheetName val="Gastos Apt"/>
      <sheetName val="Serv. Comercialización"/>
      <sheetName val="Imp. salida Div."/>
      <sheetName val="Cal Global Sueldos"/>
      <sheetName val="Cálculo Tercerizadora"/>
      <sheetName val="Rotators"/>
      <sheetName val="MMA Rotators"/>
      <sheetName val="Análisis Rotators"/>
      <sheetName val="Expatriados y Consultores"/>
      <sheetName val="Facturas Exp y Consult"/>
      <sheetName val="Nota EEFF"/>
      <sheetName val="Cálculo global de Nómina"/>
      <sheetName val="Limites"/>
      <sheetName val="Analisis Gastos APT"/>
      <sheetName val="Honorarios 2"/>
      <sheetName val="Provisiones"/>
      <sheetName val="Asesorías relacionadas"/>
      <sheetName val="Hon"/>
      <sheetName val="Sueldos y Salarios"/>
      <sheetName val="Detalle de Primas"/>
      <sheetName val="Honorarios (2)"/>
      <sheetName val="APT de Gastos"/>
      <sheetName val="Asesoría Técnica"/>
      <sheetName val="Arriendos "/>
      <sheetName val="Detalle."/>
      <sheetName val="Incentivos sobre resultados"/>
      <sheetName val="APT Iguals"/>
      <sheetName val="APT Gastos Fin"/>
      <sheetName val="Sueldos y Benef."/>
      <sheetName val="Limite Benef."/>
      <sheetName val="Transporte de Quimicos"/>
      <sheetName val="Servicios Ocasionales"/>
      <sheetName val="Cálculo Global de Sueldos"/>
      <sheetName val="APT Serv Profesionales"/>
      <sheetName val="Seguros "/>
      <sheetName val="Contingencias"/>
      <sheetName val="Detalle Contingencia Inundación"/>
      <sheetName val="Gastos según CC"/>
      <sheetName val="Cuentas con Saldos Contrarios"/>
      <sheetName val="Sueldos Temporales"/>
      <sheetName val="513551"/>
      <sheetName val="Gastos de Exportación"/>
      <sheetName val="Educación Médica Continua"/>
      <sheetName val="CMA Calculations"/>
      <sheetName val="Analisis Gastos"/>
      <sheetName val="Arriendos leasing"/>
      <sheetName val="Detalle Desembolsos por Capitul"/>
      <sheetName val="Comisión Supermaxi"/>
      <sheetName val="APT Fin"/>
      <sheetName val="Nota"/>
      <sheetName val="Bonificaciones"/>
      <sheetName val="Limite Nómina"/>
      <sheetName val="Limite Comisiones"/>
      <sheetName val="Imp. Contribuciones"/>
      <sheetName val="Análisis APT Prel."/>
      <sheetName val="Selección Gastos"/>
      <sheetName val="Muestra Gastos"/>
      <sheetName val="Servicios básicos"/>
      <sheetName val="APT Gasto"/>
      <sheetName val="Honorarios "/>
      <sheetName val="APT Gastos Operacionales"/>
      <sheetName val="APT terciarizados"/>
      <sheetName val="Comisión Schlumberger"/>
      <sheetName val="Expats"/>
      <sheetName val="APT Ingenieros"/>
      <sheetName val="MMA (f)"/>
      <sheetName val="MMA(p)"/>
      <sheetName val="MMA 2004"/>
      <sheetName val="Prov. Publicidad P&amp;A"/>
      <sheetName val="Gto Interes Fideicomisos"/>
      <sheetName val="Fee Casa Matriz"/>
      <sheetName val="Facturas Casa Matriz"/>
      <sheetName val="Clasificación Gtos. 31-Dec-08"/>
      <sheetName val="Clasificación Gtos. 31-Oc-08"/>
      <sheetName val="Comisiones Dic"/>
      <sheetName val="Contratos (reaseg no proporc)"/>
      <sheetName val="ANALISIS GTS."/>
      <sheetName val="CG Asesoria"/>
      <sheetName val="Comisiones Exterior"/>
      <sheetName val="Aporte Patronal"/>
      <sheetName val="Intereses"/>
      <sheetName val="Seguridad y Vigilancia"/>
      <sheetName val="Arrendamientos"/>
      <sheetName val="Otros Impuestos"/>
      <sheetName val="Gastos No Deducibles"/>
      <sheetName val="CMA Selections"/>
      <sheetName val="Análisis de APT"/>
      <sheetName val="Nota EF"/>
      <sheetName val="pruebas sustantivas"/>
      <sheetName val="Expectativa de gastos"/>
      <sheetName val="APT Prel"/>
      <sheetName val="Arriendo Inm"/>
      <sheetName val="Guardiania"/>
      <sheetName val="Transporte Mercaderías"/>
      <sheetName val="Determinación de Límites"/>
      <sheetName val="Gtos. Bancarios"/>
      <sheetName val="Límite Sueldos"/>
      <sheetName val="Reembolso gastos"/>
      <sheetName val="Nómina "/>
      <sheetName val="Recalculo de Nómina "/>
      <sheetName val="MMA Gastos Operacionales"/>
      <sheetName val="Guardianía"/>
      <sheetName val="Tab"/>
      <sheetName val="APT Gasto Arriendo"/>
      <sheetName val="Cálculo Comisión Schlumberger"/>
      <sheetName val="APT Rotators"/>
      <sheetName val="APT Expats"/>
      <sheetName val="Procedimiento"/>
      <sheetName val="Nómina Final"/>
      <sheetName val=" APT"/>
      <sheetName val="Servicios"/>
      <sheetName val="Bono Especial"/>
      <sheetName val="Fletes"/>
      <sheetName val="Límites Nómina Final"/>
      <sheetName val="Límites Nómina"/>
      <sheetName val="Prov. Incobrables"/>
      <sheetName val="CMA Calculations (2)"/>
      <sheetName val="Sueldos y Beneficios"/>
      <sheetName val="Notas EEFF"/>
      <sheetName val="Quito"/>
      <sheetName val="Guayaquil"/>
      <sheetName val="Gatos Sini- Reclamos "/>
      <sheetName val="P.1. Detalle"/>
      <sheetName val="P.2. APT Gastos (F)"/>
      <sheetName val="P.3. Analisis de Donaciones (F)"/>
      <sheetName val="P.4. Análisis Nómina (F)"/>
      <sheetName val="Arrendamiento Mercantil"/>
      <sheetName val="Límite cp"/>
      <sheetName val="Calculo Global de Sueldos"/>
      <sheetName val="Cálculo Arriendos"/>
      <sheetName val="Admin Base datos"/>
      <sheetName val="CálculoGlob. Consultores"/>
      <sheetName val="Cálculo Global Expatriados"/>
      <sheetName val="Cálculo Global Arriendos"/>
      <sheetName val="Gastos ADC"/>
      <sheetName val="Conta, Asesor y Otros"/>
      <sheetName val="Provisión Corpaq"/>
      <sheetName val="O&amp;M Manag. Fee Prel."/>
      <sheetName val="O&amp;M Manag. Fee Final"/>
      <sheetName val="Servipago"/>
      <sheetName val="O&amp;M Manag. Fee"/>
      <sheetName val="APT Gastos ADC"/>
      <sheetName val="Serv. contables y otros"/>
      <sheetName val="O&amp;M Manag Fee"/>
      <sheetName val="Serv.Contables y Otros"/>
      <sheetName val="O&amp;M Management Fee"/>
      <sheetName val="Nota a los EEFF"/>
      <sheetName val="APT Gastos Prel"/>
      <sheetName val="Contab, Ases, Otros "/>
      <sheetName val="O&amp;M Exp.Onshore"/>
      <sheetName val="O&amp;M Exp.Offshore"/>
      <sheetName val="Corpaq Concession Fee"/>
      <sheetName val="O&amp;M Manag. Fee  Sept"/>
      <sheetName val="Calculo Global Honorarios"/>
      <sheetName val="O&amp;M Expenses Onshore"/>
      <sheetName val="O&amp;M Expenses Offshore"/>
      <sheetName val="O&amp;M Managt Fee Jul"/>
      <sheetName val="Servicios contables y otros"/>
      <sheetName val="Nomina"/>
      <sheetName val="Selección Empleados"/>
      <sheetName val="Cálculo  Arriendos"/>
      <sheetName val="Management"/>
      <sheetName val="Impuestos"/>
      <sheetName val="F316"/>
      <sheetName val="Salarios y beneficios sociales"/>
      <sheetName val="Límites Final"/>
      <sheetName val="Detalle Costos"/>
      <sheetName val="Límite am"/>
      <sheetName val="Gastos Generales "/>
      <sheetName val="Selección MMA"/>
      <sheetName val="Seguridad"/>
      <sheetName val="Internet"/>
      <sheetName val="G. Administr. Interfondos"/>
      <sheetName val="Gtos. Operación"/>
      <sheetName val="Suedos Dic'06"/>
      <sheetName val="Sueldos Aug'06"/>
      <sheetName val="Sueldos Jul'06"/>
      <sheetName val="Honorarios Dic'06"/>
      <sheetName val="Honorarios Aug'06"/>
      <sheetName val="Honorarios Jul'06"/>
      <sheetName val="MMA Serv. Varios"/>
      <sheetName val="Serv. Varios"/>
      <sheetName val="Contratos Dic'06"/>
      <sheetName val="Contratos Aug'06"/>
      <sheetName val="Contratos Jul'06"/>
      <sheetName val="MMA Desembolsos Contr."/>
      <sheetName val="An. Desembolsos Contr."/>
      <sheetName val="Subselección APT"/>
      <sheetName val="CalcArriend"/>
      <sheetName val="Subselección Apt Final"/>
      <sheetName val="Subselección APT Preliminar"/>
      <sheetName val="Análisis de liquidaciones"/>
      <sheetName val="Analisis Gastos APT "/>
      <sheetName val="Analisis de Honorarios"/>
      <sheetName val="CMA Calculations (Final)"/>
      <sheetName val="CMA Calculations (Preli)"/>
      <sheetName val="Límites Provisiones"/>
      <sheetName val="Nomina Final"/>
      <sheetName val="Courier"/>
      <sheetName val="Recálculo Nómina"/>
      <sheetName val="Nómina Prelim"/>
      <sheetName val="APT Prel_Final"/>
      <sheetName val="Nómina Ec"/>
      <sheetName val="Nómina 2011 (2)"/>
      <sheetName val="Honorarios Prof YP"/>
      <sheetName val="Honorarios Prof. Gerenciales"/>
      <sheetName val="Arriendos YP"/>
      <sheetName val="Partidas a analizar"/>
      <sheetName val="Nomina (2)"/>
      <sheetName val="Conclusión"/>
      <sheetName val="Serv. Comerc."/>
      <sheetName val="Seguros Prelim"/>
      <sheetName val="Seguros Fin"/>
      <sheetName val="CG Nómina"/>
      <sheetName val="Revisión Otros Gastos"/>
      <sheetName val="Análisis de Variaciones"/>
      <sheetName val="Análisis ISD"/>
      <sheetName val="Procedimientos"/>
      <sheetName val="Vigilancia APT"/>
      <sheetName val="Servicios Administrativos"/>
      <sheetName val="Alquiler Veh"/>
      <sheetName val="Alquiler Inmueble"/>
      <sheetName val="Serv. Tecn. y Arrendm."/>
      <sheetName val="Cálculo selección de APT"/>
      <sheetName val="Analisis APT"/>
      <sheetName val="Variación de Gastos"/>
      <sheetName val="Honorarios APT"/>
      <sheetName val="Nómina Quito"/>
      <sheetName val="Nómina Guayaquil"/>
      <sheetName val="Calculo Global Nomina"/>
      <sheetName val="Renta"/>
      <sheetName val="Cálculo de benficios sociales"/>
      <sheetName val="Análisis Nómina"/>
      <sheetName val="A. Servicios Corporativos"/>
      <sheetName val="Analsis Gastos APT"/>
      <sheetName val="Benef. Sociales "/>
      <sheetName val="Fact Allocations Dic 08"/>
      <sheetName val="Facturación Allocations"/>
      <sheetName val="Allocations"/>
      <sheetName val="Transporte OCP"/>
      <sheetName val="Corte Tardío"/>
      <sheetName val="Ley Medio Ambiente"/>
      <sheetName val="MMA Select Gastos APT"/>
      <sheetName val="08"/>
      <sheetName val="Análisis Arriendos APT"/>
      <sheetName val="Análisis Honorarios APT "/>
      <sheetName val="Cálculo Global Beneficios Socia"/>
      <sheetName val="Resumen por cuenta"/>
      <sheetName val="Cont. Selec"/>
      <sheetName val="Vacaciones"/>
      <sheetName val="Gasto Petroecuador"/>
      <sheetName val="Selección Gastos APT Final"/>
      <sheetName val="Límite de Nómina"/>
      <sheetName val="Límite de Nóminca"/>
      <sheetName val="Gto arriendo Vehi Ofic"/>
      <sheetName val="Calculo ingresos Inmocastle"/>
      <sheetName val="Contratos Varios APT"/>
      <sheetName val="Fletes y Promoc"/>
      <sheetName val="Worksheet in 8330 Análisis de G"/>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sheetData sheetId="9" refreshError="1"/>
      <sheetData sheetId="10" refreshError="1"/>
      <sheetData sheetId="11" refreshError="1"/>
      <sheetData sheetId="12"/>
      <sheetData sheetId="13"/>
      <sheetData sheetId="14"/>
      <sheetData sheetId="15" refreshError="1"/>
      <sheetData sheetId="16" refreshError="1"/>
      <sheetData sheetId="17"/>
      <sheetData sheetId="18"/>
      <sheetData sheetId="19"/>
      <sheetData sheetId="20"/>
      <sheetData sheetId="21"/>
      <sheetData sheetId="22" refreshError="1"/>
      <sheetData sheetId="23"/>
      <sheetData sheetId="24" refreshError="1"/>
      <sheetData sheetId="25" refreshError="1"/>
      <sheetData sheetId="26" refreshError="1"/>
      <sheetData sheetId="27"/>
      <sheetData sheetId="28"/>
      <sheetData sheetId="29"/>
      <sheetData sheetId="30"/>
      <sheetData sheetId="31"/>
      <sheetData sheetId="32" refreshError="1"/>
      <sheetData sheetId="33" refreshError="1"/>
      <sheetData sheetId="34"/>
      <sheetData sheetId="35" refreshError="1"/>
      <sheetData sheetId="36" refreshError="1"/>
      <sheetData sheetId="37"/>
      <sheetData sheetId="38"/>
      <sheetData sheetId="39" refreshError="1"/>
      <sheetData sheetId="40" refreshError="1"/>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sheetData sheetId="60">
        <row r="16">
          <cell r="F16">
            <v>180529</v>
          </cell>
        </row>
      </sheetData>
      <sheetData sheetId="61"/>
      <sheetData sheetId="62"/>
      <sheetData sheetId="63"/>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sheetData sheetId="74" refreshError="1"/>
      <sheetData sheetId="75"/>
      <sheetData sheetId="76"/>
      <sheetData sheetId="77"/>
      <sheetData sheetId="78"/>
      <sheetData sheetId="79" refreshError="1"/>
      <sheetData sheetId="80"/>
      <sheetData sheetId="81"/>
      <sheetData sheetId="82"/>
      <sheetData sheetId="83"/>
      <sheetData sheetId="84" refreshError="1"/>
      <sheetData sheetId="85"/>
      <sheetData sheetId="86" refreshError="1"/>
      <sheetData sheetId="87"/>
      <sheetData sheetId="88"/>
      <sheetData sheetId="89"/>
      <sheetData sheetId="90"/>
      <sheetData sheetId="9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sheetData sheetId="122"/>
      <sheetData sheetId="123"/>
      <sheetData sheetId="124" refreshError="1"/>
      <sheetData sheetId="125"/>
      <sheetData sheetId="126" refreshError="1"/>
      <sheetData sheetId="127" refreshError="1"/>
      <sheetData sheetId="128"/>
      <sheetData sheetId="129" refreshError="1"/>
      <sheetData sheetId="130"/>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sheetData sheetId="150" refreshError="1"/>
      <sheetData sheetId="151"/>
      <sheetData sheetId="152"/>
      <sheetData sheetId="153" refreshError="1"/>
      <sheetData sheetId="154" refreshError="1"/>
      <sheetData sheetId="155" refreshError="1"/>
      <sheetData sheetId="156"/>
      <sheetData sheetId="157" refreshError="1"/>
      <sheetData sheetId="158" refreshError="1"/>
      <sheetData sheetId="159"/>
      <sheetData sheetId="160"/>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sheetData sheetId="173" refreshError="1"/>
      <sheetData sheetId="174" refreshError="1"/>
      <sheetData sheetId="175" refreshError="1"/>
      <sheetData sheetId="176" refreshError="1"/>
      <sheetData sheetId="177" refreshError="1"/>
      <sheetData sheetId="178" refreshError="1"/>
      <sheetData sheetId="179"/>
      <sheetData sheetId="180"/>
      <sheetData sheetId="181"/>
      <sheetData sheetId="182"/>
      <sheetData sheetId="183"/>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sheetData sheetId="216" refreshError="1"/>
      <sheetData sheetId="217" refreshError="1"/>
      <sheetData sheetId="218" refreshError="1"/>
      <sheetData sheetId="219" refreshError="1"/>
      <sheetData sheetId="220"/>
      <sheetData sheetId="221"/>
      <sheetData sheetId="222"/>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sheetData sheetId="235"/>
      <sheetData sheetId="236"/>
      <sheetData sheetId="237"/>
      <sheetData sheetId="238"/>
      <sheetData sheetId="239" refreshError="1"/>
      <sheetData sheetId="240"/>
      <sheetData sheetId="24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sheetData sheetId="265"/>
      <sheetData sheetId="266"/>
      <sheetData sheetId="267" refreshError="1"/>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refreshError="1"/>
      <sheetData sheetId="286"/>
      <sheetData sheetId="287"/>
      <sheetData sheetId="288" refreshError="1"/>
      <sheetData sheetId="289" refreshError="1"/>
      <sheetData sheetId="290"/>
      <sheetData sheetId="291"/>
      <sheetData sheetId="292"/>
      <sheetData sheetId="293"/>
      <sheetData sheetId="294"/>
      <sheetData sheetId="295" refreshError="1"/>
      <sheetData sheetId="296" refreshError="1"/>
      <sheetData sheetId="297" refreshError="1"/>
      <sheetData sheetId="298" refreshError="1"/>
      <sheetData sheetId="299" refreshError="1"/>
      <sheetData sheetId="300" refreshError="1"/>
      <sheetData sheetId="301"/>
      <sheetData sheetId="302"/>
      <sheetData sheetId="303"/>
      <sheetData sheetId="304" refreshError="1"/>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sheetData sheetId="319" refreshError="1"/>
      <sheetData sheetId="320"/>
      <sheetData sheetId="321" refreshError="1"/>
      <sheetData sheetId="322" refreshError="1"/>
      <sheetData sheetId="323"/>
      <sheetData sheetId="324"/>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sheetData sheetId="362" refreshError="1"/>
      <sheetData sheetId="363" refreshError="1"/>
      <sheetData sheetId="364"/>
      <sheetData sheetId="365"/>
      <sheetData sheetId="366"/>
      <sheetData sheetId="367"/>
      <sheetData sheetId="368"/>
      <sheetData sheetId="369"/>
      <sheetData sheetId="370"/>
      <sheetData sheetId="371" refreshError="1"/>
      <sheetData sheetId="372" refreshError="1"/>
      <sheetData sheetId="373"/>
      <sheetData sheetId="374"/>
      <sheetData sheetId="375"/>
      <sheetData sheetId="376"/>
      <sheetData sheetId="377" refreshError="1"/>
      <sheetData sheetId="378" refreshError="1"/>
      <sheetData sheetId="379" refreshError="1"/>
      <sheetData sheetId="380"/>
      <sheetData sheetId="381" refreshError="1"/>
      <sheetData sheetId="382"/>
      <sheetData sheetId="383" refreshError="1"/>
      <sheetData sheetId="384" refreshError="1"/>
      <sheetData sheetId="385"/>
      <sheetData sheetId="386" refreshError="1"/>
      <sheetData sheetId="387" refreshError="1"/>
      <sheetData sheetId="388" refreshError="1"/>
      <sheetData sheetId="389"/>
      <sheetData sheetId="390" refreshError="1"/>
      <sheetData sheetId="391"/>
      <sheetData sheetId="392" refreshError="1"/>
      <sheetData sheetId="393"/>
      <sheetData sheetId="394"/>
      <sheetData sheetId="395"/>
      <sheetData sheetId="396"/>
      <sheetData sheetId="397"/>
      <sheetData sheetId="398"/>
      <sheetData sheetId="399"/>
      <sheetData sheetId="400" refreshError="1"/>
      <sheetData sheetId="401" refreshError="1"/>
      <sheetData sheetId="402" refreshError="1"/>
      <sheetData sheetId="403" refreshError="1"/>
      <sheetData sheetId="404"/>
      <sheetData sheetId="405" refreshError="1"/>
      <sheetData sheetId="406" refreshError="1"/>
      <sheetData sheetId="407" refreshError="1"/>
      <sheetData sheetId="408" refreshError="1"/>
      <sheetData sheetId="409" refreshError="1"/>
      <sheetData sheetId="410"/>
      <sheetData sheetId="411" refreshError="1"/>
      <sheetData sheetId="412" refreshError="1"/>
      <sheetData sheetId="413" refreshError="1"/>
      <sheetData sheetId="414" refreshError="1"/>
      <sheetData sheetId="415" refreshError="1"/>
      <sheetData sheetId="416" refreshError="1"/>
      <sheetData sheetId="417"/>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sheetData sheetId="432" refreshError="1"/>
      <sheetData sheetId="433" refreshError="1"/>
      <sheetData sheetId="434"/>
      <sheetData sheetId="435"/>
      <sheetData sheetId="436"/>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sheetData sheetId="466" refreshError="1"/>
      <sheetData sheetId="467"/>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sheetData sheetId="477"/>
      <sheetData sheetId="478"/>
      <sheetData sheetId="479"/>
      <sheetData sheetId="480"/>
      <sheetData sheetId="481"/>
      <sheetData sheetId="482"/>
      <sheetData sheetId="483"/>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sheetData sheetId="494" refreshError="1"/>
      <sheetData sheetId="495" refreshError="1"/>
      <sheetData sheetId="496"/>
      <sheetData sheetId="497"/>
      <sheetData sheetId="498"/>
      <sheetData sheetId="499"/>
      <sheetData sheetId="500"/>
      <sheetData sheetId="501"/>
      <sheetData sheetId="502"/>
      <sheetData sheetId="503"/>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refreshError="1"/>
      <sheetData sheetId="513"/>
      <sheetData sheetId="514" refreshError="1"/>
      <sheetData sheetId="515"/>
      <sheetData sheetId="516" refreshError="1"/>
      <sheetData sheetId="517" refreshError="1"/>
      <sheetData sheetId="518"/>
      <sheetData sheetId="519" refreshError="1"/>
      <sheetData sheetId="520"/>
      <sheetData sheetId="521"/>
      <sheetData sheetId="522"/>
      <sheetData sheetId="523"/>
      <sheetData sheetId="524" refreshError="1"/>
      <sheetData sheetId="525"/>
      <sheetData sheetId="526"/>
      <sheetData sheetId="527"/>
      <sheetData sheetId="528"/>
      <sheetData sheetId="529"/>
      <sheetData sheetId="530"/>
      <sheetData sheetId="531"/>
      <sheetData sheetId="532" refreshError="1"/>
      <sheetData sheetId="533" refreshError="1"/>
      <sheetData sheetId="534" refreshError="1"/>
      <sheetData sheetId="535"/>
      <sheetData sheetId="536" refreshError="1"/>
      <sheetData sheetId="537" refreshError="1"/>
      <sheetData sheetId="538" refreshError="1"/>
      <sheetData sheetId="539"/>
      <sheetData sheetId="540"/>
      <sheetData sheetId="541"/>
      <sheetData sheetId="542"/>
      <sheetData sheetId="543"/>
      <sheetData sheetId="544"/>
      <sheetData sheetId="545"/>
      <sheetData sheetId="546" refreshError="1"/>
      <sheetData sheetId="547" refreshError="1"/>
      <sheetData sheetId="548"/>
      <sheetData sheetId="549"/>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refreshError="1"/>
      <sheetData sheetId="576" refreshError="1"/>
      <sheetData sheetId="577" refreshError="1"/>
      <sheetData sheetId="578" refreshError="1"/>
      <sheetData sheetId="579" refreshError="1"/>
      <sheetData sheetId="580"/>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refreshError="1"/>
      <sheetData sheetId="607" refreshError="1"/>
      <sheetData sheetId="608" refreshError="1"/>
      <sheetData sheetId="609" refreshError="1"/>
      <sheetData sheetId="610"/>
      <sheetData sheetId="611"/>
      <sheetData sheetId="612" refreshError="1"/>
      <sheetData sheetId="613" refreshError="1"/>
      <sheetData sheetId="614" refreshError="1"/>
      <sheetData sheetId="615" refreshError="1"/>
      <sheetData sheetId="616" refreshError="1"/>
      <sheetData sheetId="617" refreshError="1"/>
      <sheetData sheetId="618"/>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sheetData sheetId="632"/>
      <sheetData sheetId="633"/>
      <sheetData sheetId="634"/>
      <sheetData sheetId="635"/>
      <sheetData sheetId="636"/>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sheetData sheetId="647"/>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sheetData sheetId="659"/>
      <sheetData sheetId="660" refreshError="1"/>
      <sheetData sheetId="661" refreshError="1"/>
      <sheetData sheetId="662" refreshError="1"/>
      <sheetData sheetId="663" refreshError="1"/>
      <sheetData sheetId="664"/>
      <sheetData sheetId="665"/>
      <sheetData sheetId="666"/>
      <sheetData sheetId="667"/>
      <sheetData sheetId="668"/>
      <sheetData sheetId="669"/>
      <sheetData sheetId="670"/>
      <sheetData sheetId="671"/>
      <sheetData sheetId="672"/>
      <sheetData sheetId="673"/>
      <sheetData sheetId="674"/>
      <sheetData sheetId="675"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imientos"/>
      <sheetName val="Análisis Ret Fuente"/>
      <sheetName val="IVA"/>
      <sheetName val="Retención IVA"/>
      <sheetName val="Ice"/>
      <sheetName val="Análisis IVA"/>
      <sheetName val="XREF"/>
    </sheetNames>
    <sheetDataSet>
      <sheetData sheetId="0"/>
      <sheetData sheetId="1"/>
      <sheetData sheetId="2"/>
      <sheetData sheetId="3"/>
      <sheetData sheetId="4"/>
      <sheetData sheetId="5" refreshError="1"/>
      <sheetData sheetId="6"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v Benef Sociales"/>
      <sheetName val="Calc Prov Benef Sociales"/>
      <sheetName val="Límites"/>
      <sheetName val="Análisis de Sueldos (Final)"/>
      <sheetName val="Análisis de Sueldos (Prelim.)"/>
      <sheetName val="Varios sucres"/>
      <sheetName val="Varios dólares"/>
      <sheetName val="Prov. dólares"/>
      <sheetName val="XREF"/>
      <sheetName val="Tickmarks"/>
      <sheetName val="#REF"/>
      <sheetName val="Otras provisiones"/>
      <sheetName val="CxP Diferidas"/>
      <sheetName val="Asesoría"/>
      <sheetName val="Marcas Estándar"/>
      <sheetName val="Det. Ctas x Liq"/>
      <sheetName val="Det. Imp x Pag"/>
      <sheetName val="Det. Gtos. Acum."/>
      <sheetName val="Det. Otras CxP"/>
      <sheetName val="Plan.IESS"/>
      <sheetName val="Detalle Gtos Acum"/>
      <sheetName val="Mov.Ben.Soc."/>
      <sheetName val="MMA"/>
      <sheetName val="Análisis Gto Publicidad"/>
      <sheetName val="Reserva Publicidad"/>
      <sheetName val="Análisis Remunerativo Final"/>
      <sheetName val="Cálculo Global Sueldo"/>
      <sheetName val="Análisis Gtos.Oper.Final"/>
      <sheetName val="Cálculo gasto ben.soc. IESS"/>
      <sheetName val="Préstamos"/>
      <sheetName val="Detalle IESS"/>
      <sheetName val="Mov. Imp. Rta"/>
      <sheetName val="Cálculo Interes."/>
      <sheetName val="Mov. Ben. Sociales"/>
      <sheetName val="laroux"/>
      <sheetName val="Detalle1"/>
      <sheetName val="Mov Benf Soc"/>
      <sheetName val="C.Global"/>
      <sheetName val="Cálculo de gastos"/>
      <sheetName val="Cálculo de gastos,arriendos"/>
      <sheetName val="PROVPREST"/>
      <sheetName val="Nota"/>
      <sheetName val="Movimiento"/>
      <sheetName val="Calc. Global Benef.(Prel) "/>
      <sheetName val="Calc. Global Benef. (Final)"/>
      <sheetName val="Imp. Munic."/>
      <sheetName val="Calc. Límites"/>
      <sheetName val="Tabla Límites"/>
      <sheetName val="Det.Benef.Socia"/>
      <sheetName val="Chs.Girados y no cob."/>
      <sheetName val="Otras prov."/>
      <sheetName val="Varios acreedo"/>
      <sheetName val="Mov. Benef.Soc."/>
      <sheetName val="Sueldos 2001"/>
      <sheetName val="Cálculo Benef. Sociales"/>
      <sheetName val="Cálculo Benef. Sociales "/>
      <sheetName val="Detalle"/>
      <sheetName val="Mov.Benef.Soc."/>
      <sheetName val="Mov.Prov."/>
      <sheetName val="calcuglobal"/>
      <sheetName val="ANEXOS (Final)"/>
      <sheetName val="Anexo(Prel.)"/>
      <sheetName val="Planilla IESS"/>
      <sheetName val="Prov. Benef.Soc."/>
      <sheetName val="Gasto Benf. Soc."/>
      <sheetName val="IVA"/>
      <sheetName val="Ret. IVA"/>
      <sheetName val="Ret Fuente"/>
      <sheetName val="Mov. 15% e IR"/>
      <sheetName val="Detalle Relacionadas"/>
      <sheetName val="Benf.Soc. PPC"/>
      <sheetName val="CG Benef. Soc."/>
      <sheetName val="Oblig. Partic."/>
      <sheetName val="IVA PPC"/>
      <sheetName val="Hoja 1"/>
      <sheetName val="Nota EEFF"/>
      <sheetName val="CxP varios"/>
      <sheetName val="Plan.IESS-Quito"/>
      <sheetName val="Plan.IESS-Gquil"/>
      <sheetName val="Consolidado"/>
      <sheetName val="Provisiones"/>
      <sheetName val="Aporte IESS"/>
      <sheetName val="Mov. Benef. Soc."/>
      <sheetName val="Calc. Benef. Soc. "/>
      <sheetName val="Sheet1"/>
      <sheetName val="Obligc.(Prel)"/>
      <sheetName val="Obligc. (FinaI)"/>
      <sheetName val="Calc. Global Benef. (Prel)"/>
      <sheetName val="Mov. Benef. Socs."/>
      <sheetName val="Manejo de nómina"/>
      <sheetName val="Prov-jubilac "/>
      <sheetName val="Mov-15% e IR"/>
      <sheetName val="Cálculo Desahucio J. Ruiz"/>
      <sheetName val="Obligc."/>
      <sheetName val="Calc. Global Benef."/>
      <sheetName val="mov-jubilac "/>
      <sheetName val="Beneficios Sociales"/>
      <sheetName val="A. Remunerativo"/>
      <sheetName val="Mov-15% e IR 14"/>
      <sheetName val="Mov. Jub y Desah"/>
      <sheetName val="Oblig.Sociales"/>
      <sheetName val="CxP Varias"/>
      <sheetName val="Retenciones"/>
      <sheetName val="Ctas x Cobrar-Pagar"/>
      <sheetName val="Registros"/>
      <sheetName val="Ctas x Pag Com Dist+Seg"/>
      <sheetName val="Gtos.Adm. Control"/>
      <sheetName val="Gtos.Adm. Antiguos"/>
      <sheetName val="Ctas x P Seg Colonial"/>
      <sheetName val="Imp. Renta y Part. Trab."/>
      <sheetName val="Detalles"/>
      <sheetName val="Calc. Global Benef. (Sep)"/>
      <sheetName val="Aná Sep Rol"/>
      <sheetName val="Antic. Clientes"/>
      <sheetName val="Ticmarks"/>
      <sheetName val="Unidad LiquidacPauwels"/>
      <sheetName val="CuentasPagar"/>
      <sheetName val="Otros Pasivos Ctes"/>
      <sheetName val="Obligac Patron"/>
      <sheetName val="Tildes"/>
      <sheetName val="Movimiento Benef Socl"/>
      <sheetName val="Planillas IESS"/>
      <sheetName val="Límite"/>
      <sheetName val="Análisis Remunerativo"/>
      <sheetName val="Det. Cargas sociales"/>
      <sheetName val="Det. Ret Terceros"/>
      <sheetName val="Det. Prov Varios"/>
      <sheetName val="Det.  Otros "/>
      <sheetName val="Mov. Benf. Soc."/>
      <sheetName val="Mov. I R y PT"/>
      <sheetName val="Mov. Prov. "/>
      <sheetName val="Cal I. R. y Part. Trab."/>
      <sheetName val="Mov.Beneficios Soc."/>
      <sheetName val="IESS"/>
      <sheetName val="Nota a los EEFF"/>
      <sheetName val="Mov. Part Trab."/>
      <sheetName val="Mov. Imp. Rta."/>
      <sheetName val="Otras CxPagar"/>
      <sheetName val="Planillas de IESS"/>
      <sheetName val="Mov. Benef. sociales"/>
      <sheetName val="Mov. Impto. Renta"/>
      <sheetName val="M-BSOC"/>
      <sheetName val="Calc.Global TEC"/>
      <sheetName val="Mov Imp. Renta"/>
      <sheetName val="Mov. Part. Trabajadores"/>
      <sheetName val="C.Global-Benef. Sociales"/>
      <sheetName val="Calc.Global.Benef."/>
      <sheetName val="Mov.Part.Trab.-Impt.Rta."/>
      <sheetName val="Calc. Global Benef. "/>
      <sheetName val="Movimiento Benef.Soc."/>
      <sheetName val="Pagos a Proveedores"/>
      <sheetName val="Mov. ImptoRta y 15%PT"/>
      <sheetName val="Anticipo clientes"/>
      <sheetName val="Detalle Int. Pagar"/>
      <sheetName val="Benef. Socs. y Préstamos Empl"/>
      <sheetName val="Mov Benef Soc"/>
      <sheetName val="Calculo Global"/>
      <sheetName val="Factur. MP Graphycs"/>
      <sheetName val="CG. Beneficios Sociales"/>
      <sheetName val="CG Pers. 8%"/>
      <sheetName val="Análisis de Anticipos"/>
      <sheetName val="Mov. 15% y IR"/>
      <sheetName val="Detalle beneficios"/>
      <sheetName val="Detalle Sueldos"/>
      <sheetName val="Planillas de IESS 2001"/>
      <sheetName val="Cálculo Global Ben. Soc"/>
      <sheetName val="IESS - Benf. Soc."/>
      <sheetName val="Dividendos"/>
      <sheetName val="Otras CxP"/>
      <sheetName val="CxP terceros"/>
      <sheetName val="Préstamos Accionistas"/>
      <sheetName val="Préstamos Accionistas (Final)"/>
      <sheetName val="Detalle Ben. Socs."/>
      <sheetName val="Mov.B.S"/>
      <sheetName val="Mov. Beneficios Sociales"/>
      <sheetName val="liquidaciones"/>
      <sheetName val="resume roles"/>
      <sheetName val="decimos"/>
      <sheetName val="Bonos e incentivos"/>
      <sheetName val="Análisis"/>
      <sheetName val="Bonos"/>
      <sheetName val="contratos"/>
      <sheetName val="Aj.bono.marzo"/>
      <sheetName val="Calc. Bene."/>
      <sheetName val="Indemnización"/>
      <sheetName val="Detalle Fondo"/>
      <sheetName val="Cálculo Benef. Soc"/>
      <sheetName val="Mov. Impto Renta"/>
      <sheetName val="Reten.IVA"/>
      <sheetName val="Ret. IR"/>
      <sheetName val="Ice"/>
      <sheetName val="Cálculo ICE"/>
      <sheetName val="Movimiento Beneficios sociales"/>
      <sheetName val="Det. emp."/>
      <sheetName val="Calc. Benef. Sociales"/>
      <sheetName val="Det.Prov. B.S"/>
      <sheetName val="Imp. x Pagar"/>
      <sheetName val="Det. OCxP"/>
      <sheetName val="Seleccion Pasivos"/>
      <sheetName val="Benefsoci (A-20)"/>
      <sheetName val="Detalle proveedores"/>
      <sheetName val="Detalle imp. x pagar"/>
      <sheetName val="Detalle otras CxP"/>
      <sheetName val="Proveedores"/>
      <sheetName val="Calc.Global.Benef. (2)"/>
      <sheetName val="Detalle CxP DINE"/>
      <sheetName val="Holding DINE"/>
      <sheetName val="Mov.Beneficios"/>
      <sheetName val="Anticipos"/>
      <sheetName val="Detalle Ant.Contrac."/>
      <sheetName val="Detalle Provisiones"/>
      <sheetName val="Impuesto"/>
      <sheetName val="Beneficios"/>
      <sheetName val="PPC"/>
      <sheetName val="Cuentas por pagar diferidas"/>
      <sheetName val="IESS X P"/>
      <sheetName val="Mov. Benef. Soc"/>
      <sheetName val="Movi. Benef."/>
      <sheetName val="Calc global provisiones"/>
      <sheetName val="Detalle de Gastos Acumulados"/>
      <sheetName val="Mov. Rep. Mant. Maq."/>
      <sheetName val="Otras Prov. Locales"/>
      <sheetName val="Movi. Benef. Soc."/>
      <sheetName val="Calc. Global B.S."/>
      <sheetName val="PPC-S5210"/>
      <sheetName val="Prov. Vac."/>
      <sheetName val="Impuestos"/>
      <sheetName val="Movi"/>
      <sheetName val="Particip."/>
      <sheetName val="Varios"/>
      <sheetName val="Pasivos no Registrados"/>
      <sheetName val="IESS Planillas"/>
      <sheetName val="Tickmark"/>
      <sheetName val="Anexo"/>
      <sheetName val="Benf. Sociales"/>
      <sheetName val="Cálculo beneficios"/>
      <sheetName val="Mov. gts. acum."/>
      <sheetName val="detalle gen. accruals"/>
      <sheetName val="Det.Gen.Exp.Acc-Dic"/>
      <sheetName val="detalle gen. expen."/>
      <sheetName val="T. Límite"/>
      <sheetName val="Beneficios Sociales (2)"/>
      <sheetName val="Detalle Ctasxpagar"/>
      <sheetName val="Calc.Int."/>
      <sheetName val="Movimiento BS"/>
      <sheetName val="Acredores Varios"/>
      <sheetName val="Anticipos clientes"/>
      <sheetName val="CGlobal"/>
      <sheetName val="Mov. Benefsoci"/>
      <sheetName val="Movimiento Impto.Rta."/>
      <sheetName val="C.G. Sueldos y Beneficios"/>
      <sheetName val="Servicios"/>
      <sheetName val="Mov Ben Soc"/>
      <sheetName val="Part Trab"/>
      <sheetName val="Dividendos 05"/>
      <sheetName val="Dividendos 04 "/>
      <sheetName val="Verf. pago a dividedos 04"/>
      <sheetName val="Jub. Patron."/>
      <sheetName val="Gratificaciones 04"/>
      <sheetName val="Mov. Beneficios"/>
      <sheetName val="CxP empleados"/>
      <sheetName val="Aportes"/>
      <sheetName val="empleados"/>
      <sheetName val="Mov. Jub y Provisión"/>
      <sheetName val="Calculo Desahucio e Indem."/>
      <sheetName val="ANTICP. CLTS. VEH. (PPC)"/>
      <sheetName val="Verific cartera"/>
      <sheetName val="Resumen Imp"/>
      <sheetName val="Gratificaciones"/>
      <sheetName val="Detalle de Gtos. Acum y OCxP"/>
      <sheetName val="Beneficios Sociales (P)"/>
      <sheetName val="Movimiento BS (P)"/>
      <sheetName val="Otros Acreedores (P)"/>
      <sheetName val="Anticipo Contr. Client (P)"/>
      <sheetName val="Provisiones (P)"/>
      <sheetName val="Resumen Planillas IESS"/>
      <sheetName val="Anticipos contrac."/>
      <sheetName val="Otros acreed."/>
      <sheetName val="Ret. Contractual Subcontratista"/>
      <sheetName val="Prov. Ret. Clientes"/>
      <sheetName val="Benef. soc."/>
      <sheetName val="Mov. Ben. Soc. (PPC)"/>
      <sheetName val="Otros Gastos Acumul."/>
      <sheetName val="Desahucio"/>
      <sheetName val="Prov. Overhold"/>
      <sheetName val="Imp. por pagar"/>
      <sheetName val="Jubilación Pat"/>
      <sheetName val="Mov. Ben. Soc."/>
      <sheetName val="Verf. pago a dividedos"/>
      <sheetName val="Ventas por liquidar"/>
      <sheetName val="Obligaciones bancarias"/>
      <sheetName val="Sheet2"/>
      <sheetName val="Movimiento Benef.Soc. "/>
      <sheetName val="Cuentas por pagar Q"/>
      <sheetName val="Varios acreedores"/>
      <sheetName val="Detail"/>
      <sheetName val="Mov Ind y Bon"/>
      <sheetName val="Otros gastos"/>
      <sheetName val="Varias provisiones"/>
      <sheetName val="Movimiento PT"/>
      <sheetName val="Mov Impto Rta"/>
      <sheetName val="Mov Comisiones"/>
      <sheetName val="Otros Gtos a Dic 03"/>
      <sheetName val="4109"/>
      <sheetName val="5231000"/>
      <sheetName val="Hoja1"/>
      <sheetName val="Proveedores Varios"/>
      <sheetName val="Personal Temps"/>
      <sheetName val="Garantías"/>
      <sheetName val="Otras CxP varias"/>
      <sheetName val="Ingresos Diferidos Prelim"/>
      <sheetName val="Analisis de Provisiones"/>
      <sheetName val="Mov Imp y Part"/>
      <sheetName val="Detalle Benef. Soc."/>
      <sheetName val="Cálculo Global Benef. Socia"/>
      <sheetName val="Honorarios"/>
      <sheetName val="Análisis Anticipos"/>
      <sheetName val="Detalle BSociales"/>
      <sheetName val="Calc. Global Aportes"/>
      <sheetName val="Sueldo x pagar"/>
      <sheetName val="Otras cuentas x pagar"/>
      <sheetName val="Cuentas por pagar"/>
      <sheetName val="Variable"/>
      <sheetName val="Interes por pagar Final"/>
      <sheetName val="Interes por pagar"/>
      <sheetName val="Gasto interés Final"/>
      <sheetName val="Gasto interés"/>
      <sheetName val="Cálculo Global Benef Soc."/>
      <sheetName val="Préstamo accionista Prel."/>
      <sheetName val="Mov. Beneficios social"/>
      <sheetName val="Aporte patronal"/>
      <sheetName val="Anticipo Vehículos"/>
      <sheetName val="Resumen planillas"/>
      <sheetName val="Calc. Beneficios Sociales"/>
      <sheetName val="Detalle Clientes Seguros"/>
      <sheetName val="ANTES"/>
      <sheetName val="Minoristas"/>
      <sheetName val="Ordenes Compra"/>
      <sheetName val="Transitoria"/>
      <sheetName val="Detalle, Benef. Sociales"/>
      <sheetName val="Detalle, Otras"/>
      <sheetName val="Mayores"/>
      <sheetName val="Mov Jubilación"/>
      <sheetName val="Movimiento Ctas Incob Y Inv Obs"/>
      <sheetName val="Mov Imp.Renta y Part. Trab."/>
      <sheetName val="Sueldos"/>
      <sheetName val="Pago de Utilidades"/>
      <sheetName val="Fondo Rotativo"/>
      <sheetName val="Otras cuentas por pagar"/>
      <sheetName val="Mov- I Renta"/>
      <sheetName val="mov garantias"/>
      <sheetName val="Calculo de Interés"/>
      <sheetName val="Otras provisioens"/>
      <sheetName val="Concil. Ret Fuente vs. Libr"/>
      <sheetName val="Concil. Ret. IVA vs. Libros"/>
      <sheetName val="IVA (2)"/>
      <sheetName val="Rol"/>
      <sheetName val="Planillas del IESS"/>
      <sheetName val="Provisión Bonos"/>
      <sheetName val="Otras CxP diferidas"/>
      <sheetName val="Book8"/>
      <sheetName val="Remuneraciones"/>
      <sheetName val="Mov.B.Sociales"/>
      <sheetName val="Otras Retenciones"/>
      <sheetName val="Mov.Impuesto Renta"/>
      <sheetName val="O. Reten."/>
      <sheetName val="O. Reten. (2)"/>
      <sheetName val="Análisis Ret Fuente"/>
      <sheetName val="Retención IVA"/>
      <sheetName val="Mov. OtrasxPagar"/>
      <sheetName val="Análisis APT"/>
      <sheetName val="Límite Prov."/>
      <sheetName val="Límite Gasto"/>
      <sheetName val="Imp. y Part."/>
      <sheetName val="Detalle BSociales y otros"/>
      <sheetName val="Sheet5"/>
      <sheetName val="Sheet6"/>
      <sheetName val="Sheet3"/>
      <sheetName val="Detalle de cuentas por pagar"/>
      <sheetName val="Mov.JubP&amp;D"/>
      <sheetName val="Mov. Impto Rta"/>
      <sheetName val="15% Trabajadores"/>
      <sheetName val="Calc. Global"/>
      <sheetName val="2002"/>
      <sheetName val="Mov. Benef Socia."/>
      <sheetName val="10% Servi."/>
      <sheetName val="Jubilación y Deshaucio"/>
      <sheetName val="Dividendos 06"/>
      <sheetName val="Otros"/>
      <sheetName val="Mov BS"/>
      <sheetName val="CG Beneficios Sociales"/>
      <sheetName val="Personal"/>
      <sheetName val="Intereses"/>
      <sheetName val="Benef Sociales"/>
      <sheetName val="V.Acreedores "/>
      <sheetName val="Mov. Regalías"/>
      <sheetName val="Cálculo Regalías"/>
      <sheetName val="Quito"/>
      <sheetName val="Guayaquil"/>
      <sheetName val="Cuenca"/>
      <sheetName val="Detalle Anticipos"/>
      <sheetName val="Pagos Posteriores"/>
      <sheetName val="Mov. Benef sociales"/>
      <sheetName val="Conces. Mall Andes"/>
      <sheetName val="Anal. Mall Andes"/>
      <sheetName val="Cálc.Global Benef.Soc."/>
      <sheetName val="Prov. Activos Fijos"/>
      <sheetName val="Bonificación Ejecutivo"/>
      <sheetName val="Movimiento Benef sociales"/>
      <sheetName val="Recálculo Bonif. Ejecut"/>
      <sheetName val="Mall Andes"/>
      <sheetName val="H"/>
      <sheetName val="Concesion Mall de los Andes Fin"/>
      <sheetName val="Planillas de Aporte al IESS"/>
      <sheetName val="Pagos de beneficios sociales"/>
      <sheetName val="Cálculo Global Gasto B.S"/>
      <sheetName val="Bonificación"/>
      <sheetName val="Cálculo Bonificación"/>
      <sheetName val="Participación "/>
      <sheetName val="Proveed.Activo Fijo"/>
      <sheetName val="Mantenimiento por Pagar"/>
      <sheetName val="Calc.  Ingreso Mall Andes"/>
      <sheetName val="Contratos Mall Andes"/>
      <sheetName val="Fact. Mall Andes"/>
      <sheetName val="Detalle de gastos Acum. y CxCob"/>
      <sheetName val="Cálculo Benf. Sociales (2)"/>
      <sheetName val="PROVISION SERV-TERCEROS"/>
      <sheetName val="PROVISION OTROS "/>
      <sheetName val="Provisión otros-personal"/>
      <sheetName val="Provisión Gtos-Exp."/>
      <sheetName val="Acreedores Div."/>
      <sheetName val="Prestamo M.P."/>
      <sheetName val="Movimiento Benf. Soc"/>
      <sheetName val="Fondo Reserva y Beneficios"/>
      <sheetName val="Movimiento Benef."/>
      <sheetName val="CalcProv.Benef. "/>
      <sheetName val="Movimiento provisiones"/>
      <sheetName val="Mov. Div. por Pagar"/>
      <sheetName val="Prov. Pagar"/>
      <sheetName val="Mov.Fondos Pool - Club B"/>
      <sheetName val="Beneficios Soc."/>
      <sheetName val="Base"/>
      <sheetName val="Gtos. Acumulados"/>
      <sheetName val="Beneficios contrato"/>
      <sheetName val="IESS2003"/>
      <sheetName val="Garantías ppc"/>
      <sheetName val="Análisis Garantias"/>
      <sheetName val="Descuentos"/>
      <sheetName val="Análisis descuentos"/>
      <sheetName val="Ret. del Imp al Ing. de Nóm E."/>
      <sheetName val="Provisiones Dsctos. (2)"/>
      <sheetName val="Garantias"/>
      <sheetName val="Cálculo Garantías"/>
      <sheetName val="Compensac. Especial."/>
      <sheetName val="Prov"/>
      <sheetName val="Ben Soc"/>
      <sheetName val="Gts Acum"/>
      <sheetName val="2030807"/>
      <sheetName val="Débito Provisiones"/>
      <sheetName val="Registro Prov."/>
      <sheetName val="Comisiones y Bono"/>
      <sheetName val="Mov. Benf Soc"/>
      <sheetName val="Otros Acreedores"/>
      <sheetName val="Mov. Impto - Part"/>
      <sheetName val="Acreedores FINAL"/>
      <sheetName val="Impt. Rta y Part"/>
      <sheetName val="OCP"/>
      <sheetName val="Acreedores"/>
      <sheetName val="Prov. Reten. IR"/>
      <sheetName val="Ret.Contract"/>
      <sheetName val="Mov. Impto Rta y Part. Trab"/>
      <sheetName val="Prov. Varias"/>
      <sheetName val="Acreedores (2)"/>
      <sheetName val="Acreedores Varios"/>
      <sheetName val="Mov.Provisiones"/>
      <sheetName val="Detalle Benef. Socs."/>
      <sheetName val="IMPTOS 04"/>
      <sheetName val="Prov.Comisión Vta"/>
      <sheetName val="Prov.Locutorios"/>
      <sheetName val="Proc.Gtos.Market"/>
      <sheetName val="Prov.NuevosNego"/>
      <sheetName val="Prov.Gtos.Sistemas"/>
      <sheetName val="Prov.Gto.Técnico"/>
      <sheetName val="Prov.Gtos.Finanz"/>
      <sheetName val="ProvGtosRRHH"/>
      <sheetName val="Det.IntxPagar"/>
      <sheetName val="Mov.Int.xPagar"/>
      <sheetName val="Benef.Sociales"/>
      <sheetName val="Derech&amp;Concesion"/>
      <sheetName val="Tarifa C"/>
      <sheetName val="Detalle de Otras CxP"/>
      <sheetName val="Valores por Facturar"/>
      <sheetName val="15%PT-25%IR (2)"/>
      <sheetName val="Detalle de beneficios sociales"/>
      <sheetName val="Calc. Global Benef.(Prel) sept."/>
      <sheetName val="derivados"/>
      <sheetName val="Garantías (ppc)"/>
      <sheetName val="Imptos (Dic04)"/>
      <sheetName val="Imptos (Ago04)"/>
      <sheetName val="Promociones"/>
      <sheetName val="Ctas X P Operac"/>
      <sheetName val="Provisiones Final"/>
      <sheetName val="Sobrantes"/>
      <sheetName val="Provisiones Prelim."/>
      <sheetName val="Otros X P"/>
      <sheetName val="Detalle de Proveedores"/>
      <sheetName val="Provisiones G."/>
      <sheetName val="Imp Rta y Part Trab"/>
      <sheetName val="Jubilación Patronal y Desahucio"/>
      <sheetName val="Prov Dsctos Dic"/>
      <sheetName val="Provisiones Descuentos Oct"/>
      <sheetName val="Miscelaneos"/>
      <sheetName val="Detalle Otras CXP y Gtos Ac"/>
      <sheetName val="CxP Miscelaneos"/>
      <sheetName val="Cias. Relacionadas"/>
      <sheetName val="Comprob.Retención"/>
      <sheetName val="Prov.Gtos.Sistemas(DIC)"/>
      <sheetName val="Prov.Gtos.Sistemas(OCT)"/>
      <sheetName val="Prov. técn dic-04"/>
      <sheetName val="B.S.I. Access"/>
      <sheetName val="MMA Prov."/>
      <sheetName val="Análisis Provisiones"/>
      <sheetName val="PE0238 Dep. Com."/>
      <sheetName val="PE0239 Dep. Ind."/>
      <sheetName val="Imptos (Ago05)"/>
      <sheetName val="Provisiones varias"/>
      <sheetName val="Prov Fletes"/>
      <sheetName val="AUX.PROVEEDORES  (2)"/>
      <sheetName val="AUX.PROVEEDORES "/>
      <sheetName val="Detalle fletes"/>
      <sheetName val="Contratistas"/>
      <sheetName val="Notas EEFF"/>
      <sheetName val="Mov. Benef."/>
      <sheetName val="Límite Jubilacion Patronal"/>
      <sheetName val="Límite Desahucio"/>
      <sheetName val="Notas"/>
      <sheetName val="Cuentas por Liquidar"/>
      <sheetName val=" Clientes"/>
      <sheetName val="Detalle dividendos"/>
      <sheetName val="Detalle otros acreedores"/>
      <sheetName val="Análisis Nómina"/>
      <sheetName val="Provisiones diversas"/>
      <sheetName val="provisiones cesantía"/>
      <sheetName val="Mov Benef. Sociales"/>
      <sheetName val="Ctas. Pag. Clientes"/>
      <sheetName val="Reemb.gtosWS"/>
      <sheetName val="Estado Cta WS"/>
      <sheetName val="Mov. Bonif. Ejecutivos"/>
      <sheetName val="Análisis bonif ejecutivos"/>
      <sheetName val="Tarjetas Prepagao"/>
      <sheetName val="Base T Prepago"/>
      <sheetName val="Provisiones Prel"/>
      <sheetName val="Cálculo Actuarial"/>
      <sheetName val="Cargas Sociales"/>
      <sheetName val="Análisis regalías"/>
      <sheetName val="Regalías"/>
      <sheetName val="Detalle Prov. Varias"/>
      <sheetName val="Mov. Prov. Varias"/>
      <sheetName val="Detalle de provisiones"/>
      <sheetName val="Mantenimiento mayor"/>
      <sheetName val="Relac. Final"/>
      <sheetName val="Relac. Prel."/>
      <sheetName val="Relac.2005"/>
      <sheetName val="Movimientos"/>
      <sheetName val="Cuentas a Pagar"/>
      <sheetName val="Otros Gastos x P"/>
      <sheetName val="Participación y Impuesto"/>
      <sheetName val="Hon. Otros Profe"/>
      <sheetName val="Indugram"/>
      <sheetName val="2352302"/>
      <sheetName val="CUOTA SOST OCTUBRE 2003"/>
      <sheetName val="CUOTA EXTRA OCTUBRE 2003"/>
      <sheetName val="Relacionadas"/>
      <sheetName val="Cálculo actuarial "/>
      <sheetName val="cálculo actuarial final"/>
      <sheetName val="Benef. Socia."/>
      <sheetName val="Caj Ah"/>
      <sheetName val="Nota EF"/>
      <sheetName val="Ana Prov"/>
      <sheetName val="Ant.Vehículos"/>
      <sheetName val="Ant.Repuestos"/>
      <sheetName val="Ant.Taller"/>
      <sheetName val="Int.NoDevengados"/>
      <sheetName val="Prov.Import."/>
      <sheetName val="otras x pag"/>
      <sheetName val="Det.BenSociales"/>
      <sheetName val="Mov.Ben.Sociales"/>
      <sheetName val="OtrasXPagar Emp."/>
      <sheetName val="Det. Oblig. Part."/>
      <sheetName val="Ter Fin"/>
      <sheetName val="Fideic Fin"/>
      <sheetName val="Terc Prel"/>
      <sheetName val="Fideicomiso"/>
      <sheetName val="Movimiento Ing Dif"/>
      <sheetName val="Ing Diferidos"/>
      <sheetName val="Gtos. Acum."/>
      <sheetName val="Ctas. x Liq."/>
      <sheetName val="Proveedores Locales"/>
      <sheetName val="Mov. Provisiones"/>
      <sheetName val="Cálculo Provisión"/>
      <sheetName val="Cálculo Global Benef Soc. Final"/>
      <sheetName val="Catering"/>
      <sheetName val="Mov. Utilidades"/>
      <sheetName val="Descripción"/>
      <sheetName val="Movimiento "/>
      <sheetName val="Impuesto a la renta"/>
      <sheetName val="Provisiones Y descuentos"/>
      <sheetName val="Obligaciones"/>
      <sheetName val="Mov. Anticipos"/>
      <sheetName val="Ingresos diferidos"/>
      <sheetName val="Detalle de Gtos Acumul y Otras "/>
      <sheetName val="Liquidaciones por Pagar"/>
      <sheetName val=" Grupo Mas"/>
      <sheetName val="Préstamos Nacionales"/>
      <sheetName val="Grupo Más"/>
      <sheetName val="Detalle "/>
      <sheetName val="Prov. Dsctos."/>
      <sheetName val="Servicios NQIA"/>
      <sheetName val="Confirmaciones"/>
      <sheetName val="fabrica"/>
      <sheetName val="Int.por pagar Oblig."/>
      <sheetName val="Prés. por pagar terceros"/>
      <sheetName val="Mov. Imptos."/>
      <sheetName val="Autoseguro"/>
      <sheetName val="Det. Prov. Otros. Gtos. Agríc."/>
      <sheetName val="Det. Prov. por otros gtos. xp"/>
      <sheetName val="otras cxp proveedores"/>
      <sheetName val="Otras CXP "/>
      <sheetName val="Prest Accionistas"/>
      <sheetName val="Detalle Prov. Mensuales"/>
      <sheetName val="Detalle Anticipos Clientes"/>
      <sheetName val="Conciliación Bancaria Pacifico"/>
      <sheetName val="Mov. Beneficios S."/>
      <sheetName val="Indirect Operating"/>
      <sheetName val="Prov. Auditoría"/>
      <sheetName val="Mov.Impuesto R."/>
      <sheetName val="Mov.Participación T."/>
      <sheetName val="Goverment"/>
      <sheetName val="Mov. Desahucio"/>
      <sheetName val="Other"/>
      <sheetName val="Direct Operating"/>
      <sheetName val="Prov. Gastos D."/>
      <sheetName val="Accrued Capital"/>
      <sheetName val="Prov. Capex"/>
      <sheetName val="Prov.WO"/>
      <sheetName val="Mov.Part.Trab-Renta"/>
      <sheetName val="Mov.Jub.Des"/>
      <sheetName val="Bonif.a Func"/>
      <sheetName val="Vacaciones"/>
      <sheetName val="MCS Subs"/>
      <sheetName val="ESPP"/>
      <sheetName val="Unearned Rev-services"/>
      <sheetName val="Otas CxP AGD"/>
      <sheetName val="Prov Jub Patronal"/>
      <sheetName val="Mov. Part. Trab."/>
      <sheetName val="Anticipos IR"/>
      <sheetName val="LAC"/>
      <sheetName val="Local"/>
      <sheetName val="SAP"/>
      <sheetName val="Detalle de Anticipos"/>
      <sheetName val="Análisis de Prov. Varias"/>
      <sheetName val="Pasivos registrados"/>
      <sheetName val="Mov IR y Part"/>
      <sheetName val="Anticipos recibidos"/>
      <sheetName val="FND. TERCEROS DIR. MED."/>
      <sheetName val="Nota 13"/>
      <sheetName val="Mov. Prov. Jubilación Patronal"/>
      <sheetName val="No devengado 2010"/>
      <sheetName val="Calculo anticipo contrato compl"/>
      <sheetName val="No devengado"/>
      <sheetName val="Calculo anticipo"/>
      <sheetName val="Miscelan_x0004__x0000__x0011_"/>
      <sheetName val="Fletes x Pagar"/>
      <sheetName val="Impuest y Contr"/>
      <sheetName val="Diversos Gastos"/>
      <sheetName val="Plan Auto"/>
      <sheetName val="Obligaciones Produbanco"/>
      <sheetName val="Anticipos de consultorios"/>
      <sheetName val="informe"/>
      <sheetName val="Mov. Part. Trab.Final"/>
      <sheetName val="Movimiento Imp. Dif."/>
      <sheetName val="Mov. Part. Trab.Preli"/>
      <sheetName val="Clientes Nacional"/>
      <sheetName val="Clientes Exterior"/>
      <sheetName val="Clientes Intercompañias"/>
      <sheetName val="Pruebas Sustantivas"/>
      <sheetName val="Movimientos IR y PT"/>
      <sheetName val="Anticipos Clientes Final"/>
      <sheetName val="NOTAS E.E.F.F."/>
      <sheetName val="Resumen"/>
      <sheetName val="Nota a los EE.FF"/>
      <sheetName val="IR y Part Trabaj"/>
      <sheetName val="Jub Patronal"/>
      <sheetName val="Movimiento IR"/>
      <sheetName val="Detalle Prov Gastos (P)"/>
      <sheetName val="Detalle Prov Gastos (F)"/>
      <sheetName val="Mov. Imp. Ren y Part. trab"/>
      <sheetName val="Mov. Prov. Desp"/>
      <sheetName val="Doble Pago"/>
      <sheetName val="Detalle de Acrrued"/>
      <sheetName val="ISD"/>
      <sheetName val="Análisis de vacaciones"/>
      <sheetName val="(F) Provisiones "/>
      <sheetName val="IR y Particip Laboral"/>
      <sheetName val="Ant client"/>
      <sheetName val="Ant clientes"/>
      <sheetName val="Accruals Final"/>
      <sheetName val="Accruals Preliminar"/>
      <sheetName val="Movim. Imp.Renta y Part.Tr"/>
      <sheetName val="Mov. IR y PT"/>
      <sheetName val="Imp. y Participación"/>
      <sheetName val="Otras ctas por pagar"/>
      <sheetName val="Mov. Part. Trab. e Imp. Rta."/>
      <sheetName val="Detalle gastos causados mes"/>
      <sheetName val="Mant. equipo"/>
      <sheetName val="Expatriados"/>
      <sheetName val="Other Insurance"/>
      <sheetName val="Open PO"/>
      <sheetName val="Socios"/>
      <sheetName val="Prov. Ineterc."/>
      <sheetName val="APT "/>
      <sheetName val="Leasing 2009"/>
      <sheetName val="Prestamo Final "/>
      <sheetName val="Prestamo Preli"/>
      <sheetName val="Beneficios socials"/>
      <sheetName val="Anticipo Transports"/>
      <sheetName val="Análisis Contingencias"/>
      <sheetName val="Contingencias (prelim)"/>
      <sheetName val="Acreedores "/>
      <sheetName val="Mov. Impuestos"/>
      <sheetName val="Sueldos x Pagar"/>
      <sheetName val="Prov.Importaciones"/>
      <sheetName val="Desahucio y Jubilación"/>
      <sheetName val="Análisis Ord. Comp. Abier."/>
      <sheetName val="Cálculos"/>
      <sheetName val="Movim. Part. Trabaj."/>
      <sheetName val="Movim. Benef. Social"/>
      <sheetName val="Form.Accrual"/>
      <sheetName val="Análisis de Prov. proveedores"/>
      <sheetName val="Liquid.Provisi."/>
      <sheetName val="Valores Mov. Invent."/>
      <sheetName val="Ordenes Compra Abiertas"/>
      <sheetName val="MMA Calc. O. C. Abiertas"/>
      <sheetName val="MMA Selec. O. C. Abiertas"/>
      <sheetName val="Detalle Savings Plan"/>
      <sheetName val="Provis.Final"/>
      <sheetName val="Provisión Proveedores"/>
      <sheetName val="MMA Calcul. Prov. Proveed."/>
      <sheetName val="MMA Selec. Prov. Proveed."/>
      <sheetName val="NOTA NIIF"/>
      <sheetName val="IR Y 15%Trab"/>
      <sheetName val="Movimeinto "/>
      <sheetName val="Provisiones Descuentos"/>
      <sheetName val="Mov. Impuesto a la renta "/>
      <sheetName val="Mov. Jubilación P y Desah"/>
      <sheetName val="Proveedores Nac."/>
      <sheetName val="COPIA"/>
      <sheetName val="Detalle Prov Gastos"/>
      <sheetName val="Prov. Gastos"/>
      <sheetName val="Gto. Acumulados"/>
      <sheetName val="Mov.Price Royalty"/>
      <sheetName val="Anticipo Clientes Final"/>
      <sheetName val="Mov. Garantías Comerciales"/>
      <sheetName val="Prov. Bonos"/>
      <sheetName val="Movimiento Publicidad"/>
      <sheetName val="P.1. Detalle"/>
      <sheetName val="P.2. Movimiento IR (P)"/>
      <sheetName val="P.3. Detalle Prov Gastos (P)"/>
      <sheetName val="Movimiento anticipos"/>
      <sheetName val="Movimiento Jubilación patronal"/>
      <sheetName val="Management Fee"/>
      <sheetName val="Procedimiento Gastos Acum"/>
      <sheetName val="Jubilación y Desahucio"/>
      <sheetName val="IR"/>
      <sheetName val="Miscelan_x0004_"/>
      <sheetName val="Ingreso Clasificado"/>
      <sheetName val="Ingreso Suscripciones"/>
      <sheetName val="Mpvimiento de Impuestos Diferid"/>
      <sheetName val="Owned"/>
      <sheetName val="Reexpresado año 2000"/>
      <sheetName val="Anexo 12"/>
      <sheetName val="LPH e INCE"/>
      <sheetName val="Análisis IVA"/>
      <sheetName val="31 Dic 96"/>
      <sheetName val="Datos Genera."/>
      <sheetName val="Determinación del Límite"/>
      <sheetName val="TABLAIPC "/>
      <sheetName val="COLOCACIONES"/>
      <sheetName val="Pagos Anticipados"/>
      <sheetName val="Mov. Impto. Rta. y Part"/>
      <sheetName val="Mov. Impuesto a la renta"/>
      <sheetName val="Movimiento Participación"/>
      <sheetName val="Jub. Patronal - Desahucio"/>
      <sheetName val="ISD 2012"/>
      <sheetName val="ISD 2013"/>
      <sheetName val="Nota 15"/>
      <sheetName val="Varias"/>
      <sheetName val="SUDAREA"/>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sheetData sheetId="41" refreshError="1"/>
      <sheetData sheetId="42" refreshError="1"/>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sheetData sheetId="94"/>
      <sheetData sheetId="95"/>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sheetData sheetId="116"/>
      <sheetData sheetId="117"/>
      <sheetData sheetId="118"/>
      <sheetData sheetId="119"/>
      <sheetData sheetId="120"/>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sheetData sheetId="144"/>
      <sheetData sheetId="145" refreshError="1"/>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sheetData sheetId="163"/>
      <sheetData sheetId="164"/>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sheetData sheetId="189"/>
      <sheetData sheetId="190"/>
      <sheetData sheetId="191"/>
      <sheetData sheetId="192" refreshError="1"/>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refreshError="1"/>
      <sheetData sheetId="209"/>
      <sheetData sheetId="210" refreshError="1"/>
      <sheetData sheetId="211" refreshError="1"/>
      <sheetData sheetId="212" refreshError="1"/>
      <sheetData sheetId="213" refreshError="1"/>
      <sheetData sheetId="214" refreshError="1"/>
      <sheetData sheetId="215"/>
      <sheetData sheetId="216"/>
      <sheetData sheetId="217" refreshError="1"/>
      <sheetData sheetId="218" refreshError="1"/>
      <sheetData sheetId="219"/>
      <sheetData sheetId="220"/>
      <sheetData sheetId="221" refreshError="1"/>
      <sheetData sheetId="222" refreshError="1"/>
      <sheetData sheetId="223" refreshError="1"/>
      <sheetData sheetId="224" refreshError="1"/>
      <sheetData sheetId="225" refreshError="1"/>
      <sheetData sheetId="226"/>
      <sheetData sheetId="227"/>
      <sheetData sheetId="228"/>
      <sheetData sheetId="229"/>
      <sheetData sheetId="230"/>
      <sheetData sheetId="231"/>
      <sheetData sheetId="232"/>
      <sheetData sheetId="233"/>
      <sheetData sheetId="234"/>
      <sheetData sheetId="235"/>
      <sheetData sheetId="236"/>
      <sheetData sheetId="237"/>
      <sheetData sheetId="238" refreshError="1"/>
      <sheetData sheetId="239"/>
      <sheetData sheetId="240"/>
      <sheetData sheetId="241"/>
      <sheetData sheetId="242"/>
      <sheetData sheetId="243" refreshError="1"/>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sheetData sheetId="284"/>
      <sheetData sheetId="285"/>
      <sheetData sheetId="286"/>
      <sheetData sheetId="287"/>
      <sheetData sheetId="288"/>
      <sheetData sheetId="289" refreshError="1"/>
      <sheetData sheetId="290"/>
      <sheetData sheetId="291" refreshError="1"/>
      <sheetData sheetId="292"/>
      <sheetData sheetId="293"/>
      <sheetData sheetId="294"/>
      <sheetData sheetId="295"/>
      <sheetData sheetId="296" refreshError="1"/>
      <sheetData sheetId="297"/>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sheetData sheetId="312" refreshError="1"/>
      <sheetData sheetId="313"/>
      <sheetData sheetId="314"/>
      <sheetData sheetId="315"/>
      <sheetData sheetId="316" refreshError="1"/>
      <sheetData sheetId="317"/>
      <sheetData sheetId="318"/>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sheetData sheetId="340"/>
      <sheetData sheetId="341"/>
      <sheetData sheetId="342"/>
      <sheetData sheetId="343" refreshError="1"/>
      <sheetData sheetId="344" refreshError="1"/>
      <sheetData sheetId="345" refreshError="1"/>
      <sheetData sheetId="346" refreshError="1"/>
      <sheetData sheetId="347" refreshError="1"/>
      <sheetData sheetId="348"/>
      <sheetData sheetId="349"/>
      <sheetData sheetId="350"/>
      <sheetData sheetId="351" refreshError="1"/>
      <sheetData sheetId="352" refreshError="1"/>
      <sheetData sheetId="353" refreshError="1"/>
      <sheetData sheetId="354" refreshError="1"/>
      <sheetData sheetId="355" refreshError="1"/>
      <sheetData sheetId="356"/>
      <sheetData sheetId="357"/>
      <sheetData sheetId="358"/>
      <sheetData sheetId="359"/>
      <sheetData sheetId="360" refreshError="1"/>
      <sheetData sheetId="361"/>
      <sheetData sheetId="362"/>
      <sheetData sheetId="363"/>
      <sheetData sheetId="364"/>
      <sheetData sheetId="365"/>
      <sheetData sheetId="366"/>
      <sheetData sheetId="367" refreshError="1"/>
      <sheetData sheetId="368" refreshError="1"/>
      <sheetData sheetId="369"/>
      <sheetData sheetId="370"/>
      <sheetData sheetId="371"/>
      <sheetData sheetId="372"/>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sheetData sheetId="402"/>
      <sheetData sheetId="403" refreshError="1"/>
      <sheetData sheetId="404" refreshError="1"/>
      <sheetData sheetId="405"/>
      <sheetData sheetId="406"/>
      <sheetData sheetId="407"/>
      <sheetData sheetId="408"/>
      <sheetData sheetId="409"/>
      <sheetData sheetId="410"/>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sheetData sheetId="423"/>
      <sheetData sheetId="424"/>
      <sheetData sheetId="425"/>
      <sheetData sheetId="426"/>
      <sheetData sheetId="427"/>
      <sheetData sheetId="428"/>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refreshError="1"/>
      <sheetData sheetId="452" refreshError="1"/>
      <sheetData sheetId="453"/>
      <sheetData sheetId="454"/>
      <sheetData sheetId="455"/>
      <sheetData sheetId="456"/>
      <sheetData sheetId="457"/>
      <sheetData sheetId="458"/>
      <sheetData sheetId="459"/>
      <sheetData sheetId="460"/>
      <sheetData sheetId="461" refreshError="1"/>
      <sheetData sheetId="462" refreshError="1"/>
      <sheetData sheetId="463" refreshError="1"/>
      <sheetData sheetId="464" refreshError="1"/>
      <sheetData sheetId="465"/>
      <sheetData sheetId="466" refreshError="1"/>
      <sheetData sheetId="467"/>
      <sheetData sheetId="468" refreshError="1"/>
      <sheetData sheetId="469"/>
      <sheetData sheetId="470" refreshError="1"/>
      <sheetData sheetId="471" refreshError="1"/>
      <sheetData sheetId="472"/>
      <sheetData sheetId="473" refreshError="1"/>
      <sheetData sheetId="474"/>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sheetData sheetId="490" refreshError="1"/>
      <sheetData sheetId="491" refreshError="1"/>
      <sheetData sheetId="492" refreshError="1"/>
      <sheetData sheetId="493"/>
      <sheetData sheetId="494"/>
      <sheetData sheetId="495" refreshError="1"/>
      <sheetData sheetId="496" refreshError="1"/>
      <sheetData sheetId="497"/>
      <sheetData sheetId="498"/>
      <sheetData sheetId="499"/>
      <sheetData sheetId="500"/>
      <sheetData sheetId="501"/>
      <sheetData sheetId="502"/>
      <sheetData sheetId="503" refreshError="1"/>
      <sheetData sheetId="504"/>
      <sheetData sheetId="505"/>
      <sheetData sheetId="506" refreshError="1"/>
      <sheetData sheetId="507" refreshError="1"/>
      <sheetData sheetId="508" refreshError="1"/>
      <sheetData sheetId="509" refreshError="1"/>
      <sheetData sheetId="510" refreshError="1"/>
      <sheetData sheetId="511" refreshError="1"/>
      <sheetData sheetId="512"/>
      <sheetData sheetId="513"/>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sheetData sheetId="539"/>
      <sheetData sheetId="540" refreshError="1"/>
      <sheetData sheetId="541"/>
      <sheetData sheetId="542"/>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refreshError="1"/>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sheetData sheetId="602"/>
      <sheetData sheetId="603"/>
      <sheetData sheetId="604"/>
      <sheetData sheetId="605"/>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sheetData sheetId="626"/>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sheetData sheetId="646"/>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sheetData sheetId="660"/>
      <sheetData sheetId="661" refreshError="1"/>
      <sheetData sheetId="662"/>
      <sheetData sheetId="663"/>
      <sheetData sheetId="664"/>
      <sheetData sheetId="665"/>
      <sheetData sheetId="666"/>
      <sheetData sheetId="667"/>
      <sheetData sheetId="668"/>
      <sheetData sheetId="669"/>
      <sheetData sheetId="670"/>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sheetData sheetId="686"/>
      <sheetData sheetId="687"/>
      <sheetData sheetId="688" refreshError="1"/>
      <sheetData sheetId="689" refreshError="1"/>
      <sheetData sheetId="690"/>
      <sheetData sheetId="691"/>
      <sheetData sheetId="692"/>
      <sheetData sheetId="693"/>
      <sheetData sheetId="694"/>
      <sheetData sheetId="695"/>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sheetData sheetId="711"/>
      <sheetData sheetId="712" refreshError="1"/>
      <sheetData sheetId="713"/>
      <sheetData sheetId="714"/>
      <sheetData sheetId="715"/>
      <sheetData sheetId="716"/>
      <sheetData sheetId="717"/>
      <sheetData sheetId="718" refreshError="1"/>
      <sheetData sheetId="719"/>
      <sheetData sheetId="720" refreshError="1"/>
      <sheetData sheetId="721"/>
      <sheetData sheetId="722"/>
      <sheetData sheetId="723"/>
      <sheetData sheetId="724"/>
      <sheetData sheetId="725"/>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sheetData sheetId="756" refreshError="1"/>
      <sheetData sheetId="757" refreshError="1"/>
      <sheetData sheetId="758" refreshError="1"/>
      <sheetData sheetId="759" refreshError="1"/>
      <sheetData sheetId="760"/>
      <sheetData sheetId="761" refreshError="1"/>
      <sheetData sheetId="762"/>
      <sheetData sheetId="763"/>
      <sheetData sheetId="764" refreshError="1"/>
      <sheetData sheetId="765"/>
      <sheetData sheetId="766"/>
      <sheetData sheetId="767"/>
      <sheetData sheetId="768"/>
      <sheetData sheetId="769"/>
      <sheetData sheetId="770"/>
      <sheetData sheetId="771" refreshError="1"/>
      <sheetData sheetId="772"/>
      <sheetData sheetId="773"/>
      <sheetData sheetId="774"/>
      <sheetData sheetId="775" refreshError="1"/>
      <sheetData sheetId="776" refreshError="1"/>
      <sheetData sheetId="777" refreshError="1"/>
      <sheetData sheetId="778" refreshError="1"/>
      <sheetData sheetId="779"/>
      <sheetData sheetId="780"/>
      <sheetData sheetId="781" refreshError="1"/>
      <sheetData sheetId="782" refreshError="1"/>
      <sheetData sheetId="783" refreshError="1"/>
      <sheetData sheetId="784" refreshError="1"/>
      <sheetData sheetId="785" refreshError="1"/>
      <sheetData sheetId="786" refreshError="1"/>
      <sheetData sheetId="787"/>
      <sheetData sheetId="788" refreshError="1"/>
      <sheetData sheetId="789" refreshError="1"/>
      <sheetData sheetId="790"/>
      <sheetData sheetId="791"/>
      <sheetData sheetId="792"/>
      <sheetData sheetId="793"/>
      <sheetData sheetId="794" refreshError="1"/>
      <sheetData sheetId="795"/>
      <sheetData sheetId="796"/>
      <sheetData sheetId="79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talle"/>
      <sheetName val="Inversiones en acciones"/>
      <sheetName val="XREF"/>
      <sheetName val="Tickmarks"/>
      <sheetName val="Nota"/>
      <sheetName val="Movimiento"/>
      <sheetName val="Amortización"/>
      <sheetName val="Cálculo Global"/>
      <sheetName val="MMA"/>
      <sheetName val="APT"/>
      <sheetName val="Listado"/>
      <sheetName val="Otros cargos dif"/>
      <sheetName val="Otros Activos"/>
      <sheetName val="NQIA Gastos Principales"/>
      <sheetName val="Capital para Proyecto"/>
      <sheetName val="Anticipos CCC"/>
      <sheetName val="Costos Transición"/>
      <sheetName val="Commitment Fee"/>
      <sheetName val="APT Junio"/>
      <sheetName val="COnfirmación Jun"/>
      <sheetName val="Límite"/>
      <sheetName val="Mov_Costo"/>
      <sheetName val="Mov_Amort"/>
      <sheetName val="C.G Amortización"/>
      <sheetName val="Límites"/>
      <sheetName val="Límites Sugeridos"/>
      <sheetName val="Mov. Intangibles"/>
      <sheetName val="Análisis Adiciones Intangibles"/>
      <sheetName val="Mov. Amortización"/>
      <sheetName val="C G Amort"/>
      <sheetName val="Software"/>
      <sheetName val="Mov. Costo"/>
      <sheetName val="Mov. Amortizacion"/>
      <sheetName val="Calculo Amorti"/>
      <sheetName val="Amort."/>
      <sheetName val="Calc. Global. Amort"/>
      <sheetName val="Nota EEFF"/>
      <sheetName val="Mov. GW costo y amort."/>
      <sheetName val="Cáculo global amor"/>
      <sheetName val="Mov. Renta tools costo y depre."/>
      <sheetName val="Cáclulo global depreciación"/>
      <sheetName val="Detalle rental tools Final"/>
      <sheetName val="Detalle rental tools Prel"/>
      <sheetName val="Cálculo del umbral"/>
      <sheetName val="Proyecto Mazar"/>
      <sheetName val="Proyecto Sopladora"/>
      <sheetName val="CxC LP"/>
      <sheetName val="Inv. Acciones"/>
      <sheetName val="Adiciones Acciones"/>
      <sheetName val="VPP"/>
      <sheetName val="Activos Intangibles y Otros"/>
      <sheetName val="Cálculo Global Amort."/>
      <sheetName val="Otros Activos (F)"/>
      <sheetName val="Otros activos (Prel)"/>
      <sheetName val="Gastos Anticipados"/>
      <sheetName val="CMA Calculations adiciones"/>
      <sheetName val="CMA Selections adiciones"/>
      <sheetName val="APT adiciones"/>
      <sheetName val="Inversiones"/>
      <sheetName val="Cálculo amortización"/>
      <sheetName val="Análisis de Adiciones"/>
      <sheetName val="VPP Inversiones"/>
      <sheetName val="Goodwill Humana"/>
      <sheetName val="Goodwill Aesculapius"/>
      <sheetName val="Sheet2"/>
      <sheetName val="Adquisición Aesculapius"/>
      <sheetName val="Acciones"/>
      <sheetName val="Aportes"/>
      <sheetName val="Detalle de acciones adquiridas"/>
      <sheetName val="CMA_Aescapulapius"/>
      <sheetName val="Análisis Aesculapius"/>
      <sheetName val="Análisis de activos"/>
    </sheetNames>
    <sheetDataSet>
      <sheetData sheetId="0"/>
      <sheetData sheetId="1" refreshError="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refreshError="1"/>
      <sheetData sheetId="40"/>
      <sheetData sheetId="4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refreshError="1"/>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A 1"/>
      <sheetName val="A 1 1"/>
      <sheetName val="A C000"/>
      <sheetName val="A_1"/>
      <sheetName val="A_1_1"/>
    </sheetNames>
    <sheetDataSet>
      <sheetData sheetId="0">
        <row r="3">
          <cell r="D3" t="str">
            <v>D´BRAG AUDITORES</v>
          </cell>
        </row>
        <row r="4">
          <cell r="D4" t="str">
            <v>PROGRAMA DE TRABAJO</v>
          </cell>
        </row>
        <row r="7">
          <cell r="C7" t="str">
            <v>CLIENTE                             :</v>
          </cell>
          <cell r="D7" t="str">
            <v>CENTRO DE REHABILITACION DE MANABI</v>
          </cell>
          <cell r="H7" t="str">
            <v>FECHA                    : 20-JUN-02</v>
          </cell>
        </row>
        <row r="8">
          <cell r="C8" t="str">
            <v>TIPO DE EXAMEN               :</v>
          </cell>
          <cell r="D8" t="str">
            <v>CAJA - BANCOS</v>
          </cell>
          <cell r="H8" t="str">
            <v>ELABORADO POR   :  A.C.</v>
          </cell>
        </row>
        <row r="9">
          <cell r="C9" t="str">
            <v>PERIODO EXAMINADO       :</v>
          </cell>
          <cell r="D9" t="str">
            <v>AÑO 2001</v>
          </cell>
          <cell r="H9" t="str">
            <v>CLIENTE                  :</v>
          </cell>
        </row>
        <row r="10">
          <cell r="C10" t="str">
            <v>OBJETIVOS                        :</v>
          </cell>
          <cell r="D10" t="str">
            <v xml:space="preserve">PROPIEDAD, EXACTITUD, TOTALIDAD, CORTE, VALUACION, REVELACION, </v>
          </cell>
          <cell r="H10" t="str">
            <v xml:space="preserve"> </v>
          </cell>
        </row>
        <row r="11">
          <cell r="E11" t="str">
            <v xml:space="preserve"> </v>
          </cell>
        </row>
        <row r="13">
          <cell r="B13" t="str">
            <v>No.</v>
          </cell>
          <cell r="C13" t="str">
            <v>PROCEDIMIENTO</v>
          </cell>
          <cell r="D13" t="str">
            <v>ASEVERACION</v>
          </cell>
          <cell r="E13" t="str">
            <v>HECHO POR:</v>
          </cell>
          <cell r="F13" t="str">
            <v>FECHA</v>
          </cell>
          <cell r="G13" t="str">
            <v>REF.P/T</v>
          </cell>
          <cell r="H13" t="str">
            <v>COMENTARIOS</v>
          </cell>
        </row>
      </sheetData>
      <sheetData sheetId="1"/>
      <sheetData sheetId="2"/>
      <sheetData sheetId="3" refreshError="1"/>
      <sheetData sheetId="4"/>
      <sheetData sheetId="5"/>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6"/>
  <sheetViews>
    <sheetView showGridLines="0" tabSelected="1" zoomScale="80" zoomScaleNormal="80" workbookViewId="0">
      <selection activeCell="F111" sqref="F111"/>
    </sheetView>
  </sheetViews>
  <sheetFormatPr baseColWidth="10" defaultColWidth="14.453125" defaultRowHeight="15" customHeight="1" x14ac:dyDescent="0.35"/>
  <cols>
    <col min="1" max="1" width="6.08984375" customWidth="1"/>
    <col min="2" max="2" width="32.36328125" customWidth="1"/>
    <col min="3" max="3" width="30.453125" customWidth="1"/>
    <col min="4" max="4" width="25.26953125" customWidth="1"/>
    <col min="5" max="5" width="19" customWidth="1"/>
    <col min="6" max="6" width="22" customWidth="1"/>
    <col min="7" max="7" width="19.90625" customWidth="1"/>
    <col min="8" max="8" width="19.453125" customWidth="1"/>
    <col min="9" max="9" width="24.6328125" customWidth="1"/>
    <col min="10" max="10" width="22" customWidth="1"/>
    <col min="11" max="11" width="19.90625" customWidth="1"/>
    <col min="12" max="12" width="19.453125" customWidth="1"/>
    <col min="13" max="13" width="29.08984375" customWidth="1"/>
    <col min="14" max="14" width="19.6328125" customWidth="1"/>
    <col min="15" max="26" width="11.453125" customWidth="1"/>
  </cols>
  <sheetData>
    <row r="1" spans="1:26" ht="12" customHeight="1" x14ac:dyDescent="0.35">
      <c r="A1" s="1"/>
      <c r="B1" s="1"/>
      <c r="C1" s="1"/>
      <c r="D1" s="1"/>
      <c r="E1" s="1"/>
      <c r="F1" s="1"/>
      <c r="G1" s="1"/>
      <c r="H1" s="1"/>
      <c r="I1" s="1"/>
      <c r="J1" s="1"/>
      <c r="K1" s="1"/>
      <c r="L1" s="1"/>
      <c r="M1" s="1"/>
      <c r="N1" s="1"/>
      <c r="O1" s="1"/>
      <c r="P1" s="1"/>
      <c r="Q1" s="1"/>
      <c r="R1" s="1"/>
      <c r="S1" s="1"/>
      <c r="T1" s="1"/>
      <c r="U1" s="1"/>
      <c r="V1" s="1"/>
      <c r="W1" s="1"/>
      <c r="X1" s="1"/>
      <c r="Y1" s="1"/>
      <c r="Z1" s="1"/>
    </row>
    <row r="2" spans="1:26" ht="12" customHeight="1" x14ac:dyDescent="0.35">
      <c r="A2" s="1"/>
      <c r="B2" s="1"/>
      <c r="C2" s="1"/>
      <c r="D2" s="1"/>
      <c r="E2" s="1"/>
      <c r="F2" s="1"/>
      <c r="G2" s="1"/>
      <c r="H2" s="1"/>
      <c r="I2" s="1"/>
      <c r="J2" s="1"/>
      <c r="K2" s="1"/>
      <c r="L2" s="1"/>
      <c r="M2" s="1"/>
      <c r="N2" s="1"/>
      <c r="O2" s="1"/>
      <c r="P2" s="1"/>
      <c r="Q2" s="1"/>
      <c r="R2" s="1"/>
      <c r="S2" s="1"/>
      <c r="T2" s="1"/>
      <c r="U2" s="1"/>
      <c r="V2" s="1"/>
      <c r="W2" s="1"/>
      <c r="X2" s="1"/>
      <c r="Y2" s="1"/>
      <c r="Z2" s="1"/>
    </row>
    <row r="3" spans="1:26" ht="12" customHeight="1" x14ac:dyDescent="0.35">
      <c r="A3" s="1"/>
      <c r="B3" s="1"/>
      <c r="C3" s="1"/>
      <c r="D3" s="1"/>
      <c r="E3" s="1"/>
      <c r="F3" s="1"/>
      <c r="G3" s="7" t="s">
        <v>1</v>
      </c>
      <c r="H3" s="7" t="s">
        <v>2</v>
      </c>
      <c r="I3" s="7" t="s">
        <v>3</v>
      </c>
      <c r="K3" s="1"/>
      <c r="L3" s="1"/>
      <c r="M3" s="1"/>
      <c r="N3" s="1"/>
      <c r="O3" s="1"/>
      <c r="P3" s="1"/>
      <c r="Q3" s="1"/>
      <c r="R3" s="1"/>
      <c r="S3" s="1"/>
      <c r="T3" s="1"/>
      <c r="U3" s="1"/>
      <c r="V3" s="1"/>
      <c r="W3" s="1"/>
      <c r="X3" s="1"/>
      <c r="Y3" s="1"/>
      <c r="Z3" s="1"/>
    </row>
    <row r="4" spans="1:26" ht="12" customHeight="1" x14ac:dyDescent="0.35">
      <c r="A4" s="1"/>
      <c r="B4" s="1"/>
      <c r="C4" s="1"/>
      <c r="D4" s="1"/>
      <c r="E4" s="1"/>
      <c r="F4" s="1"/>
      <c r="G4" s="9" t="s">
        <v>5</v>
      </c>
      <c r="H4" s="10" t="s">
        <v>5</v>
      </c>
      <c r="I4" s="11" t="s">
        <v>6</v>
      </c>
      <c r="K4" s="1"/>
      <c r="L4" s="1"/>
      <c r="M4" s="1"/>
      <c r="N4" s="1"/>
      <c r="O4" s="1"/>
      <c r="P4" s="1"/>
      <c r="Q4" s="1"/>
      <c r="R4" s="1"/>
      <c r="S4" s="1"/>
      <c r="T4" s="1"/>
      <c r="U4" s="1"/>
      <c r="V4" s="1"/>
      <c r="W4" s="1"/>
      <c r="X4" s="1"/>
      <c r="Y4" s="1"/>
      <c r="Z4" s="1"/>
    </row>
    <row r="5" spans="1:26" ht="12" customHeight="1" x14ac:dyDescent="0.35">
      <c r="A5" s="1"/>
      <c r="B5" s="1"/>
      <c r="C5" s="1"/>
      <c r="D5" s="1"/>
      <c r="E5" s="1"/>
      <c r="F5" s="1"/>
      <c r="G5" s="1"/>
      <c r="H5" s="1"/>
      <c r="I5" s="1"/>
      <c r="K5" s="1"/>
      <c r="L5" s="1"/>
      <c r="M5" s="1"/>
      <c r="N5" s="1"/>
      <c r="O5" s="1"/>
      <c r="P5" s="1"/>
      <c r="Q5" s="1"/>
      <c r="R5" s="1"/>
      <c r="S5" s="1"/>
      <c r="T5" s="1"/>
      <c r="U5" s="1"/>
      <c r="V5" s="1"/>
      <c r="W5" s="1"/>
      <c r="X5" s="1"/>
      <c r="Y5" s="1"/>
      <c r="Z5" s="1"/>
    </row>
    <row r="6" spans="1:26" ht="18" customHeight="1" x14ac:dyDescent="0.35">
      <c r="A6" s="1"/>
      <c r="B6" s="2" t="s">
        <v>0</v>
      </c>
      <c r="C6" s="3"/>
      <c r="D6" s="3"/>
      <c r="E6" s="4"/>
      <c r="F6" s="5"/>
      <c r="G6" s="6"/>
      <c r="K6" s="6"/>
      <c r="L6" s="1"/>
      <c r="M6" s="1"/>
      <c r="N6" s="1"/>
      <c r="O6" s="1"/>
      <c r="P6" s="1"/>
      <c r="Q6" s="1"/>
      <c r="R6" s="1"/>
      <c r="S6" s="1"/>
      <c r="T6" s="1"/>
      <c r="U6" s="1"/>
      <c r="V6" s="1"/>
      <c r="W6" s="1"/>
      <c r="X6" s="1"/>
      <c r="Y6" s="1"/>
      <c r="Z6" s="1"/>
    </row>
    <row r="7" spans="1:26" ht="12.75" customHeight="1" x14ac:dyDescent="0.35">
      <c r="A7" s="1"/>
      <c r="B7" s="2" t="s">
        <v>4</v>
      </c>
      <c r="C7" s="1"/>
      <c r="D7" s="1"/>
      <c r="E7" s="8"/>
      <c r="F7" s="8"/>
      <c r="G7" s="8"/>
      <c r="K7" s="8"/>
      <c r="L7" s="1"/>
      <c r="M7" s="1"/>
      <c r="N7" s="1"/>
      <c r="O7" s="1"/>
      <c r="P7" s="1"/>
      <c r="Q7" s="1"/>
      <c r="R7" s="1"/>
      <c r="S7" s="1"/>
      <c r="T7" s="1"/>
      <c r="U7" s="1"/>
      <c r="V7" s="1"/>
      <c r="W7" s="1"/>
      <c r="X7" s="1"/>
      <c r="Y7" s="1"/>
      <c r="Z7" s="1"/>
    </row>
    <row r="8" spans="1:26" ht="12" customHeight="1" x14ac:dyDescent="0.35">
      <c r="A8" s="1"/>
      <c r="B8" s="12" t="s">
        <v>7</v>
      </c>
      <c r="C8" s="3"/>
      <c r="D8" s="3"/>
      <c r="E8" s="3"/>
      <c r="F8" s="3"/>
      <c r="G8" s="3"/>
      <c r="H8" s="3"/>
      <c r="I8" s="3"/>
      <c r="K8" s="3"/>
      <c r="L8" s="1"/>
      <c r="M8" s="1"/>
      <c r="N8" s="1"/>
      <c r="O8" s="1"/>
      <c r="P8" s="1"/>
      <c r="Q8" s="1"/>
      <c r="R8" s="1"/>
      <c r="S8" s="1"/>
      <c r="T8" s="1"/>
      <c r="U8" s="1"/>
      <c r="V8" s="1"/>
      <c r="W8" s="1"/>
      <c r="X8" s="1"/>
      <c r="Y8" s="1"/>
      <c r="Z8" s="1"/>
    </row>
    <row r="9" spans="1:26" ht="12" customHeight="1" x14ac:dyDescent="0.35">
      <c r="A9" s="1"/>
      <c r="B9" s="13" t="s">
        <v>8</v>
      </c>
      <c r="C9" s="3"/>
      <c r="D9" s="3"/>
      <c r="E9" s="3"/>
      <c r="F9" s="3"/>
      <c r="G9" s="3"/>
      <c r="H9" s="3"/>
      <c r="I9" s="3"/>
      <c r="K9" s="3"/>
      <c r="L9" s="1"/>
      <c r="M9" s="1"/>
      <c r="N9" s="1"/>
      <c r="O9" s="1"/>
      <c r="P9" s="1"/>
      <c r="Q9" s="1"/>
      <c r="R9" s="1"/>
      <c r="S9" s="1"/>
      <c r="T9" s="1"/>
      <c r="U9" s="1"/>
      <c r="V9" s="1"/>
      <c r="W9" s="1"/>
      <c r="X9" s="1"/>
      <c r="Y9" s="1"/>
      <c r="Z9" s="1"/>
    </row>
    <row r="10" spans="1:26" ht="5.25" customHeight="1" x14ac:dyDescent="0.35">
      <c r="A10" s="1"/>
      <c r="B10" s="14"/>
      <c r="C10" s="14"/>
      <c r="D10" s="14"/>
      <c r="E10" s="14"/>
      <c r="F10" s="14"/>
      <c r="G10" s="14"/>
      <c r="H10" s="14"/>
      <c r="I10" s="14"/>
      <c r="K10" s="15"/>
      <c r="L10" s="1"/>
      <c r="M10" s="1"/>
      <c r="N10" s="1"/>
      <c r="O10" s="1"/>
      <c r="P10" s="1"/>
      <c r="Q10" s="1"/>
      <c r="R10" s="1"/>
      <c r="S10" s="1"/>
      <c r="T10" s="1"/>
      <c r="U10" s="1"/>
      <c r="V10" s="1"/>
      <c r="W10" s="1"/>
      <c r="X10" s="1"/>
      <c r="Y10" s="1"/>
      <c r="Z10" s="1"/>
    </row>
    <row r="11" spans="1:26" ht="12" customHeight="1" x14ac:dyDescent="0.35">
      <c r="A11" s="1"/>
      <c r="B11" s="15"/>
      <c r="C11" s="15"/>
      <c r="D11" s="15"/>
      <c r="E11" s="15"/>
      <c r="F11" s="15"/>
      <c r="G11" s="15"/>
      <c r="H11" s="15"/>
      <c r="I11" s="15"/>
      <c r="K11" s="15"/>
      <c r="L11" s="1"/>
      <c r="M11" s="1"/>
      <c r="N11" s="1"/>
      <c r="O11" s="1"/>
      <c r="P11" s="1"/>
      <c r="Q11" s="1"/>
      <c r="R11" s="1"/>
      <c r="S11" s="1"/>
      <c r="T11" s="1"/>
      <c r="U11" s="1"/>
      <c r="V11" s="1"/>
      <c r="W11" s="1"/>
      <c r="X11" s="1"/>
      <c r="Y11" s="1"/>
      <c r="Z11" s="1"/>
    </row>
    <row r="12" spans="1:26" ht="12" customHeight="1" x14ac:dyDescent="0.35">
      <c r="A12" s="1"/>
      <c r="B12" s="16" t="s">
        <v>9</v>
      </c>
      <c r="C12" s="17"/>
      <c r="D12" s="17"/>
      <c r="E12" s="17"/>
      <c r="F12" s="17"/>
      <c r="G12" s="17"/>
      <c r="H12" s="17"/>
      <c r="I12" s="17"/>
      <c r="K12" s="17"/>
      <c r="L12" s="17"/>
      <c r="M12" s="17"/>
      <c r="N12" s="17"/>
      <c r="O12" s="1"/>
      <c r="P12" s="1"/>
      <c r="Q12" s="1"/>
      <c r="R12" s="1"/>
      <c r="S12" s="1"/>
      <c r="T12" s="1"/>
      <c r="U12" s="1"/>
      <c r="V12" s="1"/>
      <c r="W12" s="1"/>
      <c r="X12" s="1"/>
      <c r="Y12" s="1"/>
      <c r="Z12" s="1"/>
    </row>
    <row r="13" spans="1:26" ht="7" customHeight="1" x14ac:dyDescent="0.35">
      <c r="A13" s="1"/>
      <c r="B13" s="16"/>
      <c r="C13" s="17"/>
      <c r="D13" s="17"/>
      <c r="E13" s="17"/>
      <c r="F13" s="17"/>
      <c r="G13" s="17"/>
      <c r="H13" s="17"/>
      <c r="I13" s="17"/>
      <c r="K13" s="17"/>
      <c r="L13" s="17"/>
      <c r="M13" s="17"/>
      <c r="N13" s="17"/>
      <c r="O13" s="1"/>
      <c r="P13" s="1"/>
      <c r="Q13" s="1"/>
      <c r="R13" s="1"/>
      <c r="S13" s="1"/>
      <c r="T13" s="1"/>
      <c r="U13" s="1"/>
      <c r="V13" s="1"/>
      <c r="W13" s="1"/>
      <c r="X13" s="1"/>
      <c r="Y13" s="1"/>
      <c r="Z13" s="1"/>
    </row>
    <row r="14" spans="1:26" ht="12" customHeight="1" x14ac:dyDescent="0.35">
      <c r="A14" s="1"/>
      <c r="B14" s="18" t="s">
        <v>10</v>
      </c>
      <c r="C14" s="19"/>
      <c r="D14" s="19"/>
      <c r="E14" s="19"/>
      <c r="F14" s="19"/>
      <c r="G14" s="19"/>
      <c r="H14" s="19"/>
      <c r="I14" s="19"/>
      <c r="J14" s="19"/>
      <c r="K14" s="19"/>
      <c r="L14" s="19"/>
      <c r="M14" s="19"/>
      <c r="N14" s="19"/>
      <c r="O14" s="1"/>
      <c r="P14" s="1"/>
      <c r="Q14" s="1"/>
      <c r="R14" s="1"/>
      <c r="S14" s="1"/>
      <c r="T14" s="1"/>
      <c r="U14" s="1"/>
      <c r="V14" s="1"/>
      <c r="W14" s="1"/>
      <c r="X14" s="1"/>
      <c r="Y14" s="1"/>
      <c r="Z14" s="1"/>
    </row>
    <row r="15" spans="1:26" ht="12.75" customHeight="1" x14ac:dyDescent="0.35">
      <c r="A15" s="1"/>
      <c r="B15" s="20"/>
      <c r="C15" s="21"/>
      <c r="D15" s="21"/>
      <c r="E15" s="21"/>
      <c r="F15" s="21"/>
      <c r="G15" s="21"/>
      <c r="H15" s="21"/>
      <c r="I15" s="21"/>
      <c r="J15" s="21"/>
      <c r="K15" s="21"/>
      <c r="L15" s="21"/>
      <c r="M15" s="21"/>
      <c r="N15" s="21"/>
      <c r="O15" s="1"/>
      <c r="P15" s="1"/>
      <c r="Q15" s="1"/>
      <c r="R15" s="1"/>
      <c r="S15" s="1"/>
      <c r="T15" s="1"/>
      <c r="U15" s="1"/>
      <c r="V15" s="1"/>
      <c r="W15" s="1"/>
      <c r="X15" s="1"/>
      <c r="Y15" s="1"/>
      <c r="Z15" s="1"/>
    </row>
    <row r="16" spans="1:26" ht="12.75" customHeight="1" x14ac:dyDescent="0.35">
      <c r="A16" s="1"/>
      <c r="B16" s="16" t="s">
        <v>11</v>
      </c>
      <c r="C16" s="1"/>
      <c r="D16" s="21"/>
      <c r="E16" s="21"/>
      <c r="F16" s="21"/>
      <c r="G16" s="21"/>
      <c r="H16" s="21"/>
      <c r="I16" s="21"/>
      <c r="J16" s="21"/>
      <c r="K16" s="21"/>
      <c r="L16" s="21"/>
      <c r="M16" s="21"/>
      <c r="N16" s="21"/>
      <c r="O16" s="1"/>
      <c r="P16" s="1"/>
      <c r="Q16" s="1"/>
      <c r="R16" s="1"/>
      <c r="S16" s="1"/>
      <c r="T16" s="1"/>
      <c r="U16" s="1"/>
      <c r="V16" s="1"/>
      <c r="W16" s="1"/>
      <c r="X16" s="1"/>
      <c r="Y16" s="1"/>
      <c r="Z16" s="1"/>
    </row>
    <row r="17" spans="1:26" ht="7" customHeight="1" x14ac:dyDescent="0.35">
      <c r="A17" s="1"/>
      <c r="B17" s="16"/>
      <c r="C17" s="1"/>
      <c r="D17" s="21"/>
      <c r="E17" s="21"/>
      <c r="F17" s="21"/>
      <c r="G17" s="21"/>
      <c r="H17" s="21"/>
      <c r="I17" s="21"/>
      <c r="J17" s="21"/>
      <c r="K17" s="21"/>
      <c r="L17" s="21"/>
      <c r="M17" s="21"/>
      <c r="N17" s="21"/>
      <c r="O17" s="1"/>
      <c r="P17" s="1"/>
      <c r="Q17" s="1"/>
      <c r="R17" s="1"/>
      <c r="S17" s="1"/>
      <c r="T17" s="1"/>
      <c r="U17" s="1"/>
      <c r="V17" s="1"/>
      <c r="W17" s="1"/>
      <c r="X17" s="1"/>
      <c r="Y17" s="1"/>
      <c r="Z17" s="1"/>
    </row>
    <row r="18" spans="1:26" ht="12.75" customHeight="1" x14ac:dyDescent="0.35">
      <c r="A18" s="1"/>
      <c r="B18" s="22"/>
      <c r="C18" s="23" t="s">
        <v>12</v>
      </c>
      <c r="D18" s="23" t="s">
        <v>13</v>
      </c>
      <c r="E18" s="21"/>
      <c r="F18" s="21"/>
      <c r="G18" s="21"/>
      <c r="H18" s="21"/>
      <c r="I18" s="21"/>
      <c r="J18" s="21"/>
      <c r="K18" s="21"/>
      <c r="L18" s="21"/>
      <c r="M18" s="21"/>
      <c r="N18" s="21"/>
      <c r="O18" s="1"/>
      <c r="P18" s="1"/>
      <c r="Q18" s="1"/>
      <c r="R18" s="1"/>
      <c r="S18" s="1"/>
      <c r="T18" s="1"/>
      <c r="U18" s="1"/>
      <c r="V18" s="1"/>
      <c r="W18" s="1"/>
      <c r="X18" s="1"/>
      <c r="Y18" s="1"/>
      <c r="Z18" s="1"/>
    </row>
    <row r="19" spans="1:26" ht="12.75" customHeight="1" x14ac:dyDescent="0.35">
      <c r="A19" s="1"/>
      <c r="B19" s="24" t="s">
        <v>14</v>
      </c>
      <c r="C19" s="25" t="s">
        <v>15</v>
      </c>
      <c r="D19" s="25" t="s">
        <v>15</v>
      </c>
      <c r="E19" s="21"/>
      <c r="F19" s="21"/>
      <c r="G19" s="21"/>
      <c r="H19" s="21"/>
      <c r="I19" s="21"/>
      <c r="J19" s="21"/>
      <c r="K19" s="21"/>
      <c r="L19" s="21"/>
      <c r="M19" s="21"/>
      <c r="N19" s="21"/>
      <c r="O19" s="1"/>
      <c r="P19" s="1"/>
      <c r="Q19" s="1"/>
      <c r="R19" s="1"/>
      <c r="S19" s="1"/>
      <c r="T19" s="1"/>
      <c r="U19" s="1"/>
      <c r="V19" s="1"/>
      <c r="W19" s="1"/>
      <c r="X19" s="1"/>
      <c r="Y19" s="1"/>
      <c r="Z19" s="1"/>
    </row>
    <row r="20" spans="1:26" ht="12.75" customHeight="1" x14ac:dyDescent="0.35">
      <c r="A20" s="1"/>
      <c r="B20" s="24" t="s">
        <v>16</v>
      </c>
      <c r="C20" s="25" t="s">
        <v>15</v>
      </c>
      <c r="D20" s="25" t="s">
        <v>15</v>
      </c>
      <c r="E20" s="21"/>
      <c r="F20" s="21"/>
      <c r="G20" s="21"/>
      <c r="H20" s="21"/>
      <c r="I20" s="21"/>
      <c r="J20" s="21"/>
      <c r="K20" s="21"/>
      <c r="L20" s="21"/>
      <c r="M20" s="21"/>
      <c r="N20" s="21"/>
      <c r="O20" s="1"/>
      <c r="P20" s="1"/>
      <c r="Q20" s="1"/>
      <c r="R20" s="1"/>
      <c r="S20" s="1"/>
      <c r="T20" s="1"/>
      <c r="U20" s="1"/>
      <c r="V20" s="1"/>
      <c r="W20" s="1"/>
      <c r="X20" s="1"/>
      <c r="Y20" s="1"/>
      <c r="Z20" s="1"/>
    </row>
    <row r="21" spans="1:26" ht="12.75" customHeight="1" x14ac:dyDescent="0.35">
      <c r="A21" s="1"/>
      <c r="B21" s="24" t="s">
        <v>17</v>
      </c>
      <c r="C21" s="25" t="s">
        <v>15</v>
      </c>
      <c r="D21" s="25" t="s">
        <v>15</v>
      </c>
      <c r="E21" s="21"/>
      <c r="F21" s="21"/>
      <c r="G21" s="21"/>
      <c r="H21" s="21"/>
      <c r="I21" s="21"/>
      <c r="J21" s="21"/>
      <c r="K21" s="21"/>
      <c r="L21" s="21"/>
      <c r="M21" s="21"/>
      <c r="N21" s="21"/>
      <c r="O21" s="1"/>
      <c r="P21" s="1"/>
      <c r="Q21" s="1"/>
      <c r="R21" s="1"/>
      <c r="S21" s="1"/>
      <c r="T21" s="1"/>
      <c r="U21" s="1"/>
      <c r="V21" s="1"/>
      <c r="W21" s="1"/>
      <c r="X21" s="1"/>
      <c r="Y21" s="1"/>
      <c r="Z21" s="1"/>
    </row>
    <row r="22" spans="1:26" ht="12.75" customHeight="1" x14ac:dyDescent="0.35">
      <c r="A22" s="1"/>
      <c r="B22" s="1"/>
      <c r="C22" s="26"/>
      <c r="D22" s="26"/>
      <c r="E22" s="27"/>
      <c r="F22" s="27"/>
      <c r="G22" s="27"/>
      <c r="H22" s="27"/>
      <c r="I22" s="27"/>
      <c r="J22" s="27"/>
      <c r="K22" s="27"/>
      <c r="L22" s="27"/>
      <c r="M22" s="27"/>
      <c r="N22" s="27"/>
      <c r="O22" s="1"/>
      <c r="P22" s="1"/>
      <c r="Q22" s="1"/>
      <c r="R22" s="1"/>
      <c r="S22" s="1"/>
      <c r="T22" s="1"/>
      <c r="U22" s="1"/>
      <c r="V22" s="1"/>
      <c r="W22" s="1"/>
      <c r="X22" s="1"/>
      <c r="Y22" s="1"/>
      <c r="Z22" s="1"/>
    </row>
    <row r="23" spans="1:26" ht="12" customHeight="1" x14ac:dyDescent="0.35">
      <c r="A23" s="1"/>
      <c r="B23" s="28"/>
      <c r="C23" s="28"/>
      <c r="D23" s="28"/>
      <c r="E23" s="28"/>
      <c r="F23" s="28"/>
      <c r="G23" s="28"/>
      <c r="H23" s="28"/>
      <c r="I23" s="28"/>
      <c r="J23" s="28"/>
      <c r="K23" s="28"/>
      <c r="L23" s="28"/>
      <c r="M23" s="28"/>
      <c r="N23" s="28"/>
      <c r="O23" s="1"/>
      <c r="P23" s="1"/>
      <c r="Q23" s="1"/>
      <c r="R23" s="1"/>
      <c r="S23" s="1"/>
      <c r="T23" s="1"/>
      <c r="U23" s="1"/>
      <c r="V23" s="1"/>
      <c r="W23" s="1"/>
      <c r="X23" s="1"/>
      <c r="Y23" s="1"/>
      <c r="Z23" s="1"/>
    </row>
    <row r="24" spans="1:26" ht="12" customHeight="1" x14ac:dyDescent="0.35">
      <c r="A24" s="1"/>
      <c r="B24" s="16" t="s">
        <v>70</v>
      </c>
      <c r="C24" s="17"/>
      <c r="D24" s="17"/>
      <c r="E24" s="17"/>
      <c r="F24" s="17"/>
      <c r="G24" s="17"/>
      <c r="H24" s="17"/>
      <c r="I24" s="17"/>
      <c r="J24" s="17"/>
      <c r="K24" s="17"/>
      <c r="L24" s="17"/>
      <c r="M24" s="17"/>
      <c r="N24" s="17"/>
      <c r="O24" s="1"/>
      <c r="P24" s="1"/>
      <c r="Q24" s="1"/>
      <c r="R24" s="1"/>
      <c r="S24" s="1"/>
      <c r="T24" s="1"/>
      <c r="U24" s="1"/>
      <c r="V24" s="1"/>
      <c r="W24" s="1"/>
      <c r="X24" s="1"/>
      <c r="Y24" s="1"/>
      <c r="Z24" s="1"/>
    </row>
    <row r="25" spans="1:26" ht="7" customHeight="1" x14ac:dyDescent="0.35">
      <c r="A25" s="1"/>
      <c r="B25" s="16"/>
      <c r="C25" s="17"/>
      <c r="D25" s="17"/>
      <c r="E25" s="17"/>
      <c r="F25" s="17"/>
      <c r="G25" s="17"/>
      <c r="H25" s="17"/>
      <c r="I25" s="17"/>
      <c r="J25" s="17"/>
      <c r="K25" s="17"/>
      <c r="L25" s="17"/>
      <c r="M25" s="17"/>
      <c r="N25" s="17"/>
      <c r="O25" s="1"/>
      <c r="P25" s="1"/>
      <c r="Q25" s="1"/>
      <c r="R25" s="1"/>
      <c r="S25" s="1"/>
      <c r="T25" s="1"/>
      <c r="U25" s="1"/>
      <c r="V25" s="1"/>
      <c r="W25" s="1"/>
      <c r="X25" s="1"/>
      <c r="Y25" s="1"/>
      <c r="Z25" s="1"/>
    </row>
    <row r="26" spans="1:26" ht="12" customHeight="1" x14ac:dyDescent="0.35">
      <c r="A26" s="8" t="s">
        <v>18</v>
      </c>
      <c r="B26" s="29" t="s">
        <v>19</v>
      </c>
      <c r="C26" s="17"/>
      <c r="D26" s="17"/>
      <c r="E26" s="17"/>
      <c r="F26" s="17"/>
      <c r="G26" s="17"/>
      <c r="H26" s="17"/>
      <c r="I26" s="17"/>
      <c r="J26" s="17"/>
      <c r="K26" s="17"/>
      <c r="L26" s="17"/>
      <c r="M26" s="17"/>
      <c r="N26" s="17"/>
      <c r="O26" s="1"/>
      <c r="P26" s="1"/>
      <c r="Q26" s="1"/>
      <c r="R26" s="1"/>
      <c r="S26" s="1"/>
      <c r="T26" s="1"/>
      <c r="U26" s="1"/>
      <c r="V26" s="1"/>
      <c r="W26" s="1"/>
      <c r="X26" s="1"/>
      <c r="Y26" s="1"/>
      <c r="Z26" s="1"/>
    </row>
    <row r="27" spans="1:26" ht="12" customHeight="1" x14ac:dyDescent="0.35">
      <c r="A27" s="8" t="s">
        <v>20</v>
      </c>
      <c r="B27" s="29" t="s">
        <v>21</v>
      </c>
      <c r="C27" s="17"/>
      <c r="D27" s="17"/>
      <c r="E27" s="17"/>
      <c r="F27" s="17"/>
      <c r="G27" s="17"/>
      <c r="H27" s="17"/>
      <c r="I27" s="17"/>
      <c r="J27" s="17"/>
      <c r="K27" s="17"/>
      <c r="L27" s="17"/>
      <c r="M27" s="17"/>
      <c r="N27" s="17"/>
      <c r="O27" s="1"/>
      <c r="P27" s="1"/>
      <c r="Q27" s="1"/>
      <c r="R27" s="1"/>
      <c r="S27" s="1"/>
      <c r="T27" s="1"/>
      <c r="U27" s="1"/>
      <c r="V27" s="1"/>
      <c r="W27" s="1"/>
      <c r="X27" s="1"/>
      <c r="Y27" s="1"/>
      <c r="Z27" s="1"/>
    </row>
    <row r="28" spans="1:26" ht="12" customHeight="1" x14ac:dyDescent="0.35">
      <c r="A28" s="8" t="s">
        <v>22</v>
      </c>
      <c r="B28" s="29" t="s">
        <v>23</v>
      </c>
      <c r="C28" s="17"/>
      <c r="D28" s="17"/>
      <c r="E28" s="17"/>
      <c r="F28" s="17"/>
      <c r="G28" s="17"/>
      <c r="H28" s="17"/>
      <c r="I28" s="17"/>
      <c r="J28" s="17"/>
      <c r="K28" s="17"/>
      <c r="L28" s="17"/>
      <c r="M28" s="17"/>
      <c r="N28" s="17"/>
      <c r="O28" s="1"/>
      <c r="P28" s="1"/>
      <c r="Q28" s="1"/>
      <c r="R28" s="1"/>
      <c r="S28" s="1"/>
      <c r="T28" s="1"/>
      <c r="U28" s="1"/>
      <c r="V28" s="1"/>
      <c r="W28" s="1"/>
      <c r="X28" s="1"/>
      <c r="Y28" s="1"/>
      <c r="Z28" s="1"/>
    </row>
    <row r="29" spans="1:26" ht="12" customHeight="1" x14ac:dyDescent="0.35">
      <c r="A29" s="8" t="s">
        <v>24</v>
      </c>
      <c r="B29" s="29" t="s">
        <v>26</v>
      </c>
      <c r="C29" s="30"/>
      <c r="D29" s="17"/>
      <c r="E29" s="17"/>
      <c r="F29" s="17"/>
      <c r="G29" s="17"/>
      <c r="H29" s="17"/>
      <c r="I29" s="17"/>
      <c r="J29" s="17"/>
      <c r="K29" s="17"/>
      <c r="L29" s="17"/>
      <c r="M29" s="17"/>
      <c r="N29" s="17"/>
      <c r="O29" s="1"/>
      <c r="P29" s="1"/>
      <c r="Q29" s="1"/>
      <c r="R29" s="1"/>
      <c r="S29" s="1"/>
      <c r="T29" s="1"/>
      <c r="U29" s="1"/>
      <c r="V29" s="1"/>
      <c r="W29" s="1"/>
      <c r="X29" s="1"/>
      <c r="Y29" s="1"/>
      <c r="Z29" s="1"/>
    </row>
    <row r="30" spans="1:26" ht="12" customHeight="1" x14ac:dyDescent="0.35">
      <c r="A30" s="8" t="s">
        <v>25</v>
      </c>
      <c r="B30" s="29" t="s">
        <v>27</v>
      </c>
      <c r="C30" s="17"/>
      <c r="D30" s="17"/>
      <c r="E30" s="17"/>
      <c r="F30" s="17"/>
      <c r="G30" s="17"/>
      <c r="H30" s="17"/>
      <c r="I30" s="17"/>
      <c r="J30" s="17"/>
      <c r="K30" s="17"/>
      <c r="L30" s="17"/>
      <c r="M30" s="17"/>
      <c r="N30" s="17"/>
      <c r="O30" s="1"/>
      <c r="P30" s="1"/>
      <c r="Q30" s="1"/>
      <c r="R30" s="1"/>
      <c r="S30" s="1"/>
      <c r="T30" s="1"/>
      <c r="U30" s="1"/>
      <c r="V30" s="1"/>
      <c r="W30" s="1"/>
      <c r="X30" s="1"/>
      <c r="Y30" s="1"/>
      <c r="Z30" s="1"/>
    </row>
    <row r="31" spans="1:26" ht="12" customHeight="1" x14ac:dyDescent="0.35">
      <c r="A31" s="30"/>
      <c r="B31" s="17"/>
      <c r="C31" s="17"/>
      <c r="D31" s="17"/>
      <c r="E31" s="17"/>
      <c r="F31" s="17"/>
      <c r="G31" s="17"/>
      <c r="H31" s="17"/>
      <c r="I31" s="17"/>
      <c r="J31" s="17"/>
      <c r="K31" s="17"/>
      <c r="L31" s="17"/>
      <c r="M31" s="17"/>
      <c r="N31" s="17"/>
      <c r="O31" s="1"/>
      <c r="P31" s="1"/>
      <c r="Q31" s="1"/>
      <c r="R31" s="1"/>
      <c r="S31" s="1"/>
      <c r="T31" s="1"/>
      <c r="U31" s="1"/>
      <c r="V31" s="1"/>
      <c r="W31" s="1"/>
      <c r="X31" s="1"/>
      <c r="Y31" s="1"/>
      <c r="Z31" s="1"/>
    </row>
    <row r="32" spans="1:26" ht="12" customHeight="1" x14ac:dyDescent="0.35">
      <c r="A32" s="1"/>
      <c r="B32" s="16" t="s">
        <v>28</v>
      </c>
      <c r="C32" s="17"/>
      <c r="D32" s="17"/>
      <c r="E32" s="17"/>
      <c r="F32" s="17"/>
      <c r="G32" s="17"/>
      <c r="H32" s="17"/>
      <c r="I32" s="17"/>
      <c r="J32" s="17"/>
      <c r="K32" s="17"/>
      <c r="L32" s="17"/>
      <c r="M32" s="17"/>
      <c r="N32" s="17"/>
      <c r="O32" s="1"/>
      <c r="P32" s="1"/>
      <c r="Q32" s="1"/>
      <c r="R32" s="1"/>
      <c r="S32" s="1"/>
      <c r="T32" s="1"/>
      <c r="U32" s="1"/>
      <c r="V32" s="1"/>
      <c r="W32" s="1"/>
      <c r="X32" s="1"/>
      <c r="Y32" s="1"/>
      <c r="Z32" s="1"/>
    </row>
    <row r="33" spans="1:26" ht="7" customHeight="1" x14ac:dyDescent="0.35">
      <c r="A33" s="1"/>
      <c r="B33" s="16"/>
      <c r="C33" s="17"/>
      <c r="D33" s="17"/>
      <c r="E33" s="17"/>
      <c r="F33" s="17"/>
      <c r="G33" s="17"/>
      <c r="H33" s="17"/>
      <c r="I33" s="17"/>
      <c r="J33" s="17"/>
      <c r="K33" s="17"/>
      <c r="L33" s="17"/>
      <c r="M33" s="17"/>
      <c r="N33" s="17"/>
      <c r="O33" s="1"/>
      <c r="P33" s="1"/>
      <c r="Q33" s="1"/>
      <c r="R33" s="1"/>
      <c r="S33" s="1"/>
      <c r="T33" s="1"/>
      <c r="U33" s="1"/>
      <c r="V33" s="1"/>
      <c r="W33" s="1"/>
      <c r="X33" s="1"/>
      <c r="Y33" s="1"/>
      <c r="Z33" s="1"/>
    </row>
    <row r="34" spans="1:26" ht="14.5" x14ac:dyDescent="0.35">
      <c r="A34" s="1"/>
      <c r="B34" s="31"/>
      <c r="C34" s="17"/>
      <c r="D34" s="17"/>
      <c r="E34" s="17"/>
      <c r="F34" s="17"/>
      <c r="G34" s="17"/>
      <c r="H34" s="17"/>
      <c r="I34" s="17"/>
      <c r="J34" s="17"/>
      <c r="K34" s="17"/>
      <c r="L34" s="17"/>
      <c r="M34" s="17"/>
      <c r="N34" s="17"/>
      <c r="O34" s="1"/>
      <c r="P34" s="1"/>
      <c r="Q34" s="1"/>
      <c r="R34" s="1"/>
      <c r="S34" s="1"/>
      <c r="T34" s="1"/>
      <c r="U34" s="1"/>
      <c r="V34" s="1"/>
      <c r="W34" s="1"/>
      <c r="X34" s="1"/>
      <c r="Y34" s="1"/>
      <c r="Z34" s="1"/>
    </row>
    <row r="35" spans="1:26" ht="12" customHeight="1" x14ac:dyDescent="0.35">
      <c r="A35" s="30"/>
      <c r="B35" s="32" t="s">
        <v>29</v>
      </c>
      <c r="C35" s="33"/>
      <c r="D35" s="34"/>
      <c r="F35" s="34"/>
      <c r="G35" s="34"/>
      <c r="H35" s="34"/>
      <c r="I35" s="34"/>
      <c r="J35" s="34"/>
      <c r="K35" s="34"/>
      <c r="L35" s="34"/>
      <c r="M35" s="34"/>
      <c r="N35" s="34"/>
      <c r="O35" s="1"/>
      <c r="P35" s="1"/>
      <c r="Q35" s="1"/>
      <c r="R35" s="1"/>
      <c r="S35" s="1"/>
      <c r="T35" s="1"/>
      <c r="U35" s="1"/>
      <c r="V35" s="1"/>
      <c r="W35" s="1"/>
      <c r="X35" s="1"/>
      <c r="Y35" s="1"/>
      <c r="Z35" s="1"/>
    </row>
    <row r="36" spans="1:26" ht="12" customHeight="1" x14ac:dyDescent="0.35">
      <c r="A36" s="30"/>
      <c r="B36" s="32"/>
      <c r="C36" s="33"/>
      <c r="D36" s="34"/>
      <c r="E36" s="93" t="s">
        <v>67</v>
      </c>
      <c r="F36" s="34"/>
      <c r="G36" s="34"/>
      <c r="H36" s="34"/>
      <c r="I36" s="34"/>
      <c r="J36" s="34"/>
      <c r="K36" s="34"/>
      <c r="L36" s="34"/>
      <c r="M36" s="34"/>
      <c r="N36" s="34"/>
      <c r="O36" s="1"/>
      <c r="P36" s="1"/>
      <c r="Q36" s="1"/>
      <c r="R36" s="1"/>
      <c r="S36" s="1"/>
      <c r="T36" s="1"/>
      <c r="U36" s="1"/>
      <c r="V36" s="1"/>
      <c r="W36" s="1"/>
      <c r="X36" s="1"/>
      <c r="Y36" s="1"/>
      <c r="Z36" s="1"/>
    </row>
    <row r="37" spans="1:26" ht="14.5" x14ac:dyDescent="0.35">
      <c r="A37" s="30"/>
      <c r="B37" s="30"/>
      <c r="C37" s="30"/>
      <c r="D37" s="34"/>
      <c r="E37" s="1"/>
      <c r="F37" s="34"/>
      <c r="G37" s="34"/>
      <c r="H37" s="34"/>
      <c r="I37" s="34"/>
      <c r="J37" s="34"/>
      <c r="K37" s="34"/>
      <c r="L37" s="34"/>
      <c r="M37" s="34"/>
      <c r="N37" s="34"/>
      <c r="O37" s="1"/>
      <c r="P37" s="1"/>
      <c r="Q37" s="1"/>
      <c r="R37" s="1"/>
      <c r="S37" s="1"/>
      <c r="T37" s="1"/>
      <c r="U37" s="1"/>
      <c r="V37" s="1"/>
      <c r="W37" s="1"/>
      <c r="X37" s="1"/>
      <c r="Y37" s="1"/>
      <c r="Z37" s="1"/>
    </row>
    <row r="38" spans="1:26" ht="25" x14ac:dyDescent="0.35">
      <c r="A38" s="35"/>
      <c r="B38" s="36" t="s">
        <v>30</v>
      </c>
      <c r="C38" s="36" t="s">
        <v>31</v>
      </c>
      <c r="D38" s="37" t="s">
        <v>32</v>
      </c>
      <c r="E38" s="36" t="s">
        <v>33</v>
      </c>
      <c r="F38" s="36" t="s">
        <v>34</v>
      </c>
      <c r="G38" s="36" t="s">
        <v>35</v>
      </c>
      <c r="H38" s="36" t="s">
        <v>36</v>
      </c>
      <c r="I38" s="37" t="s">
        <v>32</v>
      </c>
      <c r="O38" s="38"/>
      <c r="P38" s="38"/>
      <c r="Q38" s="38"/>
      <c r="R38" s="38"/>
      <c r="S38" s="38"/>
      <c r="T38" s="38"/>
      <c r="U38" s="38"/>
      <c r="V38" s="38"/>
      <c r="W38" s="38"/>
      <c r="X38" s="38"/>
      <c r="Y38" s="38"/>
      <c r="Z38" s="38"/>
    </row>
    <row r="39" spans="1:26" ht="12" customHeight="1" x14ac:dyDescent="0.35">
      <c r="A39" s="30"/>
      <c r="B39" s="39"/>
      <c r="C39" s="40"/>
      <c r="D39" s="41"/>
      <c r="E39" s="42"/>
      <c r="F39" s="41"/>
      <c r="G39" s="41"/>
      <c r="H39" s="41"/>
      <c r="I39" s="43">
        <f t="shared" ref="I39:I46" si="0">+SUM(D39:H39)</f>
        <v>0</v>
      </c>
      <c r="O39" s="1"/>
      <c r="P39" s="1"/>
      <c r="Q39" s="1"/>
      <c r="R39" s="1"/>
      <c r="S39" s="1"/>
      <c r="T39" s="1"/>
      <c r="U39" s="1"/>
      <c r="V39" s="1"/>
      <c r="W39" s="1"/>
      <c r="X39" s="1"/>
      <c r="Y39" s="1"/>
      <c r="Z39" s="1"/>
    </row>
    <row r="40" spans="1:26" ht="12" customHeight="1" x14ac:dyDescent="0.35">
      <c r="A40" s="30"/>
      <c r="B40" s="39"/>
      <c r="C40" s="40"/>
      <c r="D40" s="41"/>
      <c r="E40" s="42"/>
      <c r="F40" s="41"/>
      <c r="G40" s="41"/>
      <c r="H40" s="41"/>
      <c r="I40" s="43">
        <f t="shared" si="0"/>
        <v>0</v>
      </c>
      <c r="O40" s="1"/>
      <c r="P40" s="1"/>
      <c r="Q40" s="1"/>
      <c r="R40" s="1"/>
      <c r="S40" s="1"/>
      <c r="T40" s="1"/>
      <c r="U40" s="1"/>
      <c r="V40" s="1"/>
      <c r="W40" s="1"/>
      <c r="X40" s="1"/>
      <c r="Y40" s="1"/>
      <c r="Z40" s="1"/>
    </row>
    <row r="41" spans="1:26" ht="12" customHeight="1" x14ac:dyDescent="0.35">
      <c r="A41" s="30"/>
      <c r="B41" s="39"/>
      <c r="C41" s="40"/>
      <c r="D41" s="41"/>
      <c r="E41" s="42"/>
      <c r="F41" s="41"/>
      <c r="G41" s="41"/>
      <c r="H41" s="41"/>
      <c r="I41" s="43">
        <f t="shared" si="0"/>
        <v>0</v>
      </c>
      <c r="O41" s="1"/>
      <c r="P41" s="1"/>
      <c r="Q41" s="1"/>
      <c r="R41" s="1"/>
      <c r="S41" s="1"/>
      <c r="T41" s="1"/>
      <c r="U41" s="1"/>
      <c r="V41" s="1"/>
      <c r="W41" s="1"/>
      <c r="X41" s="1"/>
      <c r="Y41" s="1"/>
      <c r="Z41" s="1"/>
    </row>
    <row r="42" spans="1:26" ht="12" customHeight="1" x14ac:dyDescent="0.35">
      <c r="A42" s="30"/>
      <c r="B42" s="44"/>
      <c r="C42" s="40"/>
      <c r="D42" s="41"/>
      <c r="E42" s="42"/>
      <c r="F42" s="41"/>
      <c r="G42" s="41"/>
      <c r="H42" s="41"/>
      <c r="I42" s="43">
        <f t="shared" si="0"/>
        <v>0</v>
      </c>
      <c r="O42" s="1"/>
      <c r="P42" s="1"/>
      <c r="Q42" s="1"/>
      <c r="R42" s="1"/>
      <c r="S42" s="1"/>
      <c r="T42" s="1"/>
      <c r="U42" s="1"/>
      <c r="V42" s="1"/>
      <c r="W42" s="1"/>
      <c r="X42" s="1"/>
      <c r="Y42" s="1"/>
      <c r="Z42" s="1"/>
    </row>
    <row r="43" spans="1:26" ht="12" customHeight="1" x14ac:dyDescent="0.35">
      <c r="A43" s="30"/>
      <c r="B43" s="39"/>
      <c r="C43" s="40"/>
      <c r="D43" s="41"/>
      <c r="E43" s="42"/>
      <c r="F43" s="41"/>
      <c r="G43" s="41"/>
      <c r="H43" s="41"/>
      <c r="I43" s="43">
        <f t="shared" si="0"/>
        <v>0</v>
      </c>
      <c r="O43" s="1"/>
      <c r="P43" s="1"/>
      <c r="Q43" s="1"/>
      <c r="R43" s="1"/>
      <c r="S43" s="1"/>
      <c r="T43" s="1"/>
      <c r="U43" s="1"/>
      <c r="V43" s="1"/>
      <c r="W43" s="1"/>
      <c r="X43" s="1"/>
      <c r="Y43" s="1"/>
      <c r="Z43" s="1"/>
    </row>
    <row r="44" spans="1:26" ht="12" customHeight="1" x14ac:dyDescent="0.35">
      <c r="A44" s="30"/>
      <c r="B44" s="39"/>
      <c r="C44" s="40"/>
      <c r="D44" s="41"/>
      <c r="E44" s="42"/>
      <c r="F44" s="41"/>
      <c r="G44" s="42"/>
      <c r="H44" s="41"/>
      <c r="I44" s="43">
        <f t="shared" si="0"/>
        <v>0</v>
      </c>
      <c r="O44" s="1"/>
      <c r="P44" s="1"/>
      <c r="Q44" s="1"/>
      <c r="R44" s="1"/>
      <c r="S44" s="1"/>
      <c r="T44" s="1"/>
      <c r="U44" s="1"/>
      <c r="V44" s="1"/>
      <c r="W44" s="1"/>
      <c r="X44" s="1"/>
      <c r="Y44" s="1"/>
      <c r="Z44" s="1"/>
    </row>
    <row r="45" spans="1:26" ht="12" customHeight="1" x14ac:dyDescent="0.35">
      <c r="A45" s="30"/>
      <c r="B45" s="39"/>
      <c r="C45" s="40"/>
      <c r="D45" s="41"/>
      <c r="E45" s="42"/>
      <c r="F45" s="41"/>
      <c r="G45" s="41"/>
      <c r="H45" s="41"/>
      <c r="I45" s="43">
        <f t="shared" si="0"/>
        <v>0</v>
      </c>
      <c r="O45" s="1"/>
      <c r="P45" s="1"/>
      <c r="Q45" s="1"/>
      <c r="R45" s="1"/>
      <c r="S45" s="1"/>
      <c r="T45" s="1"/>
      <c r="U45" s="1"/>
      <c r="V45" s="1"/>
      <c r="W45" s="1"/>
      <c r="X45" s="1"/>
      <c r="Y45" s="1"/>
      <c r="Z45" s="1"/>
    </row>
    <row r="46" spans="1:26" ht="12" customHeight="1" x14ac:dyDescent="0.35">
      <c r="A46" s="30"/>
      <c r="B46" s="45"/>
      <c r="C46" s="40"/>
      <c r="D46" s="46"/>
      <c r="E46" s="42"/>
      <c r="F46" s="46"/>
      <c r="G46" s="46"/>
      <c r="H46" s="46"/>
      <c r="I46" s="43">
        <f t="shared" si="0"/>
        <v>0</v>
      </c>
      <c r="O46" s="1"/>
      <c r="P46" s="1"/>
      <c r="Q46" s="1"/>
      <c r="R46" s="1"/>
      <c r="S46" s="1"/>
      <c r="T46" s="1"/>
      <c r="U46" s="1"/>
      <c r="V46" s="1"/>
      <c r="W46" s="1"/>
      <c r="X46" s="1"/>
      <c r="Y46" s="1"/>
      <c r="Z46" s="1"/>
    </row>
    <row r="47" spans="1:26" ht="6" customHeight="1" x14ac:dyDescent="0.35">
      <c r="A47" s="30"/>
      <c r="B47" s="47"/>
      <c r="C47" s="48"/>
      <c r="D47" s="49"/>
      <c r="E47" s="1"/>
      <c r="F47" s="49"/>
      <c r="G47" s="49"/>
      <c r="H47" s="49"/>
      <c r="I47" s="50"/>
      <c r="O47" s="1"/>
      <c r="P47" s="1"/>
      <c r="Q47" s="1"/>
      <c r="R47" s="1"/>
      <c r="S47" s="1"/>
      <c r="T47" s="1"/>
      <c r="U47" s="1"/>
      <c r="V47" s="1"/>
      <c r="W47" s="1"/>
      <c r="X47" s="1"/>
      <c r="Y47" s="1"/>
      <c r="Z47" s="1"/>
    </row>
    <row r="48" spans="1:26" ht="12" customHeight="1" thickBot="1" x14ac:dyDescent="0.4">
      <c r="A48" s="30"/>
      <c r="D48" s="51">
        <f t="shared" ref="D48:I48" si="1">+SUM(D39:D46)</f>
        <v>0</v>
      </c>
      <c r="E48" s="51">
        <f t="shared" si="1"/>
        <v>0</v>
      </c>
      <c r="F48" s="51">
        <f t="shared" si="1"/>
        <v>0</v>
      </c>
      <c r="G48" s="51">
        <f t="shared" si="1"/>
        <v>0</v>
      </c>
      <c r="H48" s="51">
        <f t="shared" si="1"/>
        <v>0</v>
      </c>
      <c r="I48" s="51">
        <f t="shared" si="1"/>
        <v>0</v>
      </c>
      <c r="O48" s="1"/>
      <c r="P48" s="1"/>
      <c r="Q48" s="1"/>
      <c r="R48" s="1"/>
      <c r="S48" s="1"/>
      <c r="T48" s="1"/>
      <c r="U48" s="1"/>
      <c r="V48" s="1"/>
      <c r="W48" s="1"/>
      <c r="X48" s="1"/>
      <c r="Y48" s="1"/>
      <c r="Z48" s="1"/>
    </row>
    <row r="49" spans="1:26" ht="12" customHeight="1" thickTop="1" x14ac:dyDescent="0.35">
      <c r="A49" s="30"/>
      <c r="D49" s="100" t="s">
        <v>73</v>
      </c>
      <c r="E49" s="34"/>
      <c r="F49" s="34"/>
      <c r="G49" s="34"/>
      <c r="H49" s="34"/>
      <c r="I49" s="100" t="s">
        <v>73</v>
      </c>
      <c r="O49" s="1"/>
      <c r="P49" s="1"/>
      <c r="Q49" s="1"/>
      <c r="R49" s="1"/>
      <c r="S49" s="1"/>
      <c r="T49" s="1"/>
      <c r="U49" s="1"/>
      <c r="V49" s="1"/>
      <c r="W49" s="1"/>
      <c r="X49" s="1"/>
      <c r="Y49" s="1"/>
      <c r="Z49" s="1"/>
    </row>
    <row r="50" spans="1:26" ht="12" customHeight="1" x14ac:dyDescent="0.35">
      <c r="A50" s="30"/>
      <c r="B50" s="52"/>
      <c r="C50" s="53"/>
      <c r="D50" s="30"/>
      <c r="E50" s="54" t="s">
        <v>37</v>
      </c>
      <c r="F50" s="55"/>
      <c r="G50" s="55"/>
      <c r="H50" s="30"/>
      <c r="I50" s="56"/>
      <c r="O50" s="1"/>
      <c r="P50" s="1"/>
      <c r="Q50" s="1"/>
      <c r="R50" s="1"/>
      <c r="S50" s="1"/>
      <c r="T50" s="1"/>
      <c r="U50" s="1"/>
      <c r="V50" s="1"/>
      <c r="W50" s="1"/>
      <c r="X50" s="1"/>
      <c r="Y50" s="1"/>
      <c r="Z50" s="1"/>
    </row>
    <row r="51" spans="1:26" ht="12" customHeight="1" x14ac:dyDescent="0.35">
      <c r="A51" s="30"/>
      <c r="B51" s="52"/>
      <c r="C51" s="53"/>
      <c r="D51" s="30"/>
      <c r="E51" s="30"/>
      <c r="F51" s="30"/>
      <c r="G51" s="30"/>
      <c r="H51" s="57"/>
      <c r="I51" s="30"/>
      <c r="J51" s="30"/>
      <c r="K51" s="30"/>
      <c r="L51" s="57"/>
      <c r="M51" s="30"/>
      <c r="N51" s="30"/>
      <c r="O51" s="1"/>
      <c r="P51" s="1"/>
      <c r="Q51" s="1"/>
      <c r="R51" s="1"/>
      <c r="S51" s="1"/>
      <c r="T51" s="1"/>
      <c r="U51" s="1"/>
      <c r="V51" s="1"/>
      <c r="W51" s="1"/>
      <c r="X51" s="1"/>
      <c r="Y51" s="1"/>
      <c r="Z51" s="1"/>
    </row>
    <row r="52" spans="1:26" ht="12" customHeight="1" x14ac:dyDescent="0.35">
      <c r="A52" s="30"/>
      <c r="B52" s="1"/>
      <c r="C52" s="30"/>
      <c r="D52" s="34"/>
      <c r="E52" s="34"/>
      <c r="F52" s="34"/>
      <c r="G52" s="34"/>
      <c r="H52" s="34"/>
      <c r="I52" s="34"/>
      <c r="J52" s="34"/>
      <c r="K52" s="34"/>
      <c r="L52" s="34"/>
      <c r="M52" s="34"/>
      <c r="N52" s="34"/>
      <c r="O52" s="1"/>
      <c r="P52" s="1"/>
      <c r="Q52" s="1"/>
      <c r="R52" s="1"/>
      <c r="S52" s="1"/>
      <c r="T52" s="1"/>
      <c r="U52" s="1"/>
      <c r="V52" s="1"/>
      <c r="W52" s="1"/>
      <c r="X52" s="1"/>
      <c r="Y52" s="1"/>
      <c r="Z52" s="1"/>
    </row>
    <row r="53" spans="1:26" ht="12" customHeight="1" x14ac:dyDescent="0.35">
      <c r="A53" s="30"/>
      <c r="B53" s="1"/>
      <c r="C53" s="30"/>
      <c r="D53" s="34"/>
      <c r="E53" s="34"/>
      <c r="F53" s="34"/>
      <c r="G53" s="34"/>
      <c r="H53" s="34"/>
      <c r="I53" s="34"/>
      <c r="J53" s="34"/>
      <c r="K53" s="34"/>
      <c r="L53" s="34"/>
      <c r="M53" s="34"/>
      <c r="N53" s="34"/>
      <c r="O53" s="1"/>
      <c r="P53" s="1"/>
      <c r="Q53" s="1"/>
      <c r="R53" s="1"/>
      <c r="S53" s="1"/>
      <c r="T53" s="1"/>
      <c r="U53" s="1"/>
      <c r="V53" s="1"/>
      <c r="W53" s="1"/>
      <c r="X53" s="1"/>
      <c r="Y53" s="1"/>
      <c r="Z53" s="1"/>
    </row>
    <row r="54" spans="1:26" ht="12" customHeight="1" x14ac:dyDescent="0.35">
      <c r="A54" s="30"/>
      <c r="B54" s="58" t="s">
        <v>68</v>
      </c>
      <c r="C54" s="30"/>
      <c r="D54" s="34"/>
      <c r="E54" s="34"/>
      <c r="F54" s="34"/>
      <c r="G54" s="34"/>
      <c r="H54" s="34"/>
      <c r="I54" s="34"/>
      <c r="J54" s="34"/>
      <c r="K54" s="34"/>
      <c r="L54" s="34"/>
      <c r="M54" s="34"/>
      <c r="N54" s="34"/>
      <c r="O54" s="1"/>
      <c r="P54" s="1"/>
      <c r="Q54" s="1"/>
      <c r="R54" s="1"/>
      <c r="S54" s="1"/>
      <c r="T54" s="1"/>
      <c r="U54" s="1"/>
      <c r="V54" s="1"/>
      <c r="W54" s="1"/>
      <c r="X54" s="1"/>
      <c r="Y54" s="1"/>
      <c r="Z54" s="1"/>
    </row>
    <row r="55" spans="1:26" ht="12" customHeight="1" x14ac:dyDescent="0.35">
      <c r="A55" s="30"/>
      <c r="B55" s="54"/>
      <c r="C55" s="30"/>
      <c r="D55" s="34"/>
      <c r="E55" s="34"/>
      <c r="F55" s="34"/>
      <c r="G55" s="34"/>
      <c r="H55" s="34"/>
      <c r="I55" s="34"/>
      <c r="J55" s="34"/>
      <c r="K55" s="34"/>
      <c r="L55" s="34"/>
      <c r="M55" s="34"/>
      <c r="N55" s="34"/>
      <c r="O55" s="1"/>
      <c r="P55" s="1"/>
      <c r="Q55" s="1"/>
      <c r="R55" s="1"/>
      <c r="S55" s="1"/>
      <c r="T55" s="1"/>
      <c r="U55" s="1"/>
      <c r="V55" s="1"/>
      <c r="W55" s="1"/>
      <c r="X55" s="1"/>
      <c r="Y55" s="1"/>
      <c r="Z55" s="1"/>
    </row>
    <row r="56" spans="1:26" ht="12" customHeight="1" x14ac:dyDescent="0.35">
      <c r="A56" s="30"/>
      <c r="B56" s="54"/>
      <c r="C56" s="30"/>
      <c r="D56" s="34"/>
      <c r="E56" s="34"/>
      <c r="F56" s="34"/>
      <c r="G56" s="34"/>
      <c r="H56" s="34"/>
      <c r="I56" s="34"/>
      <c r="J56" s="34"/>
      <c r="K56" s="34"/>
      <c r="L56" s="34"/>
      <c r="M56" s="34"/>
      <c r="N56" s="34"/>
      <c r="O56" s="1"/>
      <c r="P56" s="1"/>
      <c r="Q56" s="1"/>
      <c r="R56" s="1"/>
      <c r="S56" s="1"/>
      <c r="T56" s="1"/>
      <c r="U56" s="1"/>
      <c r="V56" s="1"/>
      <c r="W56" s="1"/>
      <c r="X56" s="1"/>
      <c r="Y56" s="1"/>
      <c r="Z56" s="1"/>
    </row>
    <row r="57" spans="1:26" ht="12" customHeight="1" x14ac:dyDescent="0.35">
      <c r="A57" s="30"/>
      <c r="B57" s="34" t="s">
        <v>38</v>
      </c>
      <c r="C57" s="30"/>
      <c r="D57" s="34"/>
      <c r="E57" s="34"/>
      <c r="F57" s="34"/>
      <c r="G57" s="34"/>
      <c r="H57" s="34"/>
      <c r="I57" s="34"/>
      <c r="J57" s="34"/>
      <c r="K57" s="34"/>
      <c r="L57" s="34"/>
      <c r="M57" s="34"/>
      <c r="N57" s="34"/>
      <c r="O57" s="1"/>
      <c r="P57" s="1"/>
      <c r="Q57" s="1"/>
      <c r="R57" s="1"/>
      <c r="S57" s="1"/>
      <c r="T57" s="1"/>
      <c r="U57" s="1"/>
      <c r="V57" s="1"/>
      <c r="W57" s="1"/>
      <c r="X57" s="1"/>
      <c r="Y57" s="1"/>
      <c r="Z57" s="1"/>
    </row>
    <row r="58" spans="1:26" ht="12" customHeight="1" x14ac:dyDescent="0.35">
      <c r="A58" s="30"/>
      <c r="B58" s="34"/>
      <c r="C58" s="30"/>
      <c r="D58" s="34"/>
      <c r="E58" s="93" t="s">
        <v>67</v>
      </c>
      <c r="F58" s="34"/>
      <c r="G58" s="34"/>
      <c r="H58" s="34"/>
      <c r="I58" s="34"/>
      <c r="J58" s="34"/>
      <c r="K58" s="34"/>
      <c r="L58" s="34"/>
      <c r="M58" s="34"/>
      <c r="N58" s="34"/>
      <c r="O58" s="1"/>
      <c r="P58" s="1"/>
      <c r="Q58" s="1"/>
      <c r="R58" s="1"/>
      <c r="S58" s="1"/>
      <c r="T58" s="1"/>
      <c r="U58" s="1"/>
      <c r="V58" s="1"/>
      <c r="W58" s="1"/>
      <c r="X58" s="1"/>
      <c r="Y58" s="1"/>
      <c r="Z58" s="1"/>
    </row>
    <row r="59" spans="1:26" ht="19.5" customHeight="1" x14ac:dyDescent="0.35">
      <c r="A59" s="30"/>
      <c r="B59" s="1"/>
      <c r="C59" s="30"/>
      <c r="D59" s="34"/>
      <c r="E59" s="34"/>
      <c r="F59" s="34"/>
      <c r="G59" s="34"/>
      <c r="I59" s="34"/>
      <c r="J59" s="34"/>
      <c r="K59" s="34"/>
      <c r="L59" s="34"/>
      <c r="M59" s="34"/>
      <c r="N59" s="34"/>
      <c r="O59" s="1"/>
      <c r="P59" s="1"/>
      <c r="Q59" s="1"/>
      <c r="R59" s="1"/>
      <c r="S59" s="1"/>
      <c r="T59" s="1"/>
      <c r="U59" s="1"/>
      <c r="V59" s="1"/>
      <c r="W59" s="1"/>
      <c r="X59" s="1"/>
      <c r="Y59" s="1"/>
      <c r="Z59" s="1"/>
    </row>
    <row r="60" spans="1:26" ht="25" x14ac:dyDescent="0.35">
      <c r="A60" s="30"/>
      <c r="B60" s="36" t="s">
        <v>30</v>
      </c>
      <c r="C60" s="36" t="s">
        <v>31</v>
      </c>
      <c r="D60" s="37" t="s">
        <v>32</v>
      </c>
      <c r="E60" s="36" t="s">
        <v>34</v>
      </c>
      <c r="F60" s="36" t="s">
        <v>35</v>
      </c>
      <c r="G60" s="36" t="s">
        <v>39</v>
      </c>
      <c r="H60" s="36" t="s">
        <v>75</v>
      </c>
      <c r="I60" s="37" t="s">
        <v>32</v>
      </c>
      <c r="O60" s="1"/>
      <c r="P60" s="1"/>
      <c r="Q60" s="1"/>
      <c r="R60" s="1"/>
      <c r="S60" s="1"/>
      <c r="T60" s="1"/>
      <c r="U60" s="1"/>
      <c r="V60" s="1"/>
      <c r="W60" s="1"/>
      <c r="X60" s="1"/>
      <c r="Y60" s="1"/>
      <c r="Z60" s="1"/>
    </row>
    <row r="61" spans="1:26" ht="12" customHeight="1" x14ac:dyDescent="0.35">
      <c r="A61" s="30"/>
      <c r="B61" s="60"/>
      <c r="C61" s="42"/>
      <c r="D61" s="41"/>
      <c r="E61" s="61"/>
      <c r="F61" s="41"/>
      <c r="G61" s="41"/>
      <c r="H61" s="41"/>
      <c r="I61" s="43">
        <f>+SUM(D61:H61)</f>
        <v>0</v>
      </c>
      <c r="O61" s="1"/>
      <c r="P61" s="1"/>
      <c r="Q61" s="1"/>
      <c r="R61" s="1"/>
      <c r="S61" s="1"/>
      <c r="T61" s="1"/>
      <c r="U61" s="1"/>
      <c r="V61" s="1"/>
      <c r="W61" s="1"/>
      <c r="X61" s="1"/>
      <c r="Y61" s="1"/>
      <c r="Z61" s="1"/>
    </row>
    <row r="62" spans="1:26" ht="12" customHeight="1" x14ac:dyDescent="0.35">
      <c r="A62" s="30"/>
      <c r="B62" s="60"/>
      <c r="C62" s="42"/>
      <c r="D62" s="41"/>
      <c r="E62" s="61"/>
      <c r="F62" s="41"/>
      <c r="G62" s="41"/>
      <c r="H62" s="41"/>
      <c r="I62" s="43">
        <f t="shared" ref="I62:I67" si="2">+SUM(D62:H62)</f>
        <v>0</v>
      </c>
      <c r="O62" s="1"/>
      <c r="P62" s="1"/>
      <c r="Q62" s="1"/>
      <c r="R62" s="1"/>
      <c r="S62" s="1"/>
      <c r="T62" s="1"/>
      <c r="U62" s="1"/>
      <c r="V62" s="1"/>
      <c r="W62" s="1"/>
      <c r="X62" s="1"/>
      <c r="Y62" s="1"/>
      <c r="Z62" s="1"/>
    </row>
    <row r="63" spans="1:26" ht="12" customHeight="1" x14ac:dyDescent="0.35">
      <c r="A63" s="30"/>
      <c r="B63" s="44"/>
      <c r="C63" s="42"/>
      <c r="D63" s="41"/>
      <c r="E63" s="43"/>
      <c r="F63" s="42"/>
      <c r="G63" s="41"/>
      <c r="H63" s="41"/>
      <c r="I63" s="43">
        <f t="shared" si="2"/>
        <v>0</v>
      </c>
      <c r="O63" s="1"/>
      <c r="P63" s="1"/>
      <c r="Q63" s="1"/>
      <c r="R63" s="1"/>
      <c r="S63" s="1"/>
      <c r="T63" s="1"/>
      <c r="U63" s="1"/>
      <c r="V63" s="1"/>
      <c r="W63" s="1"/>
      <c r="X63" s="1"/>
      <c r="Y63" s="1"/>
      <c r="Z63" s="1"/>
    </row>
    <row r="64" spans="1:26" ht="12" customHeight="1" x14ac:dyDescent="0.35">
      <c r="A64" s="30"/>
      <c r="B64" s="44"/>
      <c r="C64" s="42"/>
      <c r="D64" s="41"/>
      <c r="E64" s="41"/>
      <c r="F64" s="41"/>
      <c r="G64" s="41"/>
      <c r="H64" s="41"/>
      <c r="I64" s="43">
        <f t="shared" si="2"/>
        <v>0</v>
      </c>
      <c r="O64" s="1"/>
      <c r="P64" s="1"/>
      <c r="Q64" s="1"/>
      <c r="R64" s="1"/>
      <c r="S64" s="1"/>
      <c r="T64" s="1"/>
      <c r="U64" s="1"/>
      <c r="V64" s="1"/>
      <c r="W64" s="1"/>
      <c r="X64" s="1"/>
      <c r="Y64" s="1"/>
      <c r="Z64" s="1"/>
    </row>
    <row r="65" spans="1:26" ht="12" customHeight="1" x14ac:dyDescent="0.35">
      <c r="A65" s="30"/>
      <c r="B65" s="60"/>
      <c r="C65" s="42"/>
      <c r="D65" s="41"/>
      <c r="E65" s="41"/>
      <c r="F65" s="62"/>
      <c r="G65" s="41"/>
      <c r="H65" s="41"/>
      <c r="I65" s="43">
        <f t="shared" si="2"/>
        <v>0</v>
      </c>
      <c r="O65" s="1"/>
      <c r="P65" s="1"/>
      <c r="Q65" s="1"/>
      <c r="R65" s="1"/>
      <c r="S65" s="1"/>
      <c r="T65" s="1"/>
      <c r="U65" s="1"/>
      <c r="V65" s="1"/>
      <c r="W65" s="1"/>
      <c r="X65" s="1"/>
      <c r="Y65" s="1"/>
      <c r="Z65" s="1"/>
    </row>
    <row r="66" spans="1:26" ht="12" customHeight="1" x14ac:dyDescent="0.35">
      <c r="A66" s="30"/>
      <c r="B66" s="60"/>
      <c r="C66" s="42"/>
      <c r="D66" s="41"/>
      <c r="E66" s="41"/>
      <c r="F66" s="42"/>
      <c r="G66" s="63"/>
      <c r="H66" s="63"/>
      <c r="I66" s="43">
        <f t="shared" si="2"/>
        <v>0</v>
      </c>
      <c r="O66" s="1"/>
      <c r="P66" s="1"/>
      <c r="Q66" s="1"/>
      <c r="R66" s="1"/>
      <c r="S66" s="1"/>
      <c r="T66" s="1"/>
      <c r="U66" s="1"/>
      <c r="V66" s="1"/>
      <c r="W66" s="1"/>
      <c r="X66" s="1"/>
      <c r="Y66" s="1"/>
      <c r="Z66" s="1"/>
    </row>
    <row r="67" spans="1:26" ht="12" customHeight="1" x14ac:dyDescent="0.35">
      <c r="A67" s="30"/>
      <c r="B67" s="60"/>
      <c r="C67" s="42"/>
      <c r="D67" s="41"/>
      <c r="E67" s="41"/>
      <c r="F67" s="41"/>
      <c r="G67" s="41"/>
      <c r="H67" s="41"/>
      <c r="I67" s="43">
        <f t="shared" si="2"/>
        <v>0</v>
      </c>
      <c r="O67" s="1"/>
      <c r="P67" s="1"/>
      <c r="Q67" s="1"/>
      <c r="R67" s="1"/>
      <c r="S67" s="1"/>
      <c r="T67" s="1"/>
      <c r="U67" s="1"/>
      <c r="V67" s="1"/>
      <c r="W67" s="1"/>
      <c r="X67" s="1"/>
      <c r="Y67" s="1"/>
      <c r="Z67" s="1"/>
    </row>
    <row r="68" spans="1:26" ht="6" customHeight="1" x14ac:dyDescent="0.35">
      <c r="A68" s="30"/>
      <c r="B68" s="52"/>
      <c r="C68" s="64"/>
      <c r="D68" s="30"/>
      <c r="E68" s="30"/>
      <c r="F68" s="30"/>
      <c r="G68" s="30"/>
      <c r="H68" s="30"/>
      <c r="I68" s="30"/>
      <c r="O68" s="1"/>
      <c r="P68" s="1"/>
      <c r="Q68" s="1"/>
      <c r="R68" s="1"/>
      <c r="S68" s="1"/>
      <c r="T68" s="1"/>
      <c r="U68" s="1"/>
      <c r="V68" s="1"/>
      <c r="W68" s="1"/>
      <c r="X68" s="1"/>
      <c r="Y68" s="1"/>
      <c r="Z68" s="1"/>
    </row>
    <row r="69" spans="1:26" ht="12" customHeight="1" thickBot="1" x14ac:dyDescent="0.4">
      <c r="A69" s="30"/>
      <c r="B69" s="101"/>
      <c r="C69" s="102"/>
      <c r="D69" s="65">
        <f t="shared" ref="D69:G69" si="3">+SUM(D61:D67)</f>
        <v>0</v>
      </c>
      <c r="E69" s="66">
        <f t="shared" si="3"/>
        <v>0</v>
      </c>
      <c r="F69" s="65">
        <f t="shared" si="3"/>
        <v>0</v>
      </c>
      <c r="G69" s="65">
        <f t="shared" si="3"/>
        <v>0</v>
      </c>
      <c r="H69" s="65">
        <f t="shared" ref="H69" si="4">+SUM(H61:H67)</f>
        <v>0</v>
      </c>
      <c r="I69" s="65">
        <f>+SUM(I61:I67)</f>
        <v>0</v>
      </c>
      <c r="O69" s="1"/>
      <c r="P69" s="1"/>
      <c r="Q69" s="1"/>
      <c r="R69" s="1"/>
      <c r="S69" s="1"/>
      <c r="T69" s="1"/>
      <c r="U69" s="1"/>
      <c r="V69" s="1"/>
      <c r="W69" s="1"/>
      <c r="X69" s="1"/>
      <c r="Y69" s="1"/>
      <c r="Z69" s="1"/>
    </row>
    <row r="70" spans="1:26" ht="12" customHeight="1" thickTop="1" x14ac:dyDescent="0.35">
      <c r="A70" s="30"/>
      <c r="B70" s="30"/>
      <c r="C70" s="30"/>
      <c r="D70" s="100" t="s">
        <v>73</v>
      </c>
      <c r="E70" s="98" t="s">
        <v>72</v>
      </c>
      <c r="F70" s="30"/>
      <c r="G70" s="30"/>
      <c r="H70" s="67"/>
      <c r="I70" s="100" t="s">
        <v>73</v>
      </c>
      <c r="O70" s="1"/>
      <c r="P70" s="1"/>
      <c r="Q70" s="1"/>
      <c r="R70" s="1"/>
      <c r="S70" s="1"/>
      <c r="T70" s="1"/>
      <c r="U70" s="1"/>
      <c r="V70" s="1"/>
      <c r="W70" s="1"/>
      <c r="X70" s="1"/>
      <c r="Y70" s="1"/>
      <c r="Z70" s="1"/>
    </row>
    <row r="71" spans="1:26" ht="12" customHeight="1" x14ac:dyDescent="0.35">
      <c r="A71" s="30"/>
      <c r="B71" s="30"/>
      <c r="C71" s="30"/>
      <c r="D71" s="30"/>
      <c r="E71" s="30"/>
      <c r="F71" s="30"/>
      <c r="G71" s="30"/>
      <c r="H71" s="57"/>
      <c r="I71" s="68"/>
      <c r="O71" s="1"/>
      <c r="P71" s="1"/>
      <c r="Q71" s="1"/>
      <c r="R71" s="1"/>
      <c r="S71" s="1"/>
      <c r="T71" s="1"/>
      <c r="U71" s="1"/>
      <c r="V71" s="1"/>
      <c r="W71" s="1"/>
      <c r="X71" s="1"/>
      <c r="Y71" s="1"/>
      <c r="Z71" s="1"/>
    </row>
    <row r="72" spans="1:26" ht="12" customHeight="1" x14ac:dyDescent="0.35">
      <c r="A72" s="30"/>
      <c r="B72" s="1"/>
      <c r="C72" s="30"/>
      <c r="D72" s="34"/>
      <c r="E72" s="34"/>
      <c r="F72" s="34"/>
      <c r="G72" s="34"/>
      <c r="H72" s="34"/>
      <c r="I72" s="68"/>
      <c r="J72" s="34"/>
      <c r="K72" s="34"/>
      <c r="L72" s="34"/>
      <c r="M72" s="34"/>
      <c r="N72" s="34"/>
      <c r="O72" s="1"/>
      <c r="P72" s="1"/>
      <c r="Q72" s="1"/>
      <c r="R72" s="1"/>
      <c r="S72" s="1"/>
      <c r="T72" s="1"/>
      <c r="U72" s="1"/>
      <c r="V72" s="1"/>
      <c r="W72" s="1"/>
      <c r="X72" s="1"/>
      <c r="Y72" s="1"/>
      <c r="Z72" s="1"/>
    </row>
    <row r="73" spans="1:26" ht="12" customHeight="1" x14ac:dyDescent="0.35">
      <c r="A73" s="30"/>
      <c r="B73" s="1"/>
      <c r="C73" s="30"/>
      <c r="D73" s="34"/>
      <c r="E73" s="34"/>
      <c r="F73" s="34"/>
      <c r="G73" s="34"/>
      <c r="H73" s="34"/>
      <c r="I73" s="34"/>
      <c r="J73" s="34"/>
      <c r="K73" s="34"/>
      <c r="L73" s="34"/>
      <c r="M73" s="34"/>
      <c r="N73" s="34"/>
      <c r="O73" s="1"/>
      <c r="P73" s="1"/>
      <c r="Q73" s="1"/>
      <c r="R73" s="1"/>
      <c r="S73" s="1"/>
      <c r="T73" s="1"/>
      <c r="U73" s="1"/>
      <c r="V73" s="1"/>
      <c r="W73" s="1"/>
      <c r="X73" s="1"/>
      <c r="Y73" s="1"/>
      <c r="Z73" s="1"/>
    </row>
    <row r="74" spans="1:26" ht="12" customHeight="1" x14ac:dyDescent="0.35">
      <c r="A74" s="30"/>
      <c r="B74" s="103" t="s">
        <v>40</v>
      </c>
      <c r="C74" s="104"/>
      <c r="D74" s="105"/>
      <c r="E74" s="34"/>
      <c r="F74" s="34"/>
      <c r="G74" s="34"/>
      <c r="H74" s="34"/>
      <c r="I74" s="34"/>
      <c r="J74" s="34"/>
      <c r="K74" s="34"/>
      <c r="L74" s="34"/>
      <c r="M74" s="34"/>
      <c r="N74" s="34"/>
      <c r="O74" s="1"/>
      <c r="P74" s="1"/>
      <c r="Q74" s="1"/>
      <c r="R74" s="1"/>
      <c r="S74" s="1"/>
      <c r="T74" s="1"/>
      <c r="U74" s="1"/>
      <c r="V74" s="1"/>
      <c r="W74" s="1"/>
      <c r="X74" s="1"/>
      <c r="Y74" s="1"/>
      <c r="Z74" s="1"/>
    </row>
    <row r="75" spans="1:26" ht="12" customHeight="1" x14ac:dyDescent="0.35">
      <c r="A75" s="30"/>
      <c r="B75" s="30"/>
      <c r="C75" s="30"/>
      <c r="D75" s="30"/>
      <c r="E75" s="34"/>
      <c r="F75" s="34"/>
      <c r="G75" s="34"/>
      <c r="H75" s="34"/>
      <c r="I75" s="34"/>
      <c r="J75" s="34"/>
      <c r="K75" s="34"/>
      <c r="L75" s="34"/>
      <c r="M75" s="34"/>
      <c r="N75" s="34"/>
      <c r="O75" s="1"/>
      <c r="P75" s="1"/>
      <c r="Q75" s="1"/>
      <c r="R75" s="1"/>
      <c r="S75" s="1"/>
      <c r="T75" s="1"/>
      <c r="U75" s="1"/>
      <c r="V75" s="1"/>
      <c r="W75" s="1"/>
      <c r="X75" s="1"/>
      <c r="Y75" s="1"/>
      <c r="Z75" s="1"/>
    </row>
    <row r="76" spans="1:26" ht="12" customHeight="1" x14ac:dyDescent="0.35">
      <c r="A76" s="30"/>
      <c r="B76" s="3" t="s">
        <v>63</v>
      </c>
      <c r="C76" s="30"/>
      <c r="D76" s="30"/>
      <c r="E76" s="34"/>
      <c r="F76" s="34"/>
      <c r="G76" s="34"/>
      <c r="H76" s="34"/>
      <c r="I76" s="34"/>
      <c r="J76" s="34"/>
      <c r="K76" s="34"/>
      <c r="L76" s="34"/>
      <c r="M76" s="34"/>
      <c r="N76" s="34"/>
      <c r="O76" s="1"/>
      <c r="P76" s="1"/>
      <c r="Q76" s="1"/>
      <c r="R76" s="1"/>
      <c r="S76" s="1"/>
      <c r="T76" s="1"/>
      <c r="U76" s="1"/>
      <c r="V76" s="1"/>
      <c r="W76" s="1"/>
      <c r="X76" s="1"/>
      <c r="Y76" s="1"/>
      <c r="Z76" s="1"/>
    </row>
    <row r="77" spans="1:26" ht="12" customHeight="1" x14ac:dyDescent="0.35">
      <c r="A77" s="30"/>
      <c r="B77" s="30"/>
      <c r="C77" s="30"/>
      <c r="D77" s="30"/>
      <c r="E77" s="34"/>
      <c r="F77" s="34"/>
      <c r="G77" s="34"/>
      <c r="H77" s="34"/>
      <c r="I77" s="34"/>
      <c r="J77" s="34"/>
      <c r="K77" s="34"/>
      <c r="L77" s="34"/>
      <c r="M77" s="34"/>
      <c r="N77" s="34"/>
      <c r="O77" s="1"/>
      <c r="P77" s="1"/>
      <c r="Q77" s="1"/>
      <c r="R77" s="1"/>
      <c r="S77" s="1"/>
      <c r="T77" s="1"/>
      <c r="U77" s="1"/>
      <c r="V77" s="1"/>
      <c r="W77" s="1"/>
      <c r="X77" s="1"/>
      <c r="Y77" s="1"/>
      <c r="Z77" s="1"/>
    </row>
    <row r="78" spans="1:26" s="84" customFormat="1" ht="25" x14ac:dyDescent="0.35">
      <c r="A78" s="81"/>
      <c r="B78" s="7" t="s">
        <v>30</v>
      </c>
      <c r="C78" s="7" t="s">
        <v>31</v>
      </c>
      <c r="D78" s="37" t="s">
        <v>41</v>
      </c>
      <c r="E78" s="82"/>
      <c r="F78" s="82"/>
      <c r="G78" s="82"/>
      <c r="H78" s="82"/>
      <c r="I78" s="82"/>
      <c r="J78" s="82"/>
      <c r="K78" s="82"/>
      <c r="L78" s="82"/>
      <c r="M78" s="82"/>
      <c r="N78" s="82"/>
      <c r="O78" s="83"/>
      <c r="P78" s="83"/>
      <c r="Q78" s="83"/>
      <c r="R78" s="83"/>
      <c r="S78" s="83"/>
      <c r="T78" s="83"/>
      <c r="U78" s="83"/>
      <c r="V78" s="83"/>
      <c r="W78" s="83"/>
      <c r="X78" s="83"/>
      <c r="Y78" s="83"/>
      <c r="Z78" s="83"/>
    </row>
    <row r="79" spans="1:26" ht="12" customHeight="1" x14ac:dyDescent="0.35">
      <c r="A79" s="30"/>
      <c r="B79" s="69">
        <v>0</v>
      </c>
      <c r="C79" s="69">
        <v>0</v>
      </c>
      <c r="D79" s="69">
        <v>0</v>
      </c>
      <c r="E79" s="34"/>
      <c r="F79" s="34"/>
      <c r="G79" s="34"/>
      <c r="H79" s="34"/>
      <c r="I79" s="34"/>
      <c r="J79" s="34"/>
      <c r="K79" s="34"/>
      <c r="L79" s="34"/>
      <c r="M79" s="34"/>
      <c r="N79" s="34"/>
      <c r="O79" s="1"/>
      <c r="P79" s="1"/>
      <c r="Q79" s="1"/>
      <c r="R79" s="1"/>
      <c r="S79" s="1"/>
      <c r="T79" s="1"/>
      <c r="U79" s="1"/>
      <c r="V79" s="1"/>
      <c r="W79" s="1"/>
      <c r="X79" s="1"/>
      <c r="Y79" s="1"/>
      <c r="Z79" s="1"/>
    </row>
    <row r="80" spans="1:26" ht="7" customHeight="1" x14ac:dyDescent="0.35">
      <c r="A80" s="30"/>
      <c r="B80" s="70"/>
      <c r="C80" s="70"/>
      <c r="D80" s="70"/>
      <c r="E80" s="34"/>
      <c r="F80" s="34"/>
      <c r="G80" s="34"/>
      <c r="H80" s="34"/>
      <c r="I80" s="34"/>
      <c r="J80" s="34"/>
      <c r="K80" s="34"/>
      <c r="L80" s="34"/>
      <c r="M80" s="34"/>
      <c r="N80" s="34"/>
      <c r="O80" s="1"/>
      <c r="P80" s="1"/>
      <c r="Q80" s="1"/>
      <c r="R80" s="1"/>
      <c r="S80" s="1"/>
      <c r="T80" s="1"/>
      <c r="U80" s="1"/>
      <c r="V80" s="1"/>
      <c r="W80" s="1"/>
      <c r="X80" s="1"/>
      <c r="Y80" s="1"/>
      <c r="Z80" s="1"/>
    </row>
    <row r="81" spans="1:26" ht="12" customHeight="1" x14ac:dyDescent="0.35">
      <c r="A81" s="30"/>
      <c r="B81" s="70"/>
      <c r="C81" s="70"/>
      <c r="D81" s="71">
        <f>SUM(D79)</f>
        <v>0</v>
      </c>
      <c r="E81" s="100" t="s">
        <v>73</v>
      </c>
      <c r="F81" s="34"/>
      <c r="G81" s="34"/>
      <c r="H81" s="34"/>
      <c r="I81" s="34"/>
      <c r="J81" s="34"/>
      <c r="K81" s="34"/>
      <c r="L81" s="34"/>
      <c r="M81" s="34"/>
      <c r="N81" s="34"/>
      <c r="O81" s="1"/>
      <c r="P81" s="1"/>
      <c r="Q81" s="1"/>
      <c r="R81" s="1"/>
      <c r="S81" s="1"/>
      <c r="T81" s="1"/>
      <c r="U81" s="1"/>
      <c r="V81" s="1"/>
      <c r="W81" s="1"/>
      <c r="X81" s="1"/>
      <c r="Y81" s="1"/>
      <c r="Z81" s="1"/>
    </row>
    <row r="82" spans="1:26" ht="12" customHeight="1" thickTop="1" x14ac:dyDescent="0.35">
      <c r="A82" s="30"/>
      <c r="B82" s="70"/>
      <c r="C82" s="70"/>
      <c r="D82" s="70"/>
      <c r="E82" s="34"/>
      <c r="F82" s="34"/>
      <c r="G82" s="34"/>
      <c r="H82" s="34"/>
      <c r="I82" s="34"/>
      <c r="J82" s="34"/>
      <c r="K82" s="34"/>
      <c r="L82" s="34"/>
      <c r="M82" s="34"/>
      <c r="N82" s="34"/>
      <c r="O82" s="1"/>
      <c r="P82" s="1"/>
      <c r="Q82" s="1"/>
      <c r="R82" s="1"/>
      <c r="S82" s="1"/>
      <c r="T82" s="1"/>
      <c r="U82" s="1"/>
      <c r="V82" s="1"/>
      <c r="W82" s="1"/>
      <c r="X82" s="1"/>
      <c r="Y82" s="1"/>
      <c r="Z82" s="1"/>
    </row>
    <row r="83" spans="1:26" ht="12" customHeight="1" x14ac:dyDescent="0.35">
      <c r="A83" s="30"/>
      <c r="B83" s="70"/>
      <c r="C83" s="72" t="s">
        <v>42</v>
      </c>
      <c r="D83" s="49">
        <f>+I48</f>
        <v>0</v>
      </c>
      <c r="E83" s="99"/>
      <c r="F83" s="34"/>
      <c r="G83" s="34"/>
      <c r="H83" s="34"/>
      <c r="I83" s="34"/>
      <c r="J83" s="34"/>
      <c r="K83" s="34"/>
      <c r="L83" s="34"/>
      <c r="M83" s="34"/>
      <c r="N83" s="34"/>
      <c r="O83" s="1"/>
      <c r="P83" s="1"/>
      <c r="Q83" s="1"/>
      <c r="R83" s="1"/>
      <c r="S83" s="1"/>
      <c r="T83" s="1"/>
      <c r="U83" s="1"/>
      <c r="V83" s="1"/>
      <c r="W83" s="1"/>
      <c r="X83" s="1"/>
      <c r="Y83" s="1"/>
      <c r="Z83" s="1"/>
    </row>
    <row r="84" spans="1:26" ht="12" customHeight="1" thickBot="1" x14ac:dyDescent="0.4">
      <c r="A84" s="30"/>
      <c r="B84" s="70"/>
      <c r="C84" s="95" t="s">
        <v>43</v>
      </c>
      <c r="D84" s="96">
        <f>+D81-D83</f>
        <v>0</v>
      </c>
      <c r="E84" s="34"/>
      <c r="F84" s="34"/>
      <c r="G84" s="34"/>
      <c r="H84" s="34"/>
      <c r="I84" s="34"/>
      <c r="J84" s="34"/>
      <c r="K84" s="34"/>
      <c r="L84" s="34"/>
      <c r="M84" s="34"/>
      <c r="N84" s="34"/>
      <c r="O84" s="1"/>
      <c r="P84" s="1"/>
      <c r="Q84" s="1"/>
      <c r="R84" s="1"/>
      <c r="S84" s="1"/>
      <c r="T84" s="1"/>
      <c r="U84" s="1"/>
      <c r="V84" s="1"/>
      <c r="W84" s="1"/>
      <c r="X84" s="1"/>
      <c r="Y84" s="1"/>
      <c r="Z84" s="1"/>
    </row>
    <row r="85" spans="1:26" ht="12" customHeight="1" x14ac:dyDescent="0.35">
      <c r="A85" s="30"/>
      <c r="B85" s="30"/>
      <c r="C85" s="30"/>
      <c r="D85" s="30"/>
      <c r="E85" s="34"/>
      <c r="F85" s="34"/>
      <c r="G85" s="34"/>
      <c r="H85" s="34"/>
      <c r="I85" s="34"/>
      <c r="J85" s="34"/>
      <c r="K85" s="34"/>
      <c r="L85" s="34"/>
      <c r="M85" s="34"/>
      <c r="N85" s="34"/>
      <c r="O85" s="1"/>
      <c r="P85" s="1"/>
      <c r="Q85" s="1"/>
      <c r="R85" s="1"/>
      <c r="S85" s="1"/>
      <c r="T85" s="1"/>
      <c r="U85" s="1"/>
      <c r="V85" s="1"/>
      <c r="W85" s="1"/>
      <c r="X85" s="1"/>
      <c r="Y85" s="1"/>
      <c r="Z85" s="1"/>
    </row>
    <row r="86" spans="1:26" ht="12" customHeight="1" x14ac:dyDescent="0.35">
      <c r="A86" s="30"/>
      <c r="B86" s="30"/>
      <c r="C86" s="30"/>
      <c r="D86" s="30"/>
      <c r="E86" s="34"/>
      <c r="F86" s="34"/>
      <c r="G86" s="34"/>
      <c r="H86" s="34"/>
      <c r="I86" s="34"/>
      <c r="J86" s="34"/>
      <c r="K86" s="34"/>
      <c r="L86" s="34"/>
      <c r="M86" s="34"/>
      <c r="N86" s="34"/>
      <c r="O86" s="1"/>
      <c r="P86" s="1"/>
      <c r="Q86" s="1"/>
      <c r="R86" s="1"/>
      <c r="S86" s="1"/>
      <c r="T86" s="1"/>
      <c r="U86" s="1"/>
      <c r="V86" s="1"/>
      <c r="W86" s="1"/>
      <c r="X86" s="1"/>
      <c r="Y86" s="1"/>
      <c r="Z86" s="1"/>
    </row>
    <row r="87" spans="1:26" ht="12" customHeight="1" x14ac:dyDescent="0.35">
      <c r="A87" s="30"/>
      <c r="B87" s="85" t="s">
        <v>64</v>
      </c>
      <c r="C87" s="30"/>
      <c r="D87" s="30"/>
      <c r="E87" s="34"/>
      <c r="F87" s="34"/>
      <c r="G87" s="34"/>
      <c r="H87" s="34"/>
      <c r="I87" s="34"/>
      <c r="J87" s="34"/>
      <c r="K87" s="34"/>
      <c r="L87" s="34"/>
      <c r="M87" s="34"/>
      <c r="N87" s="34"/>
      <c r="O87" s="1"/>
      <c r="P87" s="1"/>
      <c r="Q87" s="1"/>
      <c r="R87" s="1"/>
      <c r="S87" s="1"/>
      <c r="T87" s="1"/>
      <c r="U87" s="1"/>
      <c r="V87" s="1"/>
      <c r="W87" s="1"/>
      <c r="X87" s="1"/>
      <c r="Y87" s="1"/>
      <c r="Z87" s="1"/>
    </row>
    <row r="88" spans="1:26" ht="12" customHeight="1" x14ac:dyDescent="0.35">
      <c r="A88" s="30"/>
      <c r="B88" s="30"/>
      <c r="C88" s="30"/>
      <c r="D88" s="30"/>
      <c r="E88" s="34"/>
      <c r="F88" s="34"/>
      <c r="G88" s="34"/>
      <c r="H88" s="34"/>
      <c r="I88" s="34"/>
      <c r="J88" s="34"/>
      <c r="K88" s="34"/>
      <c r="L88" s="34"/>
      <c r="M88" s="34"/>
      <c r="N88" s="34"/>
      <c r="O88" s="1"/>
      <c r="P88" s="1"/>
      <c r="Q88" s="1"/>
      <c r="R88" s="1"/>
      <c r="S88" s="1"/>
      <c r="T88" s="1"/>
      <c r="U88" s="1"/>
      <c r="V88" s="1"/>
      <c r="W88" s="1"/>
      <c r="X88" s="1"/>
      <c r="Y88" s="1"/>
      <c r="Z88" s="1"/>
    </row>
    <row r="89" spans="1:26" s="92" customFormat="1" ht="25" x14ac:dyDescent="0.35">
      <c r="A89" s="90"/>
      <c r="B89" s="37" t="s">
        <v>30</v>
      </c>
      <c r="C89" s="37" t="s">
        <v>31</v>
      </c>
      <c r="D89" s="37" t="s">
        <v>41</v>
      </c>
      <c r="E89" s="59"/>
      <c r="F89" s="59"/>
      <c r="G89" s="59"/>
      <c r="H89" s="59"/>
      <c r="I89" s="59"/>
      <c r="J89" s="59"/>
      <c r="K89" s="59"/>
      <c r="L89" s="59"/>
      <c r="M89" s="59"/>
      <c r="N89" s="59"/>
      <c r="O89" s="91"/>
      <c r="P89" s="91"/>
      <c r="Q89" s="91"/>
      <c r="R89" s="91"/>
      <c r="S89" s="91"/>
      <c r="T89" s="91"/>
      <c r="U89" s="91"/>
      <c r="V89" s="91"/>
      <c r="W89" s="91"/>
      <c r="X89" s="91"/>
      <c r="Y89" s="91"/>
      <c r="Z89" s="91"/>
    </row>
    <row r="90" spans="1:26" ht="12" customHeight="1" x14ac:dyDescent="0.35">
      <c r="A90" s="30"/>
      <c r="B90" s="69">
        <v>0</v>
      </c>
      <c r="C90" s="69">
        <v>0</v>
      </c>
      <c r="D90" s="69">
        <v>0</v>
      </c>
      <c r="E90" s="34"/>
      <c r="F90" s="34"/>
      <c r="G90" s="34"/>
      <c r="H90" s="34"/>
      <c r="I90" s="34"/>
      <c r="J90" s="34"/>
      <c r="K90" s="34"/>
      <c r="L90" s="34"/>
      <c r="M90" s="34"/>
      <c r="N90" s="34"/>
      <c r="O90" s="1"/>
      <c r="P90" s="1"/>
      <c r="Q90" s="1"/>
      <c r="R90" s="1"/>
      <c r="S90" s="1"/>
      <c r="T90" s="1"/>
      <c r="U90" s="1"/>
      <c r="V90" s="1"/>
      <c r="W90" s="1"/>
      <c r="X90" s="1"/>
      <c r="Y90" s="1"/>
      <c r="Z90" s="1"/>
    </row>
    <row r="91" spans="1:26" ht="7" customHeight="1" x14ac:dyDescent="0.35">
      <c r="A91" s="30"/>
      <c r="B91" s="70"/>
      <c r="C91" s="70"/>
      <c r="D91" s="70"/>
      <c r="E91" s="34"/>
      <c r="F91" s="34"/>
      <c r="G91" s="34"/>
      <c r="H91" s="34"/>
      <c r="I91" s="34"/>
      <c r="J91" s="34"/>
      <c r="K91" s="34"/>
      <c r="L91" s="34"/>
      <c r="M91" s="34"/>
      <c r="N91" s="34"/>
      <c r="O91" s="1"/>
      <c r="P91" s="1"/>
      <c r="Q91" s="1"/>
      <c r="R91" s="1"/>
      <c r="S91" s="1"/>
      <c r="T91" s="1"/>
      <c r="U91" s="1"/>
      <c r="V91" s="1"/>
      <c r="W91" s="1"/>
      <c r="X91" s="1"/>
      <c r="Y91" s="1"/>
      <c r="Z91" s="1"/>
    </row>
    <row r="92" spans="1:26" ht="12" customHeight="1" x14ac:dyDescent="0.35">
      <c r="A92" s="30"/>
      <c r="B92" s="70"/>
      <c r="C92" s="70"/>
      <c r="D92" s="71">
        <f>SUM(D90)</f>
        <v>0</v>
      </c>
      <c r="E92" s="100" t="s">
        <v>73</v>
      </c>
      <c r="F92" s="34"/>
      <c r="G92" s="34"/>
      <c r="H92" s="34"/>
      <c r="I92" s="34"/>
      <c r="J92" s="34"/>
      <c r="K92" s="34"/>
      <c r="L92" s="34"/>
      <c r="M92" s="34"/>
      <c r="N92" s="34"/>
      <c r="O92" s="1"/>
      <c r="P92" s="1"/>
      <c r="Q92" s="1"/>
      <c r="R92" s="1"/>
      <c r="S92" s="1"/>
      <c r="T92" s="1"/>
      <c r="U92" s="1"/>
      <c r="V92" s="1"/>
      <c r="W92" s="1"/>
      <c r="X92" s="1"/>
      <c r="Y92" s="1"/>
      <c r="Z92" s="1"/>
    </row>
    <row r="93" spans="1:26" ht="12" customHeight="1" thickTop="1" x14ac:dyDescent="0.35">
      <c r="A93" s="30"/>
      <c r="B93" s="70"/>
      <c r="C93" s="70"/>
      <c r="D93" s="70"/>
      <c r="E93" s="34"/>
      <c r="F93" s="34"/>
      <c r="G93" s="34"/>
      <c r="H93" s="34"/>
      <c r="I93" s="34"/>
      <c r="J93" s="34"/>
      <c r="K93" s="34"/>
      <c r="L93" s="34"/>
      <c r="M93" s="34"/>
      <c r="N93" s="34"/>
      <c r="O93" s="1"/>
      <c r="P93" s="1"/>
      <c r="Q93" s="1"/>
      <c r="R93" s="1"/>
      <c r="S93" s="1"/>
      <c r="T93" s="1"/>
      <c r="U93" s="1"/>
      <c r="V93" s="1"/>
      <c r="W93" s="1"/>
      <c r="X93" s="1"/>
      <c r="Y93" s="1"/>
      <c r="Z93" s="1"/>
    </row>
    <row r="94" spans="1:26" ht="12" customHeight="1" x14ac:dyDescent="0.35">
      <c r="A94" s="30"/>
      <c r="B94" s="70"/>
      <c r="C94" s="72" t="s">
        <v>42</v>
      </c>
      <c r="D94" s="49">
        <f>+I69</f>
        <v>0</v>
      </c>
      <c r="E94" s="99"/>
      <c r="F94" s="34"/>
      <c r="G94" s="34"/>
      <c r="H94" s="34"/>
      <c r="I94" s="34"/>
      <c r="J94" s="34"/>
      <c r="K94" s="34"/>
      <c r="L94" s="34"/>
      <c r="M94" s="34"/>
      <c r="N94" s="34"/>
      <c r="O94" s="1"/>
      <c r="P94" s="1"/>
      <c r="Q94" s="1"/>
      <c r="R94" s="1"/>
      <c r="S94" s="1"/>
      <c r="T94" s="1"/>
      <c r="U94" s="1"/>
      <c r="V94" s="1"/>
      <c r="W94" s="1"/>
      <c r="X94" s="1"/>
      <c r="Y94" s="1"/>
      <c r="Z94" s="1"/>
    </row>
    <row r="95" spans="1:26" ht="12" customHeight="1" thickBot="1" x14ac:dyDescent="0.4">
      <c r="A95" s="30"/>
      <c r="B95" s="70"/>
      <c r="C95" s="95" t="s">
        <v>43</v>
      </c>
      <c r="D95" s="96">
        <f>+D92-D94</f>
        <v>0</v>
      </c>
      <c r="E95" s="34"/>
      <c r="F95" s="34"/>
      <c r="G95" s="34"/>
      <c r="H95" s="34"/>
      <c r="I95" s="34"/>
      <c r="J95" s="34"/>
      <c r="K95" s="34"/>
      <c r="L95" s="34"/>
      <c r="M95" s="34"/>
      <c r="N95" s="34"/>
      <c r="O95" s="1"/>
      <c r="P95" s="1"/>
      <c r="Q95" s="1"/>
      <c r="R95" s="1"/>
      <c r="S95" s="1"/>
      <c r="T95" s="1"/>
      <c r="U95" s="1"/>
      <c r="V95" s="1"/>
      <c r="W95" s="1"/>
      <c r="X95" s="1"/>
      <c r="Y95" s="1"/>
      <c r="Z95" s="1"/>
    </row>
    <row r="96" spans="1:26" ht="12" customHeight="1" x14ac:dyDescent="0.35">
      <c r="A96" s="30"/>
      <c r="B96" s="30"/>
      <c r="C96" s="30"/>
      <c r="D96" s="30"/>
      <c r="E96" s="34"/>
      <c r="F96" s="34"/>
      <c r="G96" s="34"/>
      <c r="H96" s="34"/>
      <c r="I96" s="34"/>
      <c r="J96" s="34"/>
      <c r="K96" s="34"/>
      <c r="L96" s="34"/>
      <c r="M96" s="34"/>
      <c r="N96" s="34"/>
      <c r="O96" s="1"/>
      <c r="P96" s="1"/>
      <c r="Q96" s="1"/>
      <c r="R96" s="1"/>
      <c r="S96" s="1"/>
      <c r="T96" s="1"/>
      <c r="U96" s="1"/>
      <c r="V96" s="1"/>
      <c r="W96" s="1"/>
      <c r="X96" s="1"/>
      <c r="Y96" s="1"/>
      <c r="Z96" s="1"/>
    </row>
    <row r="97" spans="1:26" ht="12" customHeight="1" x14ac:dyDescent="0.35">
      <c r="A97" s="30"/>
      <c r="B97" s="30"/>
      <c r="C97" s="30"/>
      <c r="D97" s="30"/>
      <c r="E97" s="34"/>
      <c r="F97" s="34"/>
      <c r="G97" s="34"/>
      <c r="H97" s="34"/>
      <c r="I97" s="34"/>
      <c r="J97" s="34"/>
      <c r="K97" s="34"/>
      <c r="L97" s="34"/>
      <c r="M97" s="34"/>
      <c r="N97" s="34"/>
      <c r="O97" s="1"/>
      <c r="P97" s="1"/>
      <c r="Q97" s="1"/>
      <c r="R97" s="1"/>
      <c r="S97" s="1"/>
      <c r="T97" s="1"/>
      <c r="U97" s="1"/>
      <c r="V97" s="1"/>
      <c r="W97" s="1"/>
      <c r="X97" s="1"/>
      <c r="Y97" s="1"/>
      <c r="Z97" s="1"/>
    </row>
    <row r="98" spans="1:26" ht="12" customHeight="1" x14ac:dyDescent="0.35">
      <c r="A98" s="30"/>
      <c r="B98" s="30"/>
      <c r="C98" s="30"/>
      <c r="D98" s="30"/>
      <c r="E98" s="34"/>
      <c r="F98" s="34"/>
      <c r="G98" s="34"/>
      <c r="H98" s="34"/>
      <c r="I98" s="34"/>
      <c r="J98" s="34"/>
      <c r="K98" s="34"/>
      <c r="L98" s="34"/>
      <c r="M98" s="34"/>
      <c r="N98" s="34"/>
      <c r="O98" s="1"/>
      <c r="P98" s="1"/>
      <c r="Q98" s="1"/>
      <c r="R98" s="1"/>
      <c r="S98" s="1"/>
      <c r="T98" s="1"/>
      <c r="U98" s="1"/>
      <c r="V98" s="1"/>
      <c r="W98" s="1"/>
      <c r="X98" s="1"/>
      <c r="Y98" s="1"/>
      <c r="Z98" s="1"/>
    </row>
    <row r="99" spans="1:26" ht="12" customHeight="1" x14ac:dyDescent="0.35">
      <c r="A99" s="30"/>
      <c r="B99" s="73"/>
      <c r="C99" s="73"/>
      <c r="D99" s="73"/>
      <c r="E99" s="34"/>
      <c r="F99" s="34"/>
      <c r="G99" s="34"/>
      <c r="H99" s="34"/>
      <c r="I99" s="34"/>
      <c r="J99" s="34"/>
      <c r="K99" s="34"/>
      <c r="L99" s="34"/>
      <c r="M99" s="34"/>
      <c r="N99" s="34"/>
      <c r="O99" s="1"/>
      <c r="P99" s="1"/>
      <c r="Q99" s="1"/>
      <c r="R99" s="1"/>
      <c r="S99" s="1"/>
      <c r="T99" s="1"/>
      <c r="U99" s="1"/>
      <c r="V99" s="1"/>
      <c r="W99" s="1"/>
      <c r="X99" s="1"/>
      <c r="Y99" s="1"/>
      <c r="Z99" s="1"/>
    </row>
    <row r="100" spans="1:26" ht="12" customHeight="1" x14ac:dyDescent="0.35">
      <c r="A100" s="30"/>
      <c r="B100" s="3" t="s">
        <v>44</v>
      </c>
      <c r="C100" s="74"/>
      <c r="D100" s="74"/>
      <c r="E100" s="34"/>
      <c r="F100" s="34"/>
      <c r="G100" s="34"/>
      <c r="H100" s="34"/>
      <c r="I100" s="34"/>
      <c r="J100" s="34"/>
      <c r="K100" s="34"/>
      <c r="L100" s="34"/>
      <c r="M100" s="34"/>
      <c r="N100" s="34"/>
      <c r="O100" s="1"/>
      <c r="P100" s="1"/>
      <c r="Q100" s="1"/>
      <c r="R100" s="1"/>
      <c r="S100" s="1"/>
      <c r="T100" s="1"/>
      <c r="U100" s="1"/>
      <c r="V100" s="1"/>
      <c r="W100" s="1"/>
      <c r="X100" s="1"/>
      <c r="Y100" s="1"/>
      <c r="Z100" s="1"/>
    </row>
    <row r="101" spans="1:26" ht="12" customHeight="1" x14ac:dyDescent="0.35">
      <c r="A101" s="30"/>
      <c r="B101" s="2"/>
      <c r="C101" s="2"/>
      <c r="D101" s="2"/>
      <c r="E101" s="34"/>
      <c r="F101" s="34"/>
      <c r="G101" s="34"/>
      <c r="H101" s="34"/>
      <c r="I101" s="34"/>
      <c r="J101" s="34"/>
      <c r="K101" s="34"/>
      <c r="L101" s="34"/>
      <c r="M101" s="34"/>
      <c r="N101" s="34"/>
      <c r="O101" s="1"/>
      <c r="P101" s="1"/>
      <c r="Q101" s="1"/>
      <c r="R101" s="1"/>
      <c r="S101" s="1"/>
      <c r="T101" s="1"/>
      <c r="U101" s="1"/>
      <c r="V101" s="1"/>
      <c r="W101" s="1"/>
      <c r="X101" s="1"/>
      <c r="Y101" s="1"/>
      <c r="Z101" s="1"/>
    </row>
    <row r="102" spans="1:26" s="89" customFormat="1" ht="25" x14ac:dyDescent="0.35">
      <c r="A102" s="86"/>
      <c r="B102" s="37" t="s">
        <v>30</v>
      </c>
      <c r="C102" s="37" t="s">
        <v>31</v>
      </c>
      <c r="D102" s="37" t="s">
        <v>41</v>
      </c>
      <c r="E102" s="87"/>
      <c r="F102" s="87"/>
      <c r="G102" s="87"/>
      <c r="H102" s="87"/>
      <c r="I102" s="87"/>
      <c r="J102" s="87"/>
      <c r="K102" s="87"/>
      <c r="L102" s="87"/>
      <c r="M102" s="87"/>
      <c r="N102" s="87"/>
      <c r="O102" s="88"/>
      <c r="P102" s="88"/>
      <c r="Q102" s="88"/>
      <c r="R102" s="88"/>
      <c r="S102" s="88"/>
      <c r="T102" s="88"/>
      <c r="U102" s="88"/>
      <c r="V102" s="88"/>
      <c r="W102" s="88"/>
      <c r="X102" s="88"/>
      <c r="Y102" s="88"/>
      <c r="Z102" s="88"/>
    </row>
    <row r="103" spans="1:26" ht="12" customHeight="1" x14ac:dyDescent="0.35">
      <c r="A103" s="30"/>
      <c r="B103" s="69">
        <v>0</v>
      </c>
      <c r="C103" s="69">
        <v>0</v>
      </c>
      <c r="D103" s="69">
        <v>0</v>
      </c>
      <c r="E103" s="34"/>
      <c r="F103" s="34"/>
      <c r="G103" s="34"/>
      <c r="H103" s="34"/>
      <c r="I103" s="34"/>
      <c r="J103" s="34"/>
      <c r="K103" s="34"/>
      <c r="L103" s="34"/>
      <c r="M103" s="34"/>
      <c r="N103" s="34"/>
      <c r="O103" s="1"/>
      <c r="P103" s="1"/>
      <c r="Q103" s="1"/>
      <c r="R103" s="1"/>
      <c r="S103" s="1"/>
      <c r="T103" s="1"/>
      <c r="U103" s="1"/>
      <c r="V103" s="1"/>
      <c r="W103" s="1"/>
      <c r="X103" s="1"/>
      <c r="Y103" s="1"/>
      <c r="Z103" s="1"/>
    </row>
    <row r="104" spans="1:26" ht="7" customHeight="1" x14ac:dyDescent="0.35">
      <c r="A104" s="30"/>
      <c r="B104" s="70"/>
      <c r="C104" s="70"/>
      <c r="D104" s="70"/>
      <c r="E104" s="34"/>
      <c r="F104" s="34"/>
      <c r="G104" s="34"/>
      <c r="H104" s="34"/>
      <c r="I104" s="34"/>
      <c r="J104" s="34"/>
      <c r="K104" s="34"/>
      <c r="L104" s="34"/>
      <c r="M104" s="34"/>
      <c r="N104" s="34"/>
      <c r="O104" s="1"/>
      <c r="P104" s="1"/>
      <c r="Q104" s="1"/>
      <c r="R104" s="1"/>
      <c r="S104" s="1"/>
      <c r="T104" s="1"/>
      <c r="U104" s="1"/>
      <c r="V104" s="1"/>
      <c r="W104" s="1"/>
      <c r="X104" s="1"/>
      <c r="Y104" s="1"/>
      <c r="Z104" s="1"/>
    </row>
    <row r="105" spans="1:26" ht="12" customHeight="1" x14ac:dyDescent="0.35">
      <c r="A105" s="30"/>
      <c r="B105" s="70"/>
      <c r="C105" s="70"/>
      <c r="D105" s="71">
        <f>SUM(D103)</f>
        <v>0</v>
      </c>
      <c r="E105" s="100" t="s">
        <v>74</v>
      </c>
      <c r="F105" s="34"/>
      <c r="G105" s="34"/>
      <c r="H105" s="34"/>
      <c r="I105" s="34"/>
      <c r="J105" s="34"/>
      <c r="K105" s="34"/>
      <c r="L105" s="34"/>
      <c r="M105" s="34"/>
      <c r="N105" s="34"/>
      <c r="O105" s="1"/>
      <c r="P105" s="1"/>
      <c r="Q105" s="1"/>
      <c r="R105" s="1"/>
      <c r="S105" s="1"/>
      <c r="T105" s="1"/>
      <c r="U105" s="1"/>
      <c r="V105" s="1"/>
      <c r="W105" s="1"/>
      <c r="X105" s="1"/>
      <c r="Y105" s="1"/>
      <c r="Z105" s="1"/>
    </row>
    <row r="106" spans="1:26" ht="12" customHeight="1" thickTop="1" x14ac:dyDescent="0.35">
      <c r="A106" s="30"/>
      <c r="B106" s="70"/>
      <c r="C106" s="70"/>
      <c r="D106" s="70"/>
      <c r="E106" s="34"/>
      <c r="F106" s="34"/>
      <c r="G106" s="34"/>
      <c r="H106" s="34"/>
      <c r="I106" s="34"/>
      <c r="J106" s="34"/>
      <c r="K106" s="34"/>
      <c r="L106" s="34"/>
      <c r="M106" s="34"/>
      <c r="N106" s="34"/>
      <c r="O106" s="1"/>
      <c r="P106" s="1"/>
      <c r="Q106" s="1"/>
      <c r="R106" s="1"/>
      <c r="S106" s="1"/>
      <c r="T106" s="1"/>
      <c r="U106" s="1"/>
      <c r="V106" s="1"/>
      <c r="W106" s="1"/>
      <c r="X106" s="1"/>
      <c r="Y106" s="1"/>
      <c r="Z106" s="1"/>
    </row>
    <row r="107" spans="1:26" ht="12" customHeight="1" x14ac:dyDescent="0.35">
      <c r="A107" s="30"/>
      <c r="B107" s="70"/>
      <c r="C107" s="72" t="s">
        <v>42</v>
      </c>
      <c r="D107" s="49">
        <f>+E69</f>
        <v>0</v>
      </c>
      <c r="E107" s="99" t="s">
        <v>72</v>
      </c>
      <c r="F107" s="34"/>
      <c r="G107" s="34"/>
      <c r="H107" s="34"/>
      <c r="I107" s="34"/>
      <c r="J107" s="34"/>
      <c r="K107" s="34"/>
      <c r="L107" s="34"/>
      <c r="M107" s="34"/>
      <c r="N107" s="34"/>
      <c r="O107" s="1"/>
      <c r="P107" s="1"/>
      <c r="Q107" s="1"/>
      <c r="R107" s="1"/>
      <c r="S107" s="1"/>
      <c r="T107" s="1"/>
      <c r="U107" s="1"/>
      <c r="V107" s="1"/>
      <c r="W107" s="1"/>
      <c r="X107" s="1"/>
      <c r="Y107" s="1"/>
      <c r="Z107" s="1"/>
    </row>
    <row r="108" spans="1:26" ht="12" customHeight="1" thickBot="1" x14ac:dyDescent="0.4">
      <c r="A108" s="30"/>
      <c r="B108" s="70"/>
      <c r="C108" s="95" t="s">
        <v>43</v>
      </c>
      <c r="D108" s="96">
        <f>+D105-D107</f>
        <v>0</v>
      </c>
      <c r="E108" s="34"/>
      <c r="F108" s="34"/>
      <c r="G108" s="34"/>
      <c r="H108" s="34"/>
      <c r="I108" s="34"/>
      <c r="J108" s="34"/>
      <c r="K108" s="34"/>
      <c r="L108" s="34"/>
      <c r="M108" s="34"/>
      <c r="N108" s="34"/>
      <c r="O108" s="1"/>
      <c r="P108" s="1"/>
      <c r="Q108" s="1"/>
      <c r="R108" s="1"/>
      <c r="S108" s="1"/>
      <c r="T108" s="1"/>
      <c r="U108" s="1"/>
      <c r="V108" s="1"/>
      <c r="W108" s="1"/>
      <c r="X108" s="1"/>
      <c r="Y108" s="1"/>
      <c r="Z108" s="1"/>
    </row>
    <row r="109" spans="1:26" ht="12" customHeight="1" x14ac:dyDescent="0.35">
      <c r="A109" s="70"/>
      <c r="B109" s="70"/>
      <c r="C109" s="70"/>
      <c r="D109" s="70"/>
      <c r="E109" s="70"/>
      <c r="F109" s="70"/>
      <c r="G109" s="70"/>
      <c r="H109" s="70"/>
      <c r="I109" s="1"/>
      <c r="J109" s="70"/>
      <c r="K109" s="70"/>
      <c r="L109" s="70"/>
      <c r="M109" s="1"/>
      <c r="N109" s="34"/>
      <c r="O109" s="1"/>
      <c r="P109" s="1"/>
      <c r="Q109" s="1"/>
      <c r="R109" s="1"/>
      <c r="S109" s="1"/>
      <c r="T109" s="1"/>
      <c r="U109" s="1"/>
      <c r="V109" s="1"/>
      <c r="W109" s="1"/>
      <c r="X109" s="1"/>
      <c r="Y109" s="1"/>
      <c r="Z109" s="1"/>
    </row>
    <row r="110" spans="1:26" ht="12" customHeight="1" x14ac:dyDescent="0.35">
      <c r="A110" s="70"/>
      <c r="B110" s="70"/>
      <c r="C110" s="70"/>
      <c r="D110" s="70"/>
      <c r="E110" s="70"/>
      <c r="F110" s="70"/>
      <c r="G110" s="70"/>
      <c r="H110" s="70"/>
      <c r="I110" s="1"/>
      <c r="J110" s="70"/>
      <c r="K110" s="70"/>
      <c r="L110" s="70"/>
      <c r="M110" s="1"/>
      <c r="N110" s="34"/>
      <c r="O110" s="1"/>
      <c r="P110" s="1"/>
      <c r="Q110" s="1"/>
      <c r="R110" s="1"/>
      <c r="S110" s="1"/>
      <c r="T110" s="1"/>
      <c r="U110" s="1"/>
      <c r="V110" s="1"/>
      <c r="W110" s="1"/>
      <c r="X110" s="1"/>
      <c r="Y110" s="1"/>
      <c r="Z110" s="1"/>
    </row>
    <row r="111" spans="1:26" ht="12" customHeight="1" x14ac:dyDescent="0.35">
      <c r="A111" s="30"/>
      <c r="B111" s="1"/>
      <c r="C111" s="30"/>
      <c r="D111" s="34"/>
      <c r="E111" s="34"/>
      <c r="F111" s="34"/>
      <c r="G111" s="34"/>
      <c r="H111" s="34"/>
      <c r="I111" s="34"/>
      <c r="J111" s="34"/>
      <c r="K111" s="34"/>
      <c r="L111" s="34"/>
      <c r="M111" s="34"/>
      <c r="N111" s="34"/>
      <c r="O111" s="1"/>
      <c r="P111" s="1"/>
      <c r="Q111" s="1"/>
      <c r="R111" s="1"/>
      <c r="S111" s="1"/>
      <c r="T111" s="1"/>
      <c r="U111" s="1"/>
      <c r="V111" s="1"/>
      <c r="W111" s="1"/>
      <c r="X111" s="1"/>
      <c r="Y111" s="1"/>
      <c r="Z111" s="1"/>
    </row>
    <row r="112" spans="1:26" ht="12" customHeight="1" x14ac:dyDescent="0.35">
      <c r="A112" s="30"/>
      <c r="B112" s="16" t="s">
        <v>45</v>
      </c>
      <c r="C112" s="30"/>
      <c r="D112" s="34"/>
      <c r="E112" s="34"/>
      <c r="F112" s="34"/>
      <c r="G112" s="34"/>
      <c r="H112" s="34"/>
      <c r="I112" s="34"/>
      <c r="J112" s="34"/>
      <c r="K112" s="34"/>
      <c r="L112" s="34"/>
      <c r="M112" s="34"/>
      <c r="N112" s="34"/>
      <c r="O112" s="1"/>
      <c r="P112" s="1"/>
      <c r="Q112" s="1"/>
      <c r="R112" s="1"/>
      <c r="S112" s="1"/>
      <c r="T112" s="1"/>
      <c r="U112" s="1"/>
      <c r="V112" s="1"/>
      <c r="W112" s="1"/>
      <c r="X112" s="1"/>
      <c r="Y112" s="1"/>
      <c r="Z112" s="1"/>
    </row>
    <row r="113" spans="1:26" ht="7" customHeight="1" x14ac:dyDescent="0.35">
      <c r="A113" s="30"/>
      <c r="B113" s="16"/>
      <c r="C113" s="30"/>
      <c r="D113" s="34"/>
      <c r="E113" s="34"/>
      <c r="F113" s="34"/>
      <c r="G113" s="34"/>
      <c r="H113" s="34"/>
      <c r="I113" s="34"/>
      <c r="J113" s="34"/>
      <c r="K113" s="34"/>
      <c r="L113" s="34"/>
      <c r="M113" s="34"/>
      <c r="N113" s="34"/>
      <c r="O113" s="1"/>
      <c r="P113" s="1"/>
      <c r="Q113" s="1"/>
      <c r="R113" s="1"/>
      <c r="S113" s="1"/>
      <c r="T113" s="1"/>
      <c r="U113" s="1"/>
      <c r="V113" s="1"/>
      <c r="W113" s="1"/>
      <c r="X113" s="1"/>
      <c r="Y113" s="1"/>
      <c r="Z113" s="1"/>
    </row>
    <row r="114" spans="1:26" ht="14.5" x14ac:dyDescent="0.35">
      <c r="A114" s="30"/>
      <c r="B114" s="70" t="s">
        <v>46</v>
      </c>
      <c r="C114" s="30"/>
      <c r="D114" s="34"/>
      <c r="E114" s="34"/>
      <c r="F114" s="34"/>
      <c r="G114" s="34"/>
      <c r="H114" s="34"/>
      <c r="I114" s="34"/>
      <c r="J114" s="34"/>
      <c r="K114" s="34"/>
      <c r="L114" s="34"/>
      <c r="M114" s="34"/>
      <c r="N114" s="34"/>
      <c r="O114" s="1"/>
      <c r="P114" s="1"/>
      <c r="Q114" s="1"/>
      <c r="R114" s="1"/>
      <c r="S114" s="1"/>
      <c r="T114" s="1"/>
      <c r="U114" s="1"/>
      <c r="V114" s="1"/>
      <c r="W114" s="1"/>
      <c r="X114" s="1"/>
      <c r="Y114" s="1"/>
      <c r="Z114" s="1"/>
    </row>
    <row r="115" spans="1:26" ht="14.5" x14ac:dyDescent="0.35">
      <c r="A115" s="30"/>
      <c r="B115" s="70" t="s">
        <v>47</v>
      </c>
      <c r="C115" s="30"/>
      <c r="D115" s="34"/>
      <c r="E115" s="34"/>
      <c r="F115" s="34"/>
      <c r="G115" s="34"/>
      <c r="H115" s="34"/>
      <c r="I115" s="34"/>
      <c r="J115" s="34"/>
      <c r="K115" s="34"/>
      <c r="L115" s="34"/>
      <c r="M115" s="34"/>
      <c r="N115" s="34"/>
      <c r="O115" s="1"/>
      <c r="P115" s="1"/>
      <c r="Q115" s="1"/>
      <c r="R115" s="1"/>
      <c r="S115" s="1"/>
      <c r="T115" s="1"/>
      <c r="U115" s="1"/>
      <c r="V115" s="1"/>
      <c r="W115" s="1"/>
      <c r="X115" s="1"/>
      <c r="Y115" s="1"/>
      <c r="Z115" s="1"/>
    </row>
    <row r="116" spans="1:26" ht="14.5" x14ac:dyDescent="0.35">
      <c r="A116" s="30"/>
      <c r="B116" s="70" t="s">
        <v>48</v>
      </c>
      <c r="C116" s="30"/>
      <c r="D116" s="34"/>
      <c r="E116" s="34"/>
      <c r="F116" s="34"/>
      <c r="G116" s="34"/>
      <c r="H116" s="34"/>
      <c r="I116" s="34"/>
      <c r="J116" s="34"/>
      <c r="K116" s="34"/>
      <c r="L116" s="34"/>
      <c r="M116" s="34"/>
      <c r="N116" s="34"/>
      <c r="O116" s="1"/>
      <c r="P116" s="1"/>
      <c r="Q116" s="1"/>
      <c r="R116" s="1"/>
      <c r="S116" s="1"/>
      <c r="T116" s="1"/>
      <c r="U116" s="1"/>
      <c r="V116" s="1"/>
      <c r="W116" s="1"/>
      <c r="X116" s="1"/>
      <c r="Y116" s="1"/>
      <c r="Z116" s="1"/>
    </row>
    <row r="117" spans="1:26" ht="14.5" x14ac:dyDescent="0.35">
      <c r="A117" s="30"/>
      <c r="B117" s="70" t="s">
        <v>49</v>
      </c>
      <c r="C117" s="30"/>
      <c r="D117" s="34"/>
      <c r="E117" s="34"/>
      <c r="F117" s="34"/>
      <c r="G117" s="34"/>
      <c r="H117" s="34"/>
      <c r="I117" s="34"/>
      <c r="J117" s="34"/>
      <c r="K117" s="34"/>
      <c r="L117" s="34"/>
      <c r="M117" s="34"/>
      <c r="N117" s="34"/>
      <c r="O117" s="1"/>
      <c r="P117" s="1"/>
      <c r="Q117" s="1"/>
      <c r="R117" s="1"/>
      <c r="S117" s="1"/>
      <c r="T117" s="1"/>
      <c r="U117" s="1"/>
      <c r="V117" s="1"/>
      <c r="W117" s="1"/>
      <c r="X117" s="1"/>
      <c r="Y117" s="1"/>
      <c r="Z117" s="1"/>
    </row>
    <row r="118" spans="1:26" ht="14.5" x14ac:dyDescent="0.35">
      <c r="A118" s="30"/>
      <c r="B118" s="97" t="s">
        <v>71</v>
      </c>
      <c r="C118" s="30"/>
      <c r="D118" s="34"/>
      <c r="E118" s="34"/>
      <c r="F118" s="34"/>
      <c r="G118" s="34"/>
      <c r="H118" s="34"/>
      <c r="I118" s="34"/>
      <c r="J118" s="34"/>
      <c r="K118" s="34"/>
      <c r="L118" s="34"/>
      <c r="M118" s="34"/>
      <c r="N118" s="34"/>
      <c r="O118" s="1"/>
      <c r="P118" s="1"/>
      <c r="Q118" s="1"/>
      <c r="R118" s="1"/>
      <c r="S118" s="1"/>
      <c r="T118" s="1"/>
      <c r="U118" s="1"/>
      <c r="V118" s="1"/>
      <c r="W118" s="1"/>
      <c r="X118" s="1"/>
      <c r="Y118" s="1"/>
      <c r="Z118" s="1"/>
    </row>
    <row r="119" spans="1:26" ht="14.5" x14ac:dyDescent="0.35">
      <c r="A119" s="30"/>
      <c r="B119" s="1"/>
      <c r="C119" s="30"/>
      <c r="D119" s="34"/>
      <c r="E119" s="34"/>
      <c r="F119" s="34"/>
      <c r="G119" s="34"/>
      <c r="H119" s="34"/>
      <c r="I119" s="34"/>
      <c r="J119" s="34"/>
      <c r="K119" s="34"/>
      <c r="L119" s="34"/>
      <c r="M119" s="34"/>
      <c r="N119" s="34"/>
      <c r="O119" s="1"/>
      <c r="P119" s="1"/>
      <c r="Q119" s="1"/>
      <c r="R119" s="1"/>
      <c r="S119" s="1"/>
      <c r="T119" s="1"/>
      <c r="U119" s="1"/>
      <c r="V119" s="1"/>
      <c r="W119" s="1"/>
      <c r="X119" s="1"/>
      <c r="Y119" s="1"/>
      <c r="Z119" s="1"/>
    </row>
    <row r="120" spans="1:26" ht="14.5" x14ac:dyDescent="0.35">
      <c r="A120" s="76"/>
      <c r="B120" s="94" t="s">
        <v>69</v>
      </c>
      <c r="C120" s="30"/>
      <c r="D120" s="34"/>
      <c r="E120" s="34"/>
      <c r="F120" s="34"/>
      <c r="G120" s="34"/>
      <c r="H120" s="34"/>
      <c r="I120" s="34"/>
      <c r="J120" s="34"/>
      <c r="K120" s="34"/>
      <c r="L120" s="34"/>
      <c r="M120" s="34"/>
      <c r="N120" s="34"/>
      <c r="O120" s="1"/>
      <c r="P120" s="1"/>
      <c r="Q120" s="1"/>
      <c r="R120" s="1"/>
      <c r="S120" s="1"/>
      <c r="T120" s="1"/>
      <c r="U120" s="1"/>
      <c r="V120" s="1"/>
      <c r="W120" s="1"/>
      <c r="X120" s="1"/>
      <c r="Y120" s="1"/>
      <c r="Z120" s="1"/>
    </row>
    <row r="121" spans="1:26" ht="7" customHeight="1" x14ac:dyDescent="0.35">
      <c r="A121" s="76"/>
      <c r="B121" s="77"/>
      <c r="C121" s="30"/>
      <c r="D121" s="34"/>
      <c r="E121" s="34"/>
      <c r="F121" s="34"/>
      <c r="G121" s="34"/>
      <c r="H121" s="34"/>
      <c r="I121" s="34"/>
      <c r="J121" s="34"/>
      <c r="K121" s="34"/>
      <c r="L121" s="34"/>
      <c r="M121" s="34"/>
      <c r="N121" s="1"/>
      <c r="O121" s="1"/>
      <c r="P121" s="1"/>
      <c r="Q121" s="1"/>
      <c r="R121" s="1"/>
      <c r="S121" s="1"/>
      <c r="T121" s="1"/>
      <c r="U121" s="1"/>
      <c r="V121" s="1"/>
      <c r="W121" s="1"/>
      <c r="X121" s="1"/>
      <c r="Y121" s="1"/>
      <c r="Z121" s="1"/>
    </row>
    <row r="122" spans="1:26" ht="12" customHeight="1" x14ac:dyDescent="0.35">
      <c r="A122" s="78" t="s">
        <v>50</v>
      </c>
      <c r="B122" s="77"/>
      <c r="C122" s="17"/>
      <c r="D122" s="17"/>
      <c r="E122" s="79"/>
      <c r="F122" s="79"/>
      <c r="G122" s="79"/>
      <c r="H122" s="79"/>
      <c r="I122" s="79"/>
      <c r="J122" s="79"/>
      <c r="K122" s="79"/>
      <c r="L122" s="79"/>
      <c r="M122" s="79"/>
      <c r="N122" s="1"/>
      <c r="O122" s="1"/>
      <c r="P122" s="1"/>
      <c r="Q122" s="1"/>
      <c r="R122" s="1"/>
      <c r="S122" s="1"/>
      <c r="T122" s="1"/>
      <c r="U122" s="1"/>
      <c r="V122" s="1"/>
      <c r="W122" s="1"/>
      <c r="X122" s="1"/>
      <c r="Y122" s="1"/>
      <c r="Z122" s="1"/>
    </row>
    <row r="123" spans="1:26" ht="12" customHeight="1" x14ac:dyDescent="0.35">
      <c r="A123" s="78" t="s">
        <v>51</v>
      </c>
      <c r="B123" s="77"/>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2" customHeight="1" x14ac:dyDescent="0.35">
      <c r="A124" s="78" t="s">
        <v>52</v>
      </c>
      <c r="B124" s="77"/>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2" customHeight="1" x14ac:dyDescent="0.35">
      <c r="A125" s="78"/>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2" customHeight="1" x14ac:dyDescent="0.35">
      <c r="A126" s="26" t="s">
        <v>53</v>
      </c>
      <c r="B126" s="77" t="s">
        <v>54</v>
      </c>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7" customHeight="1" x14ac:dyDescent="0.35">
      <c r="A127" s="26"/>
      <c r="B127" s="77"/>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2" customHeight="1" x14ac:dyDescent="0.35">
      <c r="A128" s="78" t="s">
        <v>55</v>
      </c>
      <c r="B128" s="77"/>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2" customHeight="1" x14ac:dyDescent="0.35">
      <c r="A129" s="78" t="s">
        <v>56</v>
      </c>
      <c r="B129" s="77"/>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2" customHeight="1" x14ac:dyDescent="0.35">
      <c r="A130" s="78" t="s">
        <v>57</v>
      </c>
      <c r="B130" s="77"/>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2" customHeight="1" x14ac:dyDescent="0.35">
      <c r="A131" s="78"/>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2" customHeight="1" x14ac:dyDescent="0.35">
      <c r="A132" s="1"/>
      <c r="B132" s="77" t="s">
        <v>58</v>
      </c>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7" customHeight="1" x14ac:dyDescent="0.35">
      <c r="A133" s="1"/>
      <c r="B133" s="77"/>
      <c r="C133" s="1"/>
      <c r="D133" s="1"/>
      <c r="E133" s="1"/>
      <c r="F133" s="1"/>
      <c r="G133" s="1"/>
      <c r="H133" s="1"/>
      <c r="I133" s="1"/>
      <c r="J133" s="1"/>
      <c r="K133" s="1"/>
      <c r="L133" s="1"/>
      <c r="M133" s="1"/>
      <c r="N133" s="1"/>
      <c r="O133" s="54"/>
      <c r="P133" s="54"/>
      <c r="Q133" s="54"/>
      <c r="R133" s="54"/>
      <c r="S133" s="54"/>
      <c r="T133" s="54"/>
      <c r="U133" s="54"/>
      <c r="V133" s="54"/>
      <c r="W133" s="54"/>
      <c r="X133" s="54"/>
      <c r="Y133" s="54"/>
      <c r="Z133" s="54"/>
    </row>
    <row r="134" spans="1:26" ht="12" customHeight="1" x14ac:dyDescent="0.35">
      <c r="A134" s="78" t="s">
        <v>59</v>
      </c>
      <c r="B134" s="1"/>
      <c r="C134" s="1"/>
      <c r="D134" s="1"/>
      <c r="E134" s="1"/>
      <c r="F134" s="1"/>
      <c r="G134" s="1"/>
      <c r="H134" s="1"/>
      <c r="I134" s="1"/>
      <c r="J134" s="1"/>
      <c r="K134" s="1"/>
      <c r="L134" s="1"/>
      <c r="M134" s="1"/>
      <c r="N134" s="30"/>
      <c r="O134" s="1"/>
      <c r="P134" s="1"/>
      <c r="Q134" s="1"/>
      <c r="R134" s="1"/>
      <c r="S134" s="1"/>
      <c r="T134" s="1"/>
      <c r="U134" s="1"/>
      <c r="V134" s="1"/>
      <c r="W134" s="1"/>
      <c r="X134" s="1"/>
      <c r="Y134" s="1"/>
      <c r="Z134" s="1"/>
    </row>
    <row r="135" spans="1:26" ht="12" customHeight="1" x14ac:dyDescent="0.35">
      <c r="A135" s="78" t="s">
        <v>60</v>
      </c>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2" customHeight="1" x14ac:dyDescent="0.35">
      <c r="A136" s="78" t="s">
        <v>61</v>
      </c>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2" customHeight="1" x14ac:dyDescent="0.3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2" customHeight="1" x14ac:dyDescent="0.35">
      <c r="A138" s="1"/>
      <c r="B138" s="77" t="s">
        <v>62</v>
      </c>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7" customHeight="1" x14ac:dyDescent="0.35">
      <c r="A139" s="1"/>
      <c r="B139" s="77"/>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4.5" x14ac:dyDescent="0.35">
      <c r="A140" s="1"/>
      <c r="B140" s="54" t="s">
        <v>65</v>
      </c>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4.5" x14ac:dyDescent="0.35">
      <c r="A141" s="30"/>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2" customHeight="1" x14ac:dyDescent="0.35">
      <c r="A142" s="30"/>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2" customHeight="1" x14ac:dyDescent="0.35">
      <c r="A143" s="30"/>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2" customHeight="1" x14ac:dyDescent="0.35">
      <c r="A144" s="30"/>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2" customHeight="1" x14ac:dyDescent="0.35">
      <c r="A145" s="30"/>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2" customHeight="1" x14ac:dyDescent="0.35">
      <c r="A146" s="30"/>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2" customHeight="1" x14ac:dyDescent="0.35">
      <c r="A147" s="30"/>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2" customHeight="1" x14ac:dyDescent="0.35">
      <c r="A148" s="30"/>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2" customHeight="1" x14ac:dyDescent="0.35">
      <c r="A149" s="30"/>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2" customHeight="1" x14ac:dyDescent="0.35">
      <c r="A150" s="30"/>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2" customHeight="1" x14ac:dyDescent="0.35">
      <c r="A151" s="30"/>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2" customHeight="1" x14ac:dyDescent="0.35">
      <c r="A152" s="30"/>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2" customHeight="1" x14ac:dyDescent="0.3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2" customHeight="1" x14ac:dyDescent="0.3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2" customHeight="1" x14ac:dyDescent="0.3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2" customHeight="1" x14ac:dyDescent="0.3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2" customHeight="1" x14ac:dyDescent="0.3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2" customHeight="1" x14ac:dyDescent="0.3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2" customHeight="1" x14ac:dyDescent="0.35">
      <c r="A159" s="75"/>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2" customHeight="1" x14ac:dyDescent="0.3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2" customHeight="1" x14ac:dyDescent="0.3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2" customHeight="1" x14ac:dyDescent="0.35">
      <c r="A162" s="70"/>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2" customHeight="1" x14ac:dyDescent="0.35">
      <c r="A163" s="75"/>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2" customHeight="1" x14ac:dyDescent="0.35">
      <c r="A164" s="80"/>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2" customHeight="1" x14ac:dyDescent="0.3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2" customHeight="1" x14ac:dyDescent="0.3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2" customHeight="1" x14ac:dyDescent="0.3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2" customHeight="1" x14ac:dyDescent="0.3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2" customHeight="1" x14ac:dyDescent="0.3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2" customHeight="1" x14ac:dyDescent="0.3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2" customHeight="1" x14ac:dyDescent="0.3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2" customHeight="1" x14ac:dyDescent="0.3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2" customHeight="1" x14ac:dyDescent="0.3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2" customHeight="1" x14ac:dyDescent="0.3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2" customHeight="1" x14ac:dyDescent="0.3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2" customHeight="1" x14ac:dyDescent="0.3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2" customHeight="1" x14ac:dyDescent="0.3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2" customHeight="1" x14ac:dyDescent="0.3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2" customHeight="1" x14ac:dyDescent="0.3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2" customHeight="1" x14ac:dyDescent="0.3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2" customHeight="1" x14ac:dyDescent="0.3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2" customHeight="1" x14ac:dyDescent="0.3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2" customHeight="1" x14ac:dyDescent="0.3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2" customHeight="1" x14ac:dyDescent="0.3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2" customHeight="1" x14ac:dyDescent="0.3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2" customHeight="1" x14ac:dyDescent="0.3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2" customHeight="1" x14ac:dyDescent="0.3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2" customHeight="1" x14ac:dyDescent="0.3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2" customHeight="1" x14ac:dyDescent="0.3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2" customHeight="1" x14ac:dyDescent="0.3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2" customHeight="1" x14ac:dyDescent="0.3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2" customHeight="1" x14ac:dyDescent="0.3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2" customHeight="1" x14ac:dyDescent="0.3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2" customHeight="1" x14ac:dyDescent="0.3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2" customHeight="1" x14ac:dyDescent="0.3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2" customHeight="1" x14ac:dyDescent="0.3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2" customHeight="1" x14ac:dyDescent="0.3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2" customHeight="1" x14ac:dyDescent="0.3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2" customHeight="1" x14ac:dyDescent="0.3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2" customHeight="1" x14ac:dyDescent="0.3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2" customHeight="1" x14ac:dyDescent="0.3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2" customHeight="1" x14ac:dyDescent="0.3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2" customHeight="1" x14ac:dyDescent="0.3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2" customHeight="1" x14ac:dyDescent="0.3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2" customHeight="1" x14ac:dyDescent="0.3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2" customHeight="1" x14ac:dyDescent="0.3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2" customHeight="1" x14ac:dyDescent="0.3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2" customHeight="1" x14ac:dyDescent="0.3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2" customHeight="1" x14ac:dyDescent="0.3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2" customHeight="1" x14ac:dyDescent="0.3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2" customHeight="1" x14ac:dyDescent="0.3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2" customHeight="1" x14ac:dyDescent="0.3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2" customHeight="1" x14ac:dyDescent="0.3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2" customHeight="1" x14ac:dyDescent="0.3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2" customHeight="1" x14ac:dyDescent="0.3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2" customHeight="1" x14ac:dyDescent="0.3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2" customHeight="1" x14ac:dyDescent="0.3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2" customHeight="1" x14ac:dyDescent="0.3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2" customHeight="1" x14ac:dyDescent="0.3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2" customHeight="1" x14ac:dyDescent="0.3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2" customHeight="1" x14ac:dyDescent="0.3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2" customHeight="1" x14ac:dyDescent="0.3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2" customHeight="1" x14ac:dyDescent="0.3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2" customHeight="1" x14ac:dyDescent="0.3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2" customHeight="1" x14ac:dyDescent="0.3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2" customHeight="1" x14ac:dyDescent="0.3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2" customHeight="1" x14ac:dyDescent="0.3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2" customHeight="1" x14ac:dyDescent="0.3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2" customHeight="1" x14ac:dyDescent="0.3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2" customHeight="1" x14ac:dyDescent="0.3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2" customHeight="1" x14ac:dyDescent="0.3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2" customHeight="1" x14ac:dyDescent="0.3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2" customHeight="1" x14ac:dyDescent="0.3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2" customHeight="1" x14ac:dyDescent="0.3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2" customHeight="1" x14ac:dyDescent="0.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2" customHeight="1" x14ac:dyDescent="0.3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2" customHeight="1" x14ac:dyDescent="0.3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2" customHeight="1" x14ac:dyDescent="0.3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2" customHeight="1" x14ac:dyDescent="0.3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2" customHeight="1" x14ac:dyDescent="0.3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2" customHeight="1" x14ac:dyDescent="0.3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2" customHeight="1" x14ac:dyDescent="0.3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2" customHeight="1" x14ac:dyDescent="0.3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2" customHeight="1" x14ac:dyDescent="0.3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2" customHeight="1" x14ac:dyDescent="0.3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2" customHeight="1" x14ac:dyDescent="0.3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2" customHeight="1" x14ac:dyDescent="0.3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2" customHeight="1" x14ac:dyDescent="0.3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2" customHeight="1" x14ac:dyDescent="0.3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2" customHeight="1" x14ac:dyDescent="0.3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2" customHeight="1" x14ac:dyDescent="0.3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2" customHeight="1" x14ac:dyDescent="0.3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2" customHeight="1" x14ac:dyDescent="0.3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2" customHeight="1" x14ac:dyDescent="0.3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2" customHeight="1" x14ac:dyDescent="0.3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2" customHeight="1" x14ac:dyDescent="0.3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2" customHeight="1" x14ac:dyDescent="0.3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2" customHeight="1" x14ac:dyDescent="0.3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2" customHeight="1" x14ac:dyDescent="0.3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2" customHeight="1" x14ac:dyDescent="0.3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2" customHeight="1" x14ac:dyDescent="0.3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2" customHeight="1" x14ac:dyDescent="0.3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2" customHeight="1" x14ac:dyDescent="0.3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2" customHeight="1" x14ac:dyDescent="0.3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2" customHeight="1" x14ac:dyDescent="0.3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2" customHeight="1" x14ac:dyDescent="0.3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2" customHeight="1" x14ac:dyDescent="0.3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2" customHeight="1" x14ac:dyDescent="0.3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2" customHeight="1" x14ac:dyDescent="0.3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2" customHeight="1" x14ac:dyDescent="0.3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2" customHeight="1" x14ac:dyDescent="0.3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2" customHeight="1" x14ac:dyDescent="0.3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2" customHeight="1" x14ac:dyDescent="0.3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2" customHeight="1" x14ac:dyDescent="0.3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2" customHeight="1" x14ac:dyDescent="0.3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2" customHeight="1" x14ac:dyDescent="0.3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2" customHeight="1" x14ac:dyDescent="0.3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2" customHeight="1" x14ac:dyDescent="0.3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2" customHeight="1" x14ac:dyDescent="0.3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2" customHeight="1" x14ac:dyDescent="0.3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2" customHeight="1" x14ac:dyDescent="0.3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2" customHeight="1" x14ac:dyDescent="0.3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2" customHeight="1" x14ac:dyDescent="0.3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2" customHeight="1" x14ac:dyDescent="0.3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2" customHeight="1" x14ac:dyDescent="0.3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2" customHeight="1" x14ac:dyDescent="0.3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2" customHeight="1" x14ac:dyDescent="0.3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2" customHeight="1" x14ac:dyDescent="0.3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2" customHeight="1" x14ac:dyDescent="0.3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2" customHeight="1" x14ac:dyDescent="0.3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2" customHeight="1" x14ac:dyDescent="0.3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2" customHeight="1" x14ac:dyDescent="0.3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2" customHeight="1" x14ac:dyDescent="0.3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2" customHeight="1" x14ac:dyDescent="0.3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2" customHeight="1" x14ac:dyDescent="0.3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2" customHeight="1" x14ac:dyDescent="0.3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2" customHeight="1" x14ac:dyDescent="0.3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2" customHeight="1" x14ac:dyDescent="0.3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2" customHeight="1" x14ac:dyDescent="0.3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2" customHeight="1" x14ac:dyDescent="0.3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2" customHeight="1" x14ac:dyDescent="0.3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2" customHeight="1" x14ac:dyDescent="0.3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2" customHeight="1" x14ac:dyDescent="0.3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2" customHeight="1" x14ac:dyDescent="0.3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2" customHeight="1" x14ac:dyDescent="0.3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2" customHeight="1" x14ac:dyDescent="0.3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2" customHeight="1" x14ac:dyDescent="0.3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2" customHeight="1" x14ac:dyDescent="0.3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2" customHeight="1" x14ac:dyDescent="0.3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2" customHeight="1" x14ac:dyDescent="0.3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2" customHeight="1" x14ac:dyDescent="0.3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2" customHeight="1" x14ac:dyDescent="0.3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2" customHeight="1" x14ac:dyDescent="0.3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2" customHeight="1" x14ac:dyDescent="0.3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2" customHeight="1" x14ac:dyDescent="0.3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2" customHeight="1" x14ac:dyDescent="0.3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2" customHeight="1" x14ac:dyDescent="0.3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2" customHeight="1" x14ac:dyDescent="0.3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2" customHeight="1" x14ac:dyDescent="0.3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2" customHeight="1" x14ac:dyDescent="0.3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2" customHeight="1" x14ac:dyDescent="0.3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2" customHeight="1" x14ac:dyDescent="0.3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2" customHeight="1" x14ac:dyDescent="0.3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2" customHeight="1" x14ac:dyDescent="0.3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2" customHeight="1" x14ac:dyDescent="0.3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2" customHeight="1" x14ac:dyDescent="0.3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2" customHeight="1" x14ac:dyDescent="0.3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2" customHeight="1" x14ac:dyDescent="0.3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2" customHeight="1" x14ac:dyDescent="0.3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2" customHeight="1" x14ac:dyDescent="0.3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2" customHeight="1" x14ac:dyDescent="0.3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2" customHeight="1" x14ac:dyDescent="0.3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2" customHeight="1" x14ac:dyDescent="0.3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2" customHeight="1" x14ac:dyDescent="0.3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2" customHeight="1" x14ac:dyDescent="0.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2" customHeight="1" x14ac:dyDescent="0.3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2" customHeight="1" x14ac:dyDescent="0.3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2" customHeight="1" x14ac:dyDescent="0.3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2" customHeight="1" x14ac:dyDescent="0.3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2" customHeight="1" x14ac:dyDescent="0.3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2" customHeight="1" x14ac:dyDescent="0.3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2" customHeight="1" x14ac:dyDescent="0.3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2" customHeight="1" x14ac:dyDescent="0.3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2" customHeight="1" x14ac:dyDescent="0.3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2" customHeight="1" x14ac:dyDescent="0.3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2" customHeight="1" x14ac:dyDescent="0.3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2" customHeight="1" x14ac:dyDescent="0.3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2" customHeight="1" x14ac:dyDescent="0.3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2" customHeight="1" x14ac:dyDescent="0.3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2" customHeight="1" x14ac:dyDescent="0.3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2" customHeight="1" x14ac:dyDescent="0.3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2" customHeight="1" x14ac:dyDescent="0.3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2" customHeight="1" x14ac:dyDescent="0.3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2" customHeight="1" x14ac:dyDescent="0.3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2" customHeight="1" x14ac:dyDescent="0.3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2" customHeight="1" x14ac:dyDescent="0.3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2" customHeight="1" x14ac:dyDescent="0.3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2" customHeight="1" x14ac:dyDescent="0.3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2" customHeight="1" x14ac:dyDescent="0.3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2" customHeight="1" x14ac:dyDescent="0.3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2" customHeight="1" x14ac:dyDescent="0.3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2" customHeight="1" x14ac:dyDescent="0.3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2" customHeight="1" x14ac:dyDescent="0.3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2" customHeight="1" x14ac:dyDescent="0.3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2" customHeight="1" x14ac:dyDescent="0.3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2" customHeight="1" x14ac:dyDescent="0.3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2" customHeight="1" x14ac:dyDescent="0.3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2" customHeight="1" x14ac:dyDescent="0.3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2" customHeight="1" x14ac:dyDescent="0.3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2" customHeight="1" x14ac:dyDescent="0.3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2" customHeight="1" x14ac:dyDescent="0.3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2" customHeight="1" x14ac:dyDescent="0.3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2" customHeight="1" x14ac:dyDescent="0.3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2" customHeight="1" x14ac:dyDescent="0.3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2" customHeight="1" x14ac:dyDescent="0.3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2" customHeight="1" x14ac:dyDescent="0.3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2" customHeight="1" x14ac:dyDescent="0.3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2" customHeight="1" x14ac:dyDescent="0.3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2" customHeight="1" x14ac:dyDescent="0.3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2" customHeight="1" x14ac:dyDescent="0.3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2" customHeight="1" x14ac:dyDescent="0.3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2" customHeight="1" x14ac:dyDescent="0.3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2" customHeight="1" x14ac:dyDescent="0.3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2" customHeight="1" x14ac:dyDescent="0.3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2" customHeight="1" x14ac:dyDescent="0.3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2" customHeight="1" x14ac:dyDescent="0.3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2" customHeight="1" x14ac:dyDescent="0.3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2" customHeight="1" x14ac:dyDescent="0.3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2" customHeight="1" x14ac:dyDescent="0.3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2" customHeight="1" x14ac:dyDescent="0.3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2" customHeight="1" x14ac:dyDescent="0.3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2" customHeight="1" x14ac:dyDescent="0.3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2" customHeight="1" x14ac:dyDescent="0.3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2" customHeight="1" x14ac:dyDescent="0.3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2" customHeight="1" x14ac:dyDescent="0.3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2" customHeight="1" x14ac:dyDescent="0.3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2" customHeight="1" x14ac:dyDescent="0.3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2" customHeight="1" x14ac:dyDescent="0.3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2" customHeight="1" x14ac:dyDescent="0.3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2" customHeight="1" x14ac:dyDescent="0.3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2" customHeight="1" x14ac:dyDescent="0.3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2" customHeight="1" x14ac:dyDescent="0.3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2" customHeight="1" x14ac:dyDescent="0.3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2" customHeight="1" x14ac:dyDescent="0.3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2" customHeight="1" x14ac:dyDescent="0.3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2" customHeight="1" x14ac:dyDescent="0.3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2" customHeight="1" x14ac:dyDescent="0.3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2" customHeight="1" x14ac:dyDescent="0.3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2" customHeight="1" x14ac:dyDescent="0.3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2" customHeight="1" x14ac:dyDescent="0.3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2" customHeight="1" x14ac:dyDescent="0.3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2" customHeight="1" x14ac:dyDescent="0.3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2" customHeight="1" x14ac:dyDescent="0.3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2" customHeight="1" x14ac:dyDescent="0.3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2" customHeight="1" x14ac:dyDescent="0.3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2" customHeight="1" x14ac:dyDescent="0.3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2" customHeight="1" x14ac:dyDescent="0.3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2" customHeight="1" x14ac:dyDescent="0.3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2" customHeight="1" x14ac:dyDescent="0.3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2" customHeight="1" x14ac:dyDescent="0.3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2" customHeight="1" x14ac:dyDescent="0.3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2" customHeight="1" x14ac:dyDescent="0.3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2" customHeight="1" x14ac:dyDescent="0.3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2" customHeight="1" x14ac:dyDescent="0.3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2" customHeight="1" x14ac:dyDescent="0.3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2" customHeight="1" x14ac:dyDescent="0.3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2" customHeight="1" x14ac:dyDescent="0.3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2" customHeight="1" x14ac:dyDescent="0.3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2" customHeight="1" x14ac:dyDescent="0.3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2" customHeight="1" x14ac:dyDescent="0.3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2" customHeight="1" x14ac:dyDescent="0.3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2" customHeight="1" x14ac:dyDescent="0.3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2" customHeight="1" x14ac:dyDescent="0.3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2" customHeight="1" x14ac:dyDescent="0.3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2" customHeight="1" x14ac:dyDescent="0.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2" customHeight="1" x14ac:dyDescent="0.3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2" customHeight="1" x14ac:dyDescent="0.3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2" customHeight="1" x14ac:dyDescent="0.3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2" customHeight="1" x14ac:dyDescent="0.3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2" customHeight="1" x14ac:dyDescent="0.3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2" customHeight="1" x14ac:dyDescent="0.3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2" customHeight="1" x14ac:dyDescent="0.3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2" customHeight="1" x14ac:dyDescent="0.3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2" customHeight="1" x14ac:dyDescent="0.3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2" customHeight="1" x14ac:dyDescent="0.3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2" customHeight="1" x14ac:dyDescent="0.3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2" customHeight="1" x14ac:dyDescent="0.3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2" customHeight="1" x14ac:dyDescent="0.3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2" customHeight="1" x14ac:dyDescent="0.3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2" customHeight="1" x14ac:dyDescent="0.3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2" customHeight="1" x14ac:dyDescent="0.3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2" customHeight="1" x14ac:dyDescent="0.3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2" customHeight="1" x14ac:dyDescent="0.3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2" customHeight="1" x14ac:dyDescent="0.3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2" customHeight="1" x14ac:dyDescent="0.3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2" customHeight="1" x14ac:dyDescent="0.3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2" customHeight="1" x14ac:dyDescent="0.3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2" customHeight="1" x14ac:dyDescent="0.3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2" customHeight="1" x14ac:dyDescent="0.3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2" customHeight="1" x14ac:dyDescent="0.3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2" customHeight="1" x14ac:dyDescent="0.3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2" customHeight="1" x14ac:dyDescent="0.3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2" customHeight="1" x14ac:dyDescent="0.3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2" customHeight="1" x14ac:dyDescent="0.3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2" customHeight="1" x14ac:dyDescent="0.3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2" customHeight="1" x14ac:dyDescent="0.3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2" customHeight="1" x14ac:dyDescent="0.3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2" customHeight="1" x14ac:dyDescent="0.3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2" customHeight="1" x14ac:dyDescent="0.3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2" customHeight="1" x14ac:dyDescent="0.3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2" customHeight="1" x14ac:dyDescent="0.3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2" customHeight="1" x14ac:dyDescent="0.3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2" customHeight="1" x14ac:dyDescent="0.3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2" customHeight="1" x14ac:dyDescent="0.3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2" customHeight="1" x14ac:dyDescent="0.3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2" customHeight="1" x14ac:dyDescent="0.3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2" customHeight="1" x14ac:dyDescent="0.3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2" customHeight="1" x14ac:dyDescent="0.3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2" customHeight="1" x14ac:dyDescent="0.3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2" customHeight="1" x14ac:dyDescent="0.3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2" customHeight="1" x14ac:dyDescent="0.3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2" customHeight="1" x14ac:dyDescent="0.3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2" customHeight="1" x14ac:dyDescent="0.3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2" customHeight="1" x14ac:dyDescent="0.3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2" customHeight="1" x14ac:dyDescent="0.3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2" customHeight="1" x14ac:dyDescent="0.3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2" customHeight="1" x14ac:dyDescent="0.3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2" customHeight="1" x14ac:dyDescent="0.3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2" customHeight="1" x14ac:dyDescent="0.3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2" customHeight="1" x14ac:dyDescent="0.3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2" customHeight="1" x14ac:dyDescent="0.3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2" customHeight="1" x14ac:dyDescent="0.3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2" customHeight="1" x14ac:dyDescent="0.3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2" customHeight="1" x14ac:dyDescent="0.3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2" customHeight="1" x14ac:dyDescent="0.3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2" customHeight="1" x14ac:dyDescent="0.3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2" customHeight="1" x14ac:dyDescent="0.3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2" customHeight="1" x14ac:dyDescent="0.3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2" customHeight="1" x14ac:dyDescent="0.3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2" customHeight="1" x14ac:dyDescent="0.3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2" customHeight="1" x14ac:dyDescent="0.3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2" customHeight="1" x14ac:dyDescent="0.3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2" customHeight="1" x14ac:dyDescent="0.3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2" customHeight="1" x14ac:dyDescent="0.3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2" customHeight="1" x14ac:dyDescent="0.3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2" customHeight="1" x14ac:dyDescent="0.3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2" customHeight="1" x14ac:dyDescent="0.3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2" customHeight="1" x14ac:dyDescent="0.3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2" customHeight="1" x14ac:dyDescent="0.3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2" customHeight="1" x14ac:dyDescent="0.3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2" customHeight="1" x14ac:dyDescent="0.3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2" customHeight="1" x14ac:dyDescent="0.3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2" customHeight="1" x14ac:dyDescent="0.3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2" customHeight="1" x14ac:dyDescent="0.3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2" customHeight="1" x14ac:dyDescent="0.3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2" customHeight="1" x14ac:dyDescent="0.3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2" customHeight="1" x14ac:dyDescent="0.3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2" customHeight="1" x14ac:dyDescent="0.3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2" customHeight="1" x14ac:dyDescent="0.3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2" customHeight="1" x14ac:dyDescent="0.3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2" customHeight="1" x14ac:dyDescent="0.3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2" customHeight="1" x14ac:dyDescent="0.3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2" customHeight="1" x14ac:dyDescent="0.3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2" customHeight="1" x14ac:dyDescent="0.3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2" customHeight="1" x14ac:dyDescent="0.3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2" customHeight="1" x14ac:dyDescent="0.3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2" customHeight="1" x14ac:dyDescent="0.3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2" customHeight="1" x14ac:dyDescent="0.3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2" customHeight="1" x14ac:dyDescent="0.3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2" customHeight="1" x14ac:dyDescent="0.3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2" customHeight="1" x14ac:dyDescent="0.3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2" customHeight="1" x14ac:dyDescent="0.3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2" customHeight="1" x14ac:dyDescent="0.3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2" customHeight="1" x14ac:dyDescent="0.3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2" customHeight="1" x14ac:dyDescent="0.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2" customHeight="1" x14ac:dyDescent="0.3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2" customHeight="1" x14ac:dyDescent="0.3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2" customHeight="1" x14ac:dyDescent="0.3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2" customHeight="1" x14ac:dyDescent="0.3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2" customHeight="1" x14ac:dyDescent="0.3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2" customHeight="1" x14ac:dyDescent="0.3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2" customHeight="1" x14ac:dyDescent="0.3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2" customHeight="1" x14ac:dyDescent="0.3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2" customHeight="1" x14ac:dyDescent="0.3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2" customHeight="1" x14ac:dyDescent="0.3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2" customHeight="1" x14ac:dyDescent="0.3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2" customHeight="1" x14ac:dyDescent="0.3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2" customHeight="1" x14ac:dyDescent="0.3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2" customHeight="1" x14ac:dyDescent="0.3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2" customHeight="1" x14ac:dyDescent="0.3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2" customHeight="1" x14ac:dyDescent="0.3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2" customHeight="1" x14ac:dyDescent="0.3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2" customHeight="1" x14ac:dyDescent="0.3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2" customHeight="1" x14ac:dyDescent="0.3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2" customHeight="1" x14ac:dyDescent="0.3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2" customHeight="1" x14ac:dyDescent="0.3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2" customHeight="1" x14ac:dyDescent="0.3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2" customHeight="1" x14ac:dyDescent="0.3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2" customHeight="1" x14ac:dyDescent="0.3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2" customHeight="1" x14ac:dyDescent="0.3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2" customHeight="1" x14ac:dyDescent="0.3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2" customHeight="1" x14ac:dyDescent="0.3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2" customHeight="1" x14ac:dyDescent="0.3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2" customHeight="1" x14ac:dyDescent="0.3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2" customHeight="1" x14ac:dyDescent="0.3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2" customHeight="1" x14ac:dyDescent="0.3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2" customHeight="1" x14ac:dyDescent="0.3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2" customHeight="1" x14ac:dyDescent="0.3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2" customHeight="1" x14ac:dyDescent="0.3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2" customHeight="1" x14ac:dyDescent="0.3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2" customHeight="1" x14ac:dyDescent="0.3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2" customHeight="1" x14ac:dyDescent="0.3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2" customHeight="1" x14ac:dyDescent="0.3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2" customHeight="1" x14ac:dyDescent="0.3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2" customHeight="1" x14ac:dyDescent="0.3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2" customHeight="1" x14ac:dyDescent="0.3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2" customHeight="1" x14ac:dyDescent="0.3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2" customHeight="1" x14ac:dyDescent="0.3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2" customHeight="1" x14ac:dyDescent="0.3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2" customHeight="1" x14ac:dyDescent="0.3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2" customHeight="1" x14ac:dyDescent="0.3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2" customHeight="1" x14ac:dyDescent="0.3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2" customHeight="1" x14ac:dyDescent="0.3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2" customHeight="1" x14ac:dyDescent="0.3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2" customHeight="1" x14ac:dyDescent="0.3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2" customHeight="1" x14ac:dyDescent="0.3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2" customHeight="1" x14ac:dyDescent="0.3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2" customHeight="1" x14ac:dyDescent="0.3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2" customHeight="1" x14ac:dyDescent="0.3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2" customHeight="1" x14ac:dyDescent="0.3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2" customHeight="1" x14ac:dyDescent="0.3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2" customHeight="1" x14ac:dyDescent="0.3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2" customHeight="1" x14ac:dyDescent="0.3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2" customHeight="1" x14ac:dyDescent="0.3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2" customHeight="1" x14ac:dyDescent="0.3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2" customHeight="1" x14ac:dyDescent="0.3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2" customHeight="1" x14ac:dyDescent="0.3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2" customHeight="1" x14ac:dyDescent="0.3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2" customHeight="1" x14ac:dyDescent="0.3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2" customHeight="1" x14ac:dyDescent="0.3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2" customHeight="1" x14ac:dyDescent="0.3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2" customHeight="1" x14ac:dyDescent="0.3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2" customHeight="1" x14ac:dyDescent="0.3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2" customHeight="1" x14ac:dyDescent="0.3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2" customHeight="1" x14ac:dyDescent="0.3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2" customHeight="1" x14ac:dyDescent="0.3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2" customHeight="1" x14ac:dyDescent="0.3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2" customHeight="1" x14ac:dyDescent="0.3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2" customHeight="1" x14ac:dyDescent="0.3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2" customHeight="1" x14ac:dyDescent="0.3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2" customHeight="1" x14ac:dyDescent="0.3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2" customHeight="1" x14ac:dyDescent="0.3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2" customHeight="1" x14ac:dyDescent="0.3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2" customHeight="1" x14ac:dyDescent="0.3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2" customHeight="1" x14ac:dyDescent="0.3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2" customHeight="1" x14ac:dyDescent="0.3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2" customHeight="1" x14ac:dyDescent="0.3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2" customHeight="1" x14ac:dyDescent="0.3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2" customHeight="1" x14ac:dyDescent="0.3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2" customHeight="1" x14ac:dyDescent="0.3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2" customHeight="1" x14ac:dyDescent="0.3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2" customHeight="1" x14ac:dyDescent="0.3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2" customHeight="1" x14ac:dyDescent="0.3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2" customHeight="1" x14ac:dyDescent="0.3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2" customHeight="1" x14ac:dyDescent="0.3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2" customHeight="1" x14ac:dyDescent="0.3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2" customHeight="1" x14ac:dyDescent="0.3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2" customHeight="1" x14ac:dyDescent="0.3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2" customHeight="1" x14ac:dyDescent="0.3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2" customHeight="1" x14ac:dyDescent="0.3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2" customHeight="1" x14ac:dyDescent="0.3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2" customHeight="1" x14ac:dyDescent="0.3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2" customHeight="1" x14ac:dyDescent="0.3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2" customHeight="1" x14ac:dyDescent="0.3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2" customHeight="1" x14ac:dyDescent="0.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2" customHeight="1" x14ac:dyDescent="0.3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2" customHeight="1" x14ac:dyDescent="0.3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2" customHeight="1" x14ac:dyDescent="0.3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2" customHeight="1" x14ac:dyDescent="0.3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2" customHeight="1" x14ac:dyDescent="0.3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2" customHeight="1" x14ac:dyDescent="0.3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2" customHeight="1" x14ac:dyDescent="0.3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2" customHeight="1" x14ac:dyDescent="0.3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2" customHeight="1" x14ac:dyDescent="0.3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2" customHeight="1" x14ac:dyDescent="0.3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2" customHeight="1" x14ac:dyDescent="0.3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2" customHeight="1" x14ac:dyDescent="0.3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2" customHeight="1" x14ac:dyDescent="0.3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2" customHeight="1" x14ac:dyDescent="0.3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2" customHeight="1" x14ac:dyDescent="0.3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2" customHeight="1" x14ac:dyDescent="0.3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2" customHeight="1" x14ac:dyDescent="0.3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2" customHeight="1" x14ac:dyDescent="0.3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2" customHeight="1" x14ac:dyDescent="0.3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2" customHeight="1" x14ac:dyDescent="0.3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2" customHeight="1" x14ac:dyDescent="0.3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2" customHeight="1" x14ac:dyDescent="0.3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2" customHeight="1" x14ac:dyDescent="0.3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2" customHeight="1" x14ac:dyDescent="0.3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2" customHeight="1" x14ac:dyDescent="0.3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2" customHeight="1" x14ac:dyDescent="0.3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2" customHeight="1" x14ac:dyDescent="0.3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2" customHeight="1" x14ac:dyDescent="0.3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2" customHeight="1" x14ac:dyDescent="0.3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2" customHeight="1" x14ac:dyDescent="0.3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2" customHeight="1" x14ac:dyDescent="0.3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2" customHeight="1" x14ac:dyDescent="0.3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2" customHeight="1" x14ac:dyDescent="0.3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2" customHeight="1" x14ac:dyDescent="0.3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2" customHeight="1" x14ac:dyDescent="0.3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2" customHeight="1" x14ac:dyDescent="0.3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2" customHeight="1" x14ac:dyDescent="0.3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2" customHeight="1" x14ac:dyDescent="0.3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2" customHeight="1" x14ac:dyDescent="0.3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2" customHeight="1" x14ac:dyDescent="0.3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2" customHeight="1" x14ac:dyDescent="0.3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2" customHeight="1" x14ac:dyDescent="0.3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2" customHeight="1" x14ac:dyDescent="0.3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2" customHeight="1" x14ac:dyDescent="0.3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2" customHeight="1" x14ac:dyDescent="0.3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2" customHeight="1" x14ac:dyDescent="0.3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2" customHeight="1" x14ac:dyDescent="0.3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2" customHeight="1" x14ac:dyDescent="0.3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2" customHeight="1" x14ac:dyDescent="0.3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2" customHeight="1" x14ac:dyDescent="0.3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2" customHeight="1" x14ac:dyDescent="0.3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2" customHeight="1" x14ac:dyDescent="0.3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2" customHeight="1" x14ac:dyDescent="0.3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2" customHeight="1" x14ac:dyDescent="0.3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2" customHeight="1" x14ac:dyDescent="0.3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2" customHeight="1" x14ac:dyDescent="0.3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2" customHeight="1" x14ac:dyDescent="0.3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2" customHeight="1" x14ac:dyDescent="0.3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2" customHeight="1" x14ac:dyDescent="0.3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2" customHeight="1" x14ac:dyDescent="0.3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2" customHeight="1" x14ac:dyDescent="0.3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2" customHeight="1" x14ac:dyDescent="0.3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2" customHeight="1" x14ac:dyDescent="0.3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2" customHeight="1" x14ac:dyDescent="0.3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2" customHeight="1" x14ac:dyDescent="0.3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2" customHeight="1" x14ac:dyDescent="0.3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2" customHeight="1" x14ac:dyDescent="0.3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2" customHeight="1" x14ac:dyDescent="0.3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2" customHeight="1" x14ac:dyDescent="0.3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2" customHeight="1" x14ac:dyDescent="0.3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2" customHeight="1" x14ac:dyDescent="0.3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2" customHeight="1" x14ac:dyDescent="0.3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2" customHeight="1" x14ac:dyDescent="0.3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2" customHeight="1" x14ac:dyDescent="0.3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2" customHeight="1" x14ac:dyDescent="0.3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2" customHeight="1" x14ac:dyDescent="0.3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2" customHeight="1" x14ac:dyDescent="0.3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2" customHeight="1" x14ac:dyDescent="0.3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2" customHeight="1" x14ac:dyDescent="0.3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2" customHeight="1" x14ac:dyDescent="0.3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2" customHeight="1" x14ac:dyDescent="0.3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2" customHeight="1" x14ac:dyDescent="0.3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2" customHeight="1" x14ac:dyDescent="0.3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2" customHeight="1" x14ac:dyDescent="0.3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2" customHeight="1" x14ac:dyDescent="0.3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2" customHeight="1" x14ac:dyDescent="0.3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2" customHeight="1" x14ac:dyDescent="0.3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2" customHeight="1" x14ac:dyDescent="0.3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2" customHeight="1" x14ac:dyDescent="0.3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2" customHeight="1" x14ac:dyDescent="0.3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2" customHeight="1" x14ac:dyDescent="0.3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2" customHeight="1" x14ac:dyDescent="0.3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2" customHeight="1" x14ac:dyDescent="0.3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2" customHeight="1" x14ac:dyDescent="0.3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2" customHeight="1" x14ac:dyDescent="0.3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2" customHeight="1" x14ac:dyDescent="0.3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2" customHeight="1" x14ac:dyDescent="0.3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2" customHeight="1" x14ac:dyDescent="0.3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2" customHeight="1" x14ac:dyDescent="0.3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2" customHeight="1" x14ac:dyDescent="0.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2" customHeight="1" x14ac:dyDescent="0.3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2" customHeight="1" x14ac:dyDescent="0.3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2" customHeight="1" x14ac:dyDescent="0.3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2" customHeight="1" x14ac:dyDescent="0.3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2" customHeight="1" x14ac:dyDescent="0.3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2" customHeight="1" x14ac:dyDescent="0.3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2" customHeight="1" x14ac:dyDescent="0.3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2" customHeight="1" x14ac:dyDescent="0.3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2" customHeight="1" x14ac:dyDescent="0.3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2" customHeight="1" x14ac:dyDescent="0.3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2" customHeight="1" x14ac:dyDescent="0.3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2" customHeight="1" x14ac:dyDescent="0.3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2" customHeight="1" x14ac:dyDescent="0.3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2" customHeight="1" x14ac:dyDescent="0.3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2" customHeight="1" x14ac:dyDescent="0.3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2" customHeight="1" x14ac:dyDescent="0.3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2" customHeight="1" x14ac:dyDescent="0.3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2" customHeight="1" x14ac:dyDescent="0.3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2" customHeight="1" x14ac:dyDescent="0.3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2" customHeight="1" x14ac:dyDescent="0.3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2" customHeight="1" x14ac:dyDescent="0.3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2" customHeight="1" x14ac:dyDescent="0.3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2" customHeight="1" x14ac:dyDescent="0.3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2" customHeight="1" x14ac:dyDescent="0.3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2" customHeight="1" x14ac:dyDescent="0.3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2" customHeight="1" x14ac:dyDescent="0.3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2" customHeight="1" x14ac:dyDescent="0.3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2" customHeight="1" x14ac:dyDescent="0.3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2" customHeight="1" x14ac:dyDescent="0.3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2" customHeight="1" x14ac:dyDescent="0.3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2" customHeight="1" x14ac:dyDescent="0.3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2" customHeight="1" x14ac:dyDescent="0.3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2" customHeight="1" x14ac:dyDescent="0.3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2" customHeight="1" x14ac:dyDescent="0.3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2" customHeight="1" x14ac:dyDescent="0.3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2" customHeight="1" x14ac:dyDescent="0.3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2" customHeight="1" x14ac:dyDescent="0.3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2" customHeight="1" x14ac:dyDescent="0.3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2" customHeight="1" x14ac:dyDescent="0.3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2" customHeight="1" x14ac:dyDescent="0.3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2" customHeight="1" x14ac:dyDescent="0.3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2" customHeight="1" x14ac:dyDescent="0.3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2" customHeight="1" x14ac:dyDescent="0.3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2" customHeight="1" x14ac:dyDescent="0.3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2" customHeight="1" x14ac:dyDescent="0.3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2" customHeight="1" x14ac:dyDescent="0.3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2" customHeight="1" x14ac:dyDescent="0.3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2" customHeight="1" x14ac:dyDescent="0.3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2" customHeight="1" x14ac:dyDescent="0.3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2" customHeight="1" x14ac:dyDescent="0.3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2" customHeight="1" x14ac:dyDescent="0.3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2" customHeight="1" x14ac:dyDescent="0.3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2" customHeight="1" x14ac:dyDescent="0.3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2" customHeight="1" x14ac:dyDescent="0.3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2" customHeight="1" x14ac:dyDescent="0.3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2" customHeight="1" x14ac:dyDescent="0.3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2" customHeight="1" x14ac:dyDescent="0.3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2" customHeight="1" x14ac:dyDescent="0.3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2" customHeight="1" x14ac:dyDescent="0.3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2" customHeight="1" x14ac:dyDescent="0.3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2" customHeight="1" x14ac:dyDescent="0.3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2" customHeight="1" x14ac:dyDescent="0.3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2" customHeight="1" x14ac:dyDescent="0.3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2" customHeight="1" x14ac:dyDescent="0.3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2" customHeight="1" x14ac:dyDescent="0.3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2" customHeight="1" x14ac:dyDescent="0.3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2" customHeight="1" x14ac:dyDescent="0.3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2" customHeight="1" x14ac:dyDescent="0.3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2" customHeight="1" x14ac:dyDescent="0.3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2" customHeight="1" x14ac:dyDescent="0.3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2" customHeight="1" x14ac:dyDescent="0.3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2" customHeight="1" x14ac:dyDescent="0.3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2" customHeight="1" x14ac:dyDescent="0.3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2" customHeight="1" x14ac:dyDescent="0.3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2" customHeight="1" x14ac:dyDescent="0.3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2" customHeight="1" x14ac:dyDescent="0.3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2" customHeight="1" x14ac:dyDescent="0.3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2" customHeight="1" x14ac:dyDescent="0.3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2" customHeight="1" x14ac:dyDescent="0.3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2" customHeight="1" x14ac:dyDescent="0.3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2" customHeight="1" x14ac:dyDescent="0.3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2" customHeight="1" x14ac:dyDescent="0.3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2" customHeight="1" x14ac:dyDescent="0.3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2" customHeight="1" x14ac:dyDescent="0.3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2" customHeight="1" x14ac:dyDescent="0.3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2" customHeight="1" x14ac:dyDescent="0.3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2" customHeight="1" x14ac:dyDescent="0.3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2" customHeight="1" x14ac:dyDescent="0.3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2" customHeight="1" x14ac:dyDescent="0.3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2" customHeight="1" x14ac:dyDescent="0.3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2" customHeight="1" x14ac:dyDescent="0.3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2" customHeight="1" x14ac:dyDescent="0.3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2" customHeight="1" x14ac:dyDescent="0.3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2" customHeight="1" x14ac:dyDescent="0.3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2" customHeight="1" x14ac:dyDescent="0.3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2" customHeight="1" x14ac:dyDescent="0.3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2" customHeight="1" x14ac:dyDescent="0.3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2" customHeight="1" x14ac:dyDescent="0.3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2" customHeight="1" x14ac:dyDescent="0.3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2" customHeight="1" x14ac:dyDescent="0.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2" customHeight="1" x14ac:dyDescent="0.3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2" customHeight="1" x14ac:dyDescent="0.3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2" customHeight="1" x14ac:dyDescent="0.3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2" customHeight="1" x14ac:dyDescent="0.3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2" customHeight="1" x14ac:dyDescent="0.3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2" customHeight="1" x14ac:dyDescent="0.3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2" customHeight="1" x14ac:dyDescent="0.3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2" customHeight="1" x14ac:dyDescent="0.3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2" customHeight="1" x14ac:dyDescent="0.3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2" customHeight="1" x14ac:dyDescent="0.3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2" customHeight="1" x14ac:dyDescent="0.3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2" customHeight="1" x14ac:dyDescent="0.3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2" customHeight="1" x14ac:dyDescent="0.3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2" customHeight="1" x14ac:dyDescent="0.3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2" customHeight="1" x14ac:dyDescent="0.3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2" customHeight="1" x14ac:dyDescent="0.3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2" customHeight="1" x14ac:dyDescent="0.3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2" customHeight="1" x14ac:dyDescent="0.3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2" customHeight="1" x14ac:dyDescent="0.3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2" customHeight="1" x14ac:dyDescent="0.3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2" customHeight="1" x14ac:dyDescent="0.3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2" customHeight="1" x14ac:dyDescent="0.3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2" customHeight="1" x14ac:dyDescent="0.3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2" customHeight="1" x14ac:dyDescent="0.3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2" customHeight="1" x14ac:dyDescent="0.3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2" customHeight="1" x14ac:dyDescent="0.3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2" customHeight="1" x14ac:dyDescent="0.3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2" customHeight="1" x14ac:dyDescent="0.3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2" customHeight="1" x14ac:dyDescent="0.3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2" customHeight="1" x14ac:dyDescent="0.3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2" customHeight="1" x14ac:dyDescent="0.3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2" customHeight="1" x14ac:dyDescent="0.3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2" customHeight="1" x14ac:dyDescent="0.3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2" customHeight="1" x14ac:dyDescent="0.3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2" customHeight="1" x14ac:dyDescent="0.3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2" customHeight="1" x14ac:dyDescent="0.3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2" customHeight="1" x14ac:dyDescent="0.3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2" customHeight="1" x14ac:dyDescent="0.3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2" customHeight="1" x14ac:dyDescent="0.3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2" customHeight="1" x14ac:dyDescent="0.3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2" customHeight="1" x14ac:dyDescent="0.3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2" customHeight="1" x14ac:dyDescent="0.3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2" customHeight="1" x14ac:dyDescent="0.3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2" customHeight="1" x14ac:dyDescent="0.3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2" customHeight="1" x14ac:dyDescent="0.3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2" customHeight="1" x14ac:dyDescent="0.3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2" customHeight="1" x14ac:dyDescent="0.3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2" customHeight="1" x14ac:dyDescent="0.3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2" customHeight="1" x14ac:dyDescent="0.3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2" customHeight="1" x14ac:dyDescent="0.3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2" customHeight="1" x14ac:dyDescent="0.3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2" customHeight="1" x14ac:dyDescent="0.3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2" customHeight="1" x14ac:dyDescent="0.3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2" customHeight="1" x14ac:dyDescent="0.3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2" customHeight="1" x14ac:dyDescent="0.3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2" customHeight="1" x14ac:dyDescent="0.3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2" customHeight="1" x14ac:dyDescent="0.3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2" customHeight="1" x14ac:dyDescent="0.3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2" customHeight="1" x14ac:dyDescent="0.3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2" customHeight="1" x14ac:dyDescent="0.3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2" customHeight="1" x14ac:dyDescent="0.3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2" customHeight="1" x14ac:dyDescent="0.3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2" customHeight="1" x14ac:dyDescent="0.3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2" customHeight="1" x14ac:dyDescent="0.3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2" customHeight="1" x14ac:dyDescent="0.3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2" customHeight="1" x14ac:dyDescent="0.3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2" customHeight="1" x14ac:dyDescent="0.3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2" customHeight="1" x14ac:dyDescent="0.3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2" customHeight="1" x14ac:dyDescent="0.3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2" customHeight="1" x14ac:dyDescent="0.3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2" customHeight="1" x14ac:dyDescent="0.3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2" customHeight="1" x14ac:dyDescent="0.3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2" customHeight="1" x14ac:dyDescent="0.3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2" customHeight="1" x14ac:dyDescent="0.3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2" customHeight="1" x14ac:dyDescent="0.3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2" customHeight="1" x14ac:dyDescent="0.3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2" customHeight="1" x14ac:dyDescent="0.3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2" customHeight="1" x14ac:dyDescent="0.3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2" customHeight="1" x14ac:dyDescent="0.3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2" customHeight="1" x14ac:dyDescent="0.3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2" customHeight="1" x14ac:dyDescent="0.3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2" customHeight="1" x14ac:dyDescent="0.3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2" customHeight="1" x14ac:dyDescent="0.3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2" customHeight="1" x14ac:dyDescent="0.3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2" customHeight="1" x14ac:dyDescent="0.3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2" customHeight="1" x14ac:dyDescent="0.3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2" customHeight="1" x14ac:dyDescent="0.3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2" customHeight="1" x14ac:dyDescent="0.3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2" customHeight="1" x14ac:dyDescent="0.3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2" customHeight="1" x14ac:dyDescent="0.3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2" customHeight="1" x14ac:dyDescent="0.3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2" customHeight="1" x14ac:dyDescent="0.3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2" customHeight="1" x14ac:dyDescent="0.3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2" customHeight="1" x14ac:dyDescent="0.3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2" customHeight="1" x14ac:dyDescent="0.3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2" customHeight="1" x14ac:dyDescent="0.3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2" customHeight="1" x14ac:dyDescent="0.3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2" customHeight="1" x14ac:dyDescent="0.3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2" customHeight="1" x14ac:dyDescent="0.3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2" customHeight="1" x14ac:dyDescent="0.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2" customHeight="1" x14ac:dyDescent="0.3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2" customHeight="1" x14ac:dyDescent="0.3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2" customHeight="1" x14ac:dyDescent="0.3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2" customHeight="1" x14ac:dyDescent="0.3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2" customHeight="1" x14ac:dyDescent="0.3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2" customHeight="1" x14ac:dyDescent="0.3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2" customHeight="1" x14ac:dyDescent="0.3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2" customHeight="1" x14ac:dyDescent="0.3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2" customHeight="1" x14ac:dyDescent="0.3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2" customHeight="1" x14ac:dyDescent="0.3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2" customHeight="1" x14ac:dyDescent="0.3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2" customHeight="1" x14ac:dyDescent="0.3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2" customHeight="1" x14ac:dyDescent="0.3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2" customHeight="1" x14ac:dyDescent="0.3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2" customHeight="1" x14ac:dyDescent="0.3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2" customHeight="1" x14ac:dyDescent="0.3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2" customHeight="1" x14ac:dyDescent="0.3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2" customHeight="1" x14ac:dyDescent="0.3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2" customHeight="1" x14ac:dyDescent="0.3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2" customHeight="1" x14ac:dyDescent="0.3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2" customHeight="1" x14ac:dyDescent="0.3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2" customHeight="1" x14ac:dyDescent="0.3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2" customHeight="1" x14ac:dyDescent="0.3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2" customHeight="1" x14ac:dyDescent="0.3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2" customHeight="1" x14ac:dyDescent="0.3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2" customHeight="1" x14ac:dyDescent="0.3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2" customHeight="1" x14ac:dyDescent="0.3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2" customHeight="1" x14ac:dyDescent="0.3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2" customHeight="1" x14ac:dyDescent="0.3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2" customHeight="1" x14ac:dyDescent="0.3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2" customHeight="1" x14ac:dyDescent="0.3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2" customHeight="1" x14ac:dyDescent="0.3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2" customHeight="1" x14ac:dyDescent="0.3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2" customHeight="1" x14ac:dyDescent="0.3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2" customHeight="1" x14ac:dyDescent="0.3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2" customHeight="1" x14ac:dyDescent="0.3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2" customHeight="1" x14ac:dyDescent="0.3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2" customHeight="1" x14ac:dyDescent="0.3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2" customHeight="1" x14ac:dyDescent="0.3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2" customHeight="1" x14ac:dyDescent="0.3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2" customHeight="1" x14ac:dyDescent="0.3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2" customHeight="1" x14ac:dyDescent="0.3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2" customHeight="1" x14ac:dyDescent="0.3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2" customHeight="1" x14ac:dyDescent="0.3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2" customHeight="1" x14ac:dyDescent="0.3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2" customHeight="1" x14ac:dyDescent="0.3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2" customHeight="1" x14ac:dyDescent="0.3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2" customHeight="1" x14ac:dyDescent="0.3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2" customHeight="1" x14ac:dyDescent="0.3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2" customHeight="1" x14ac:dyDescent="0.3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2" customHeight="1" x14ac:dyDescent="0.3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2" customHeight="1" x14ac:dyDescent="0.3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2" customHeight="1" x14ac:dyDescent="0.3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2" customHeight="1" x14ac:dyDescent="0.3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2" customHeight="1" x14ac:dyDescent="0.3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2" customHeight="1" x14ac:dyDescent="0.3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2" customHeight="1" x14ac:dyDescent="0.3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2" customHeight="1" x14ac:dyDescent="0.3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2" customHeight="1" x14ac:dyDescent="0.3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2" customHeight="1" x14ac:dyDescent="0.3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2" customHeight="1" x14ac:dyDescent="0.3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sheetData>
  <mergeCells count="2">
    <mergeCell ref="B69:C69"/>
    <mergeCell ref="B74:D74"/>
  </mergeCells>
  <pageMargins left="0.7" right="0.7" top="0.75" bottom="0.75" header="0" footer="0"/>
  <pageSetup paperSize="9" scale="5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7F47C4-74C3-407A-99D1-534105EF0014}">
  <dimension ref="B2"/>
  <sheetViews>
    <sheetView showGridLines="0" zoomScale="80" zoomScaleNormal="80" workbookViewId="0">
      <selection activeCell="B2" sqref="B2"/>
    </sheetView>
  </sheetViews>
  <sheetFormatPr baseColWidth="10" defaultRowHeight="14.5" x14ac:dyDescent="0.35"/>
  <cols>
    <col min="1" max="1" width="5.81640625" customWidth="1"/>
  </cols>
  <sheetData>
    <row r="2" spans="2:2" x14ac:dyDescent="0.35">
      <c r="B2" s="54" t="s">
        <v>66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5.02</vt:lpstr>
      <vt:lpstr>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USUARIO</dc:creator>
  <cp:lastModifiedBy>Admin</cp:lastModifiedBy>
  <dcterms:created xsi:type="dcterms:W3CDTF">2023-09-21T08:27:31Z</dcterms:created>
  <dcterms:modified xsi:type="dcterms:W3CDTF">2026-04-17T00:56:21Z</dcterms:modified>
</cp:coreProperties>
</file>