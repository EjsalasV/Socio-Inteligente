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6. Propiedades de inversión\"/>
    </mc:Choice>
  </mc:AlternateContent>
  <xr:revisionPtr revIDLastSave="0" documentId="13_ncr:1_{24D86E29-0C1A-4468-AA2D-C9DC2F803D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.0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">NA()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Excel_BuiltIn_Print_Area_1_1">#REF!</definedName>
    <definedName name="_1Sin_nombre">#REF!</definedName>
    <definedName name="_2Sin_nombre_3">#REF!</definedName>
    <definedName name="_3Sin_nombre">#REF!</definedName>
    <definedName name="_4Sin_nombre_0">#REF!</definedName>
    <definedName name="_5Sin_nombre_1">#REF!</definedName>
    <definedName name="_6Sin_nombre_2">#REF!</definedName>
    <definedName name="_7Sin_nombre_3">#REF!</definedName>
    <definedName name="_a">#REF!</definedName>
    <definedName name="_A70000">#REF!</definedName>
    <definedName name="_A99999">#REF!</definedName>
    <definedName name="_DAT2">#REF!</definedName>
    <definedName name="_F">[1]Datos!$B$1</definedName>
    <definedName name="_xlnm._FilterDatabase" localSheetId="0" hidden="1">'5.04'!$B$37:$V$52</definedName>
    <definedName name="_RSE2" localSheetId="0">#REF!</definedName>
    <definedName name="_RSE2">#REF!</definedName>
    <definedName name="_W2" localSheetId="0">#REF!</definedName>
    <definedName name="_W2">#REF!</definedName>
    <definedName name="a" localSheetId="0">#REF!</definedName>
    <definedName name="a">#REF!</definedName>
    <definedName name="A_impresión_IM">#REF!</definedName>
    <definedName name="A_IMPRESIÓN_IM_1">#REF!</definedName>
    <definedName name="AC">#REF!</definedName>
    <definedName name="ACREEDORES">#REF!</definedName>
    <definedName name="anexo">#REF!</definedName>
    <definedName name="AportePat">[2]Datos!$B$3</definedName>
    <definedName name="AportePer">[2]Datos!$B$2</definedName>
    <definedName name="ARA_Threshold" localSheetId="0">#REF!</definedName>
    <definedName name="ARA_Threshold">#REF!</definedName>
    <definedName name="ARP_Threshold" localSheetId="0">#REF!</definedName>
    <definedName name="ARP_Threshold">#REF!</definedName>
    <definedName name="arreglo">#REF!</definedName>
    <definedName name="AS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d">#REF!</definedName>
    <definedName name="asfdasfa">#REF!</definedName>
    <definedName name="b">[3]Cartera!#REF!</definedName>
    <definedName name="BAL">#REF!</definedName>
    <definedName name="balance">#REF!</definedName>
    <definedName name="BASE">#REF!</definedName>
    <definedName name="BASE1">#REF!</definedName>
    <definedName name="BASE2">#REF!</definedName>
    <definedName name="BASE2001">#REF!</definedName>
    <definedName name="BASE3">#REF!</definedName>
    <definedName name="BASEBG2001">#REF!</definedName>
    <definedName name="BASEFECHA">[2]Datos!$A$6:$C$17</definedName>
    <definedName name="basic_level">'[4]Tabla del Límite'!$A$6:$C$11</definedName>
    <definedName name="BBBB" localSheetId="0">#REF!</definedName>
    <definedName name="BBBB">#REF!</definedName>
    <definedName name="Beg_Bal" localSheetId="0">#REF!</definedName>
    <definedName name="Beg_Bal">#REF!</definedName>
    <definedName name="BG_Del">15</definedName>
    <definedName name="BG_Ins">4</definedName>
    <definedName name="BG_Mod">6</definedName>
    <definedName name="bosque" localSheetId="0">#REF!</definedName>
    <definedName name="bosque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ADMINISTRACION">#REF!</definedName>
    <definedName name="carlos">#REF!</definedName>
    <definedName name="CBASE">#REF!</definedName>
    <definedName name="cbodega">#REF!</definedName>
    <definedName name="cbordados">#REF!</definedName>
    <definedName name="ccamisas">#REF!</definedName>
    <definedName name="Cchofer">#REF!</definedName>
    <definedName name="ccorte">#REF!</definedName>
    <definedName name="cdiseño">#REF!</definedName>
    <definedName name="cguardia">#REF!</definedName>
    <definedName name="ClientName">#REF!</definedName>
    <definedName name="climpieza">#REF!</definedName>
    <definedName name="cmecanico">#REF!</definedName>
    <definedName name="COIMM">#REF!</definedName>
    <definedName name="Color">OFFSET(#REF!,MATCH(#REF!,#REF!,0)-1,0,1,1)</definedName>
    <definedName name="Componente">[2]Datos!$B$1</definedName>
    <definedName name="Conclusión" localSheetId="0">#REF!</definedName>
    <definedName name="Conclusión">#REF!</definedName>
    <definedName name="Contab_Provision" localSheetId="0">#REF!</definedName>
    <definedName name="Contab_Provision">#REF!</definedName>
    <definedName name="CPantalones" localSheetId="0">#REF!</definedName>
    <definedName name="CPantalones">#REF!</definedName>
    <definedName name="csacos">#REF!</definedName>
    <definedName name="csecretaria">#REF!</definedName>
    <definedName name="cterminados">#REF!</definedName>
    <definedName name="Ctransporte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#REF!</definedName>
    <definedName name="da">#REF!</definedName>
    <definedName name="Data">#REF!</definedName>
    <definedName name="DBDA">[5]Hoja3!$Q$41</definedName>
    <definedName name="dd" localSheetId="0">#REF!</definedName>
    <definedName name="dd">#REF!</definedName>
    <definedName name="decimo14">[2]Datos!$B$4</definedName>
    <definedName name="detalle" localSheetId="0">#REF!</definedName>
    <definedName name="detalle">#REF!</definedName>
    <definedName name="df" localSheetId="0">#REF!</definedName>
    <definedName name="df">#REF!</definedName>
    <definedName name="dffd" localSheetId="0">Scheduled_Payment+Extra_Payment</definedName>
    <definedName name="dffd">Scheduled_Payment+Extra_Payment</definedName>
    <definedName name="DI" localSheetId="0">'[6]VEG. $ NEC'!#REF!</definedName>
    <definedName name="DI">'[6]VEG. $ NEC'!#REF!</definedName>
    <definedName name="DICIEMBRE">[7]DICIEMBRE!$A$2:$G$67</definedName>
    <definedName name="DMEI">[5]Hoja2!$Q$41</definedName>
    <definedName name="DS2PLHeader" localSheetId="0">#REF!</definedName>
    <definedName name="DS2PLHeader">#REF!</definedName>
    <definedName name="DS7RevProdHeader" localSheetId="0">#REF!</definedName>
    <definedName name="DS7RevProdHeader">#REF!</definedName>
    <definedName name="DS9PLFuncHeader" localSheetId="0">#REF!</definedName>
    <definedName name="DS9PLFuncHeader">#REF!</definedName>
    <definedName name="End_Bal">#REF!</definedName>
    <definedName name="EndFSPeriod">#REF!</definedName>
    <definedName name="Excel_BuiltIn__FilterDatabase_1">#REF!</definedName>
    <definedName name="Excel_BuiltIn__FilterDatabase_23">'[8]Cruce Renta vs Libros (YA)'!#REF!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Titles">#REF!</definedName>
    <definedName name="Extra_Pay">#REF!</definedName>
    <definedName name="FBasica2">[2]Impuestos!$B$7</definedName>
    <definedName name="Fbasica3">[2]Impuestos!$B$8</definedName>
    <definedName name="Fbasica4">[2]Impuestos!$B$9</definedName>
    <definedName name="FBasica5">[2]Impuestos!$B$10</definedName>
    <definedName name="FBasica6">[2]Impuestos!$B$11</definedName>
    <definedName name="fecha">'[8]Concili. Bancarias (MI)'!$A$3</definedName>
    <definedName name="Fexceso2">[2]Impuestos!$C$7</definedName>
    <definedName name="FExceso3">[2]Impuestos!$C$8</definedName>
    <definedName name="FExceso4">[2]Impuestos!$C$9</definedName>
    <definedName name="FExceso5">[2]Impuestos!$C$10</definedName>
    <definedName name="FNUMERO">[2]Datos!$B$19</definedName>
    <definedName name="FolderItemNumber" localSheetId="0">#REF!</definedName>
    <definedName name="FolderItemNumber">#REF!</definedName>
    <definedName name="FolderItemTitle" localSheetId="0">#REF!</definedName>
    <definedName name="FolderItemTitle">#REF!</definedName>
    <definedName name="FTESFORE" localSheetId="0">#REF!</definedName>
    <definedName name="FTESFORE">#REF!</definedName>
    <definedName name="FTESYTD">#REF!</definedName>
    <definedName name="Full_Print">#REF!</definedName>
    <definedName name="g">#REF!</definedName>
    <definedName name="Header_Row">ROW(#REF!)</definedName>
    <definedName name="HOJA">#REF!</definedName>
    <definedName name="IBasica2">[2]Impuestos!$D$7</definedName>
    <definedName name="IBasica3">[2]Impuestos!$D$8</definedName>
    <definedName name="IBasica4">[2]Impuestos!$D$9</definedName>
    <definedName name="IBasica5">[2]Impuestos!$D$10</definedName>
    <definedName name="IBasica6">[2]Impuestos!$D$11</definedName>
    <definedName name="Iexceso2">[2]Impuestos!$E$7</definedName>
    <definedName name="Iexceso3">[2]Impuestos!$E$8</definedName>
    <definedName name="IExceso4">[2]Impuestos!$E$9</definedName>
    <definedName name="IExceso5">[2]Impuestos!$E$10</definedName>
    <definedName name="IExceso6">[2]Impuestos!$E$11</definedName>
    <definedName name="inicial" localSheetId="0">#REF!</definedName>
    <definedName name="inicial">#REF!</definedName>
    <definedName name="Int" localSheetId="0">#REF!</definedName>
    <definedName name="Int">#REF!</definedName>
    <definedName name="INTANGIBLES" localSheetId="0">#REF!</definedName>
    <definedName name="INTANGIBLES">#REF!</definedName>
    <definedName name="Interest_Rate">#REF!</definedName>
    <definedName name="interm_level">'[4]Tabla del Límite'!$D$6:$F$11</definedName>
    <definedName name="J" localSheetId="0">#REF!</definedName>
    <definedName name="J">#REF!</definedName>
    <definedName name="jj" localSheetId="0">Scheduled_Payment+Extra_Payment</definedName>
    <definedName name="jj">Scheduled_Payment+Extra_Payment</definedName>
    <definedName name="jjjjjj" localSheetId="0">OFFSET(#REF!,MATCH(#REF!,#REF!,0)-1,0,1,1)</definedName>
    <definedName name="jjjjjj">OFFSET(#REF!,MATCH(#REF!,#REF!,0)-1,0,1,1)</definedName>
    <definedName name="JOSE">#REF!</definedName>
    <definedName name="L_AJE_Tot">[9]Links!$G$1:$G$65536</definedName>
    <definedName name="L_CY_Beg">[9]Links!$F$1:$F$65536</definedName>
    <definedName name="L_CY_End">[9]Links!$J$1:$J$65536</definedName>
    <definedName name="L_PY_End">[9]Links!$K$1:$K$65536</definedName>
    <definedName name="L_RJE_Tot">[9]Links!$I$1:$I$65536</definedName>
    <definedName name="Last_Row" localSheetId="0">IF([10]!Values_Entered,Header_Row+[10]!Number_of_Payments,Header_Row)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M">#REF!</definedName>
    <definedName name="MA">'[6]VEG. $ NEC'!#REF!</definedName>
    <definedName name="MANUWL" localSheetId="0">#REF!</definedName>
    <definedName name="MANUWL">#REF!</definedName>
    <definedName name="MARIA" localSheetId="0">#REF!</definedName>
    <definedName name="MARIA">#REF!</definedName>
    <definedName name="MAS" localSheetId="0">#REF!</definedName>
    <definedName name="MAS">#REF!</definedName>
    <definedName name="mayor">#REF!</definedName>
    <definedName name="mayorg">#REF!</definedName>
    <definedName name="mes">#REF!</definedName>
    <definedName name="MONEDA">#REF!</definedName>
    <definedName name="NOVIEMBRE">[7]NOVIEMBRE!$A$1:$G$50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UMERICO">NA()</definedName>
    <definedName name="NUMERO">'[2]rol individual 1'!$I$1</definedName>
    <definedName name="NUMERO1">'[2]rol individual 1'!$I$2</definedName>
    <definedName name="NUMERO3">#REF!</definedName>
    <definedName name="NUMERO4">#REF!</definedName>
    <definedName name="Ñ">[1]Datos!$B$1</definedName>
    <definedName name="Observaciones">[11]A.01!$K$50:$K$53</definedName>
    <definedName name="octubre">[7]octubre!$A$1:$H$50</definedName>
    <definedName name="otros" localSheetId="0">{#N/A,#N/A,FALSE,"Aging Summary";#N/A,#N/A,FALSE,"Ratio Analysis";#N/A,#N/A,FALSE,"Test 120 Day Accts";#N/A,#N/A,FALSE,"Tickmarks"}</definedName>
    <definedName name="otros">{#N/A,#N/A,FALSE,"Aging Summary";#N/A,#N/A,FALSE,"Ratio Analysis";#N/A,#N/A,FALSE,"Test 120 Day Accts";#N/A,#N/A,FALSE,"Tickmarks"}</definedName>
    <definedName name="P">[1]Datos!$B$2</definedName>
    <definedName name="PAIS">#REF!</definedName>
    <definedName name="Pay_Date">#REF!</definedName>
    <definedName name="Pay_Num">#REF!</definedName>
    <definedName name="Payment_Date" localSheetId="0">DATE(YEAR([10]!Loan_Start),MONTH([10]!Loan_Start)+Payment_Number,DAY([10]!Loan_Start))</definedName>
    <definedName name="Payment_Date">DATE(YEAR(Loan_Start),MONTH(Loan_Start)+Payment_Number,DAY(Loan_Start))</definedName>
    <definedName name="PCOST" localSheetId="0">#REF!</definedName>
    <definedName name="PCOST">#REF!</definedName>
    <definedName name="PCOSTBYACTV" localSheetId="0">#REF!</definedName>
    <definedName name="PCOSTBYACTV">#REF!</definedName>
    <definedName name="pnot_fore" localSheetId="0">#REF!</definedName>
    <definedName name="pnot_fore">#REF!</definedName>
    <definedName name="pnot_month">#REF!</definedName>
    <definedName name="pnot_ytd">#REF!</definedName>
    <definedName name="PO">#REF!</definedName>
    <definedName name="PRANGE">#REF!</definedName>
    <definedName name="Princ">#REF!</definedName>
    <definedName name="Print_Area">#REF!</definedName>
    <definedName name="Print_Area_Reset" localSheetId="0">OFFSET(Full_Print,0,0,[10]!Last_Row)</definedName>
    <definedName name="Print_Area_Reset">OFFSET(Full_Print,0,0,Last_Row)</definedName>
    <definedName name="PY_all_RetEarn" localSheetId="0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>#REF!</definedName>
    <definedName name="R_Factor">'[12]Threshold Table'!$A$2:$A$4</definedName>
    <definedName name="Ref_1">#REF!</definedName>
    <definedName name="Ref_10">'[13]Costo+Reexp'!#REF!</definedName>
    <definedName name="Ref_103">#REF!</definedName>
    <definedName name="Ref_104">#REF!</definedName>
    <definedName name="Ref_105">[14]Costo!#REF!</definedName>
    <definedName name="Ref_11">#REF!</definedName>
    <definedName name="Ref_12">'[13]Costo+Reexp'!#REF!</definedName>
    <definedName name="Ref_125">#REF!</definedName>
    <definedName name="Ref_126">#REF!</definedName>
    <definedName name="Ref_127">#REF!</definedName>
    <definedName name="Ref_128">#REF!</definedName>
    <definedName name="Ref_129">#REF!</definedName>
    <definedName name="Ref_13">#REF!</definedName>
    <definedName name="Ref_130">#REF!</definedName>
    <definedName name="Ref_131">#REF!</definedName>
    <definedName name="Ref_132">#REF!</definedName>
    <definedName name="Ref_133">#REF!</definedName>
    <definedName name="Ref_134">#REF!</definedName>
    <definedName name="Ref_135">[14]Costo!#REF!</definedName>
    <definedName name="Ref_136">[14]Dep.!#REF!</definedName>
    <definedName name="Ref_14">#REF!</definedName>
    <definedName name="Ref_15">#REF!</definedName>
    <definedName name="Ref_16">#REF!</definedName>
    <definedName name="Ref_17">#REF!</definedName>
    <definedName name="Ref_18">'[13]Costo+Reexp'!#REF!</definedName>
    <definedName name="Ref_19">#REF!</definedName>
    <definedName name="Ref_2">#REF!</definedName>
    <definedName name="Ref_20">#REF!</definedName>
    <definedName name="Ref_21">'[13]Costo+Reexp'!#REF!</definedName>
    <definedName name="Ref_22">#REF!</definedName>
    <definedName name="Ref_23">#REF!</definedName>
    <definedName name="Ref_24">#REF!</definedName>
    <definedName name="Ref_25">'[13]Costo+Reexp'!#REF!</definedName>
    <definedName name="Ref_26">#REF!</definedName>
    <definedName name="Ref_27">'[13]Costo+Reexp'!#REF!</definedName>
    <definedName name="Ref_28">#REF!</definedName>
    <definedName name="Ref_29">#REF!</definedName>
    <definedName name="Ref_3">[15]A!#REF!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'[13]Costo+Reexp'!#REF!</definedName>
    <definedName name="Ref_39">#REF!</definedName>
    <definedName name="Ref_4">#REF!</definedName>
    <definedName name="Ref_40">'[13]Costo+Reexp'!#REF!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6">'[13]Costo+Reexp'!#REF!</definedName>
    <definedName name="Ref_47">'[13]Costo+Reexp'!#REF!</definedName>
    <definedName name="Ref_48">'[13]Costo+Reexp'!#REF!</definedName>
    <definedName name="Ref_49">#REF!</definedName>
    <definedName name="Ref_5">#REF!</definedName>
    <definedName name="Ref_50">#REF!</definedName>
    <definedName name="Ref_51">#REF!</definedName>
    <definedName name="Ref_52">#REF!</definedName>
    <definedName name="Ref_53">#REF!</definedName>
    <definedName name="Ref_54">#REF!</definedName>
    <definedName name="Ref_55">#REF!</definedName>
    <definedName name="Ref_56">#REF!</definedName>
    <definedName name="Ref_57">#REF!</definedName>
    <definedName name="Ref_58">#REF!</definedName>
    <definedName name="Ref_59">#REF!</definedName>
    <definedName name="Ref_6">'[13]Costo+Reexp'!#REF!</definedName>
    <definedName name="Ref_60">#REF!</definedName>
    <definedName name="Ref_61">#REF!</definedName>
    <definedName name="Ref_62">'[13]Costo+Reexp'!#REF!</definedName>
    <definedName name="Ref_63">'[13]Costo+Reexp'!#REF!</definedName>
    <definedName name="Ref_64">#REF!</definedName>
    <definedName name="Ref_65">#REF!</definedName>
    <definedName name="Ref_66">'[13]Costo+Reexp'!#REF!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79">'[13]Costo+Reexp'!#REF!</definedName>
    <definedName name="Ref_8">#REF!</definedName>
    <definedName name="Ref_80">'[13]Costo+Reexp'!#REF!</definedName>
    <definedName name="Ref_84">[14]Costo!#REF!</definedName>
    <definedName name="Ref_85">[14]Costo!#REF!</definedName>
    <definedName name="Ref_86">[14]Costo!#REF!</definedName>
    <definedName name="Ref_87">[14]Costo!#REF!</definedName>
    <definedName name="Ref_88">[14]Costo!#REF!</definedName>
    <definedName name="Ref_89">[14]Costo!#REF!</definedName>
    <definedName name="Ref_9">#REF!</definedName>
    <definedName name="Ref_98">[14]Costo!#REF!</definedName>
    <definedName name="rev_fore">#REF!</definedName>
    <definedName name="rev_month">#REF!</definedName>
    <definedName name="rev_ytd">#REF!</definedName>
    <definedName name="S_AcctDes">#REF!</definedName>
    <definedName name="S_AcctNum">#REF!</definedName>
    <definedName name="S_Adjust">#REF!</definedName>
    <definedName name="S_Adjust_Data">[9]Lead!$I$1:$I$43</definedName>
    <definedName name="S_CY_Beg">#REF!</definedName>
    <definedName name="S_CY_End">#REF!</definedName>
    <definedName name="S_Diff_Amt">#REF!</definedName>
    <definedName name="S_Diff_Pct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PY_End">#REF!</definedName>
    <definedName name="S_PY_End_Data">[9]Lead!$N$1:$N$43</definedName>
    <definedName name="S_Total">#REF!</definedName>
    <definedName name="S_Total1">#REF!</definedName>
    <definedName name="S_Total2">#REF!</definedName>
    <definedName name="S_Total3">#REF!</definedName>
    <definedName name="SAL">#REF!</definedName>
    <definedName name="SAPBEXhrIndnt">1</definedName>
    <definedName name="SAPBEXrevision">9</definedName>
    <definedName name="SAPBEXsysID">"BL6"</definedName>
    <definedName name="SAPBEXwbID">"3US4CVJVAYMOMMXFQAGC0TC14"</definedName>
    <definedName name="Scale">[16]Options!$B$1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E">'[6]VEG. $ NEC'!#REF!</definedName>
    <definedName name="seppg" localSheetId="0">#REF!</definedName>
    <definedName name="seppg">#REF!</definedName>
    <definedName name="SHARED_FORMULA_0">#REF!</definedName>
    <definedName name="SHARED_FORMULA_1">#REF!</definedName>
    <definedName name="SHARED_FORMULA_10">#REF!</definedName>
    <definedName name="SHARED_FORMULA_100">#REF!</definedName>
    <definedName name="SHARED_FORMULA_101">#REF!</definedName>
    <definedName name="SHARED_FORMULA_102">#REF!</definedName>
    <definedName name="SHARED_FORMULA_103">#REF!</definedName>
    <definedName name="SHARED_FORMULA_104">#REF!</definedName>
    <definedName name="SHARED_FORMULA_105">#REF!</definedName>
    <definedName name="SHARED_FORMULA_106">#REF!</definedName>
    <definedName name="SHARED_FORMULA_107">#REF!</definedName>
    <definedName name="SHARED_FORMULA_108">#REF!</definedName>
    <definedName name="SHARED_FORMULA_109">#REF!</definedName>
    <definedName name="SHARED_FORMULA_11">#REF!</definedName>
    <definedName name="SHARED_FORMULA_110">#REF!</definedName>
    <definedName name="SHARED_FORMULA_111">#REF!</definedName>
    <definedName name="SHARED_FORMULA_112">#REF!</definedName>
    <definedName name="SHARED_FORMULA_113">#REF!</definedName>
    <definedName name="SHARED_FORMULA_114">#REF!</definedName>
    <definedName name="SHARED_FORMULA_115">#REF!</definedName>
    <definedName name="SHARED_FORMULA_116">#REF!</definedName>
    <definedName name="SHARED_FORMULA_117">#REF!</definedName>
    <definedName name="SHARED_FORMULA_118">#REF!</definedName>
    <definedName name="SHARED_FORMULA_119">#REF!</definedName>
    <definedName name="SHARED_FORMULA_12">#REF!</definedName>
    <definedName name="SHARED_FORMULA_120">#REF!</definedName>
    <definedName name="SHARED_FORMULA_121">#REF!</definedName>
    <definedName name="SHARED_FORMULA_122">#REF!</definedName>
    <definedName name="SHARED_FORMULA_123">#REF!</definedName>
    <definedName name="SHARED_FORMULA_124">#REF!</definedName>
    <definedName name="SHARED_FORMULA_125">#REF!</definedName>
    <definedName name="SHARED_FORMULA_126">#REF!</definedName>
    <definedName name="SHARED_FORMULA_127">#REF!</definedName>
    <definedName name="SHARED_FORMULA_128">#REF!</definedName>
    <definedName name="SHARED_FORMULA_129">#REF!</definedName>
    <definedName name="SHARED_FORMULA_13">#REF!</definedName>
    <definedName name="SHARED_FORMULA_130">#REF!</definedName>
    <definedName name="SHARED_FORMULA_131">#REF!</definedName>
    <definedName name="SHARED_FORMULA_132">#REF!</definedName>
    <definedName name="SHARED_FORMULA_133">#REF!</definedName>
    <definedName name="SHARED_FORMULA_134">#REF!</definedName>
    <definedName name="SHARED_FORMULA_135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63">#REF!</definedName>
    <definedName name="SHARED_FORMULA_64">#REF!</definedName>
    <definedName name="SHARED_FORMULA_65">#REF!</definedName>
    <definedName name="SHARED_FORMULA_66">#REF!</definedName>
    <definedName name="SHARED_FORMULA_67">#REF!</definedName>
    <definedName name="SHARED_FORMULA_68">#REF!</definedName>
    <definedName name="SHARED_FORMULA_69">#REF!</definedName>
    <definedName name="SHARED_FORMULA_7">#REF!</definedName>
    <definedName name="SHARED_FORMULA_70">#REF!</definedName>
    <definedName name="SHARED_FORMULA_71">#REF!</definedName>
    <definedName name="SHARED_FORMULA_72">#REF!</definedName>
    <definedName name="SHARED_FORMULA_73">#REF!</definedName>
    <definedName name="SHARED_FORMULA_74">#REF!</definedName>
    <definedName name="SHARED_FORMULA_75">#REF!</definedName>
    <definedName name="SHARED_FORMULA_76">#REF!</definedName>
    <definedName name="SHARED_FORMULA_77">#REF!</definedName>
    <definedName name="SHARED_FORMULA_78">#REF!</definedName>
    <definedName name="SHARED_FORMULA_79">#REF!</definedName>
    <definedName name="SHARED_FORMULA_8">#REF!</definedName>
    <definedName name="SHARED_FORMULA_80">#REF!</definedName>
    <definedName name="SHARED_FORMULA_81">#REF!</definedName>
    <definedName name="SHARED_FORMULA_82">#REF!</definedName>
    <definedName name="SHARED_FORMULA_83">#REF!</definedName>
    <definedName name="SHARED_FORMULA_84">#REF!</definedName>
    <definedName name="SHARED_FORMULA_85">#REF!</definedName>
    <definedName name="SHARED_FORMULA_86">#REF!</definedName>
    <definedName name="SHARED_FORMULA_87">#REF!</definedName>
    <definedName name="SHARED_FORMULA_88">#REF!</definedName>
    <definedName name="SHARED_FORMULA_89">#REF!</definedName>
    <definedName name="SHARED_FORMULA_9">#REF!</definedName>
    <definedName name="SHARED_FORMULA_90">#REF!</definedName>
    <definedName name="SHARED_FORMULA_91">#REF!</definedName>
    <definedName name="SHARED_FORMULA_92">#REF!</definedName>
    <definedName name="SHARED_FORMULA_93">#REF!</definedName>
    <definedName name="SHARED_FORMULA_94">#REF!</definedName>
    <definedName name="SHARED_FORMULA_95">#REF!</definedName>
    <definedName name="SHARED_FORMULA_96">#REF!</definedName>
    <definedName name="SHARED_FORMULA_97">#REF!</definedName>
    <definedName name="SHARED_FORMULA_98">#REF!</definedName>
    <definedName name="SHARED_FORMULA_99">#REF!</definedName>
    <definedName name="sil" localSheetId="0">#REF!</definedName>
    <definedName name="sil">#REF!</definedName>
    <definedName name="Sin_nombre" localSheetId="0">#REF!</definedName>
    <definedName name="Sin_nombre">#REF!</definedName>
    <definedName name="Sin_nombre_3">#REF!</definedName>
    <definedName name="Tax_Rate">#REF!</definedName>
    <definedName name="TEST1">#REF!</definedName>
    <definedName name="TESTHKEY">#REF!</definedName>
    <definedName name="TESTKEYS">#REF!</definedName>
    <definedName name="TESTVKEY">#REF!</definedName>
    <definedName name="TextRefCopy1">'[13]Costo+Reexp'!#REF!</definedName>
    <definedName name="TextRefCopy1_15">#REF!</definedName>
    <definedName name="TextRefCopy1_16">#REF!</definedName>
    <definedName name="TextRefCopy1_2">#REF!</definedName>
    <definedName name="TextRefCopy1_3">#REF!</definedName>
    <definedName name="TextRefCopy10">#REF!</definedName>
    <definedName name="TextRefCopy10_15">#REF!</definedName>
    <definedName name="TextRefCopy10_16">#REF!</definedName>
    <definedName name="TextRefCopy10_2">#REF!</definedName>
    <definedName name="TextRefCopy10_3">#REF!</definedName>
    <definedName name="TextRefCopy11">#REF!</definedName>
    <definedName name="TextRefCopy11_15">#REF!</definedName>
    <definedName name="TextRefCopy11_16">#REF!</definedName>
    <definedName name="TextRefCopy11_2">#REF!</definedName>
    <definedName name="TextRefCopy11_3">#REF!</definedName>
    <definedName name="TextRefCopy12">#REF!</definedName>
    <definedName name="TextRefCopy12_15">#REF!</definedName>
    <definedName name="TextRefCopy12_16">#REF!</definedName>
    <definedName name="TextRefCopy12_2">#REF!</definedName>
    <definedName name="TextRefCopy12_3">#REF!</definedName>
    <definedName name="TextRefCopy13">#REF!</definedName>
    <definedName name="TextRefCopy13_15">#REF!</definedName>
    <definedName name="TextRefCopy13_16">#REF!</definedName>
    <definedName name="TextRefCopy13_2">#REF!</definedName>
    <definedName name="TextRefCopy13_3">#REF!</definedName>
    <definedName name="TextRefCopy14">#REF!</definedName>
    <definedName name="TextRefCopy15">'[17]Anexo 4'!#REF!</definedName>
    <definedName name="TextRefCopy15_15">#REF!</definedName>
    <definedName name="TextRefCopy15_16">#REF!</definedName>
    <definedName name="TextRefCopy15_2">#REF!</definedName>
    <definedName name="TextRefCopy15_3">#REF!</definedName>
    <definedName name="TextRefCopy16">'[13]Costo+Reexp'!#REF!</definedName>
    <definedName name="TextRefCopy17">'[13]Costo+Reexp'!#REF!</definedName>
    <definedName name="TextRefCopy18">'[13]Costo+Reexp'!#REF!</definedName>
    <definedName name="TextRefCopy2">'[13]Costo+Reexp'!#REF!</definedName>
    <definedName name="TextRefCopy2_15">#REF!</definedName>
    <definedName name="TextRefCopy2_16">#REF!</definedName>
    <definedName name="TextRefCopy2_2">#REF!</definedName>
    <definedName name="TextRefCopy2_3">#REF!</definedName>
    <definedName name="TextRefCopy20">'[13]Costo+Reexp'!#REF!</definedName>
    <definedName name="TextRefCopy21">'[13]Costo+Reexp'!#REF!</definedName>
    <definedName name="TextRefCopy22">'[13]Costo+Reexp'!#REF!</definedName>
    <definedName name="TextRefCopy24">#REF!</definedName>
    <definedName name="TextRefCopy25">#REF!</definedName>
    <definedName name="TextRefCopy28">#REF!</definedName>
    <definedName name="TextRefCopy29">#REF!</definedName>
    <definedName name="TextRefCopy3">'[13]Costo+Reexp'!#REF!</definedName>
    <definedName name="TextRefCopy3_15">#REF!</definedName>
    <definedName name="TextRefCopy3_16">#REF!</definedName>
    <definedName name="TextRefCopy3_2">#REF!</definedName>
    <definedName name="TextRefCopy3_3">#REF!</definedName>
    <definedName name="TextRefCopy30">#REF!</definedName>
    <definedName name="TextRefCopy31">#REF!</definedName>
    <definedName name="TextRefCopy32">'[18]Nota a los Estados Financieros'!#REF!</definedName>
    <definedName name="TextRefCopy34">#REF!</definedName>
    <definedName name="TextRefCopy39">#REF!</definedName>
    <definedName name="TextRefCopy4">'[13]Costo+Reexp'!#REF!</definedName>
    <definedName name="TextRefCopy4_15">#REF!</definedName>
    <definedName name="TextRefCopy4_16">#REF!</definedName>
    <definedName name="TextRefCopy4_2">#REF!</definedName>
    <definedName name="TextRefCopy4_3">#REF!</definedName>
    <definedName name="TextRefCopy42">#REF!</definedName>
    <definedName name="TextRefCopy43">[19]Detalle!$G$2</definedName>
    <definedName name="TextRefCopy44">'[20]Cálculo S. I.'!$U$55</definedName>
    <definedName name="TextRefCopy44_15">#REF!</definedName>
    <definedName name="TextRefCopy44_16">#REF!</definedName>
    <definedName name="TextRefCopy44_2">#REF!</definedName>
    <definedName name="TextRefCopy44_23">#REF!</definedName>
    <definedName name="TextRefCopy44_3">#REF!</definedName>
    <definedName name="TextRefCopy45">'[17]Anexo 4'!#REF!</definedName>
    <definedName name="TextRefCopy47">#REF!</definedName>
    <definedName name="TextRefCopy49">'[17]Anexo 4'!#REF!</definedName>
    <definedName name="TextRefCopy5">#REF!</definedName>
    <definedName name="TextRefCopy50">'[18]Deprec. {PPC}'!#REF!</definedName>
    <definedName name="TextRefCopy51">#REF!</definedName>
    <definedName name="TextRefCopy52">'[18]Deprec. {PPC}'!#REF!</definedName>
    <definedName name="TextRefCopy53">'[18]Deprec. {PPC}'!#REF!</definedName>
    <definedName name="TextRefCopy6">#REF!</definedName>
    <definedName name="TextRefCopy6_15">#REF!</definedName>
    <definedName name="TextRefCopy6_16">#REF!</definedName>
    <definedName name="TextRefCopy6_2">#REF!</definedName>
    <definedName name="TextRefCopy6_3">#REF!</definedName>
    <definedName name="TextRefCopy69">#REF!</definedName>
    <definedName name="TextRefCopy7">'[17]Anexo 4'!#REF!</definedName>
    <definedName name="TextRefCopy7_15">#REF!</definedName>
    <definedName name="TextRefCopy7_16">#REF!</definedName>
    <definedName name="TextRefCopy7_2">#REF!</definedName>
    <definedName name="TextRefCopy7_3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'[17]Anexo 4'!#REF!</definedName>
    <definedName name="TextRefCopy8_15">#REF!</definedName>
    <definedName name="TextRefCopy8_16">#REF!</definedName>
    <definedName name="TextRefCopy8_2">#REF!</definedName>
    <definedName name="TextRefCopy8_3">#REF!</definedName>
    <definedName name="TextRefCopy9">#REF!</definedName>
    <definedName name="TextRefCopy9_15">#REF!</definedName>
    <definedName name="TextRefCopy9_16">#REF!</definedName>
    <definedName name="TextRefCopy9_2">#REF!</definedName>
    <definedName name="TextRefCopy9_3">#REF!</definedName>
    <definedName name="TextRefCopyRangeCount">6</definedName>
    <definedName name="tg" localSheetId="0">DATE(YEAR([10]!Loan_Start),MONTH([10]!Loan_Start)+Payment_Number,DAY([10]!Loan_Start))</definedName>
    <definedName name="tg">DATE(YEAR(Loan_Start),MONTH(Loan_Start)+Payment_Number,DAY(Loan_Start))</definedName>
    <definedName name="th" localSheetId="0">DATE(YEAR([10]!Loan_Start),MONTH([10]!Loan_Start)+Payment_Number,DAY([10]!Loan_Start))</definedName>
    <definedName name="th">DATE(YEAR(Loan_Start),MONTH(Loan_Start)+Payment_Number,DAY(Loan_Start))</definedName>
    <definedName name="TIPO" localSheetId="0">#REF!</definedName>
    <definedName name="TIPO">#REF!</definedName>
    <definedName name="TN" localSheetId="0">DATE(YEAR([10]!Loan_Start),MONTH([10]!Loan_Start)+Payment_Number,DAY([10]!Loan_Start))</definedName>
    <definedName name="TN">DATE(YEAR(Loan_Start),MONTH(Loan_Start)+Payment_Number,DAY(Loan_Start))</definedName>
    <definedName name="Total_Amount" localSheetId="0">#REF!</definedName>
    <definedName name="Total_Amou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IF([10]!Loan_Amount*Interest_Rate*[10]!Loan_Years*[10]!Loan_Start&gt;0,1,0)</definedName>
    <definedName name="Values_Entered">IF(Loan_Amount*Interest_Rate*Loan_Years*Loan_Start&gt;0,1,0)</definedName>
    <definedName name="VC" localSheetId="0">#REF!</definedName>
    <definedName name="VC">#REF!</definedName>
    <definedName name="verito">2</definedName>
    <definedName name="VM" localSheetId="0">#REF!</definedName>
    <definedName name="VM">#REF!</definedName>
    <definedName name="W">[1]Datos!$A$6:$C$17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WW">#REF!</definedName>
    <definedName name="XREF_COLUMN_11">#REF!</definedName>
    <definedName name="XREF_COLUMN_13">#REF!</definedName>
    <definedName name="XREF_COLUMN_14">#REF!</definedName>
    <definedName name="XREF_COLUMN_16">'[21]Análisis IVA'!#REF!</definedName>
    <definedName name="XREF_COLUMN_17">'[21]Análisis IVA'!#REF!</definedName>
    <definedName name="XREF_COLUMN_18">'[21]Análisis IVA'!#REF!</definedName>
    <definedName name="XREF_COLUMN_19">#REF!</definedName>
    <definedName name="XREF_COLUMN_21">#REF!</definedName>
    <definedName name="XREF_COLUMN_22">#REF!</definedName>
    <definedName name="XREF_COLUMN_28">[22]Detalle!#REF!</definedName>
    <definedName name="XREF_COLUMN_29">[22]Detalle!#REF!</definedName>
    <definedName name="XREF_COLUMN_3">'[23]Análisis Ret Fuente'!#REF!</definedName>
    <definedName name="XREF_COLUMN_9">'[24]Varios dólares'!#REF!</definedName>
    <definedName name="XRefActiveRow">#REF!</definedName>
    <definedName name="XRefColumnsCount">18</definedName>
    <definedName name="XRefCopy1Row">[21]XREF!#REF!</definedName>
    <definedName name="XRefCopy35Row">#REF!</definedName>
    <definedName name="XRefCopy36Row">#REF!</definedName>
    <definedName name="XRefCopy37Row">#REF!</definedName>
    <definedName name="XRefCopy38Row">#REF!</definedName>
    <definedName name="XRefCopy39Row">#REF!</definedName>
    <definedName name="XRefCopy3Row">[25]XREF!#REF!</definedName>
    <definedName name="XRefCopy43Row">#REF!</definedName>
    <definedName name="XRefCopy4Row">#REF!</definedName>
    <definedName name="XRefCopy5">#REF!</definedName>
    <definedName name="XRefCopyRangeCount">1</definedName>
    <definedName name="XRefPaste10Row">[21]XREF!#REF!</definedName>
    <definedName name="XRefPaste11Row">[21]XREF!#REF!</definedName>
    <definedName name="XRefPaste14">#REF!</definedName>
    <definedName name="XRefPaste14Row">#REF!</definedName>
    <definedName name="XRefPaste16">#REF!</definedName>
    <definedName name="XRefPaste17">#REF!</definedName>
    <definedName name="XRefPaste18">#REF!</definedName>
    <definedName name="XRefPaste19">#REF!</definedName>
    <definedName name="XRefPaste1Row">#REF!</definedName>
    <definedName name="XRefPaste20">#REF!</definedName>
    <definedName name="XRefPaste21">#REF!</definedName>
    <definedName name="XRefPaste22">#REF!</definedName>
    <definedName name="XRefPaste22Row">#REF!</definedName>
    <definedName name="XRefPaste28">#REF!</definedName>
    <definedName name="XRefPaste29">#REF!</definedName>
    <definedName name="XRefPaste3">#REF!</definedName>
    <definedName name="XRefPaste31">#REF!</definedName>
    <definedName name="XRefPaste32">#REF!</definedName>
    <definedName name="XRefPaste33">#REF!</definedName>
    <definedName name="XRefPaste34">#REF!</definedName>
    <definedName name="XRefPaste35">#REF!</definedName>
    <definedName name="XRefPaste36">#REF!</definedName>
    <definedName name="XRefPaste37">#REF!</definedName>
    <definedName name="XRefPaste38">#REF!</definedName>
    <definedName name="XRefPaste39">#REF!</definedName>
    <definedName name="XRefPaste3Row">#REF!</definedName>
    <definedName name="XRefPaste4Row">[21]XREF!#REF!</definedName>
    <definedName name="XRefPaste9Row">[21]XREF!#REF!</definedName>
    <definedName name="XRefPasteRangeCount">22</definedName>
    <definedName name="XXX" localSheetId="0">OFFSET(Full_Print,0,0,[10]!Last_Row)</definedName>
    <definedName name="XXX">OFFSET(Full_Print,0,0,Last_Row)</definedName>
    <definedName name="Z">[26]A!$1:$14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1" roundtripDataChecksum="DQNdwEIqt5gz/lMxubtifhQPtghNnbPr/MP7Ug0H8uQ="/>
    </ext>
  </extLst>
</workbook>
</file>

<file path=xl/calcChain.xml><?xml version="1.0" encoding="utf-8"?>
<calcChain xmlns="http://schemas.openxmlformats.org/spreadsheetml/2006/main">
  <c r="P54" i="1" l="1"/>
  <c r="D79" i="1" l="1"/>
  <c r="G102" i="1"/>
  <c r="G100" i="1"/>
  <c r="G99" i="1"/>
  <c r="G98" i="1"/>
  <c r="G97" i="1"/>
  <c r="G96" i="1"/>
  <c r="G95" i="1"/>
  <c r="G94" i="1"/>
  <c r="K54" i="1"/>
  <c r="D67" i="1" s="1"/>
  <c r="J54" i="1"/>
  <c r="I54" i="1"/>
  <c r="H54" i="1"/>
  <c r="O52" i="1"/>
  <c r="Q52" i="1" s="1"/>
  <c r="P52" i="1" s="1"/>
  <c r="M52" i="1"/>
  <c r="O51" i="1"/>
  <c r="R51" i="1" s="1"/>
  <c r="M51" i="1"/>
  <c r="O50" i="1"/>
  <c r="R50" i="1" s="1"/>
  <c r="M50" i="1"/>
  <c r="O49" i="1"/>
  <c r="Q49" i="1" s="1"/>
  <c r="P49" i="1" s="1"/>
  <c r="M49" i="1"/>
  <c r="O48" i="1"/>
  <c r="Q48" i="1" s="1"/>
  <c r="P48" i="1" s="1"/>
  <c r="M48" i="1"/>
  <c r="O47" i="1"/>
  <c r="R47" i="1" s="1"/>
  <c r="M47" i="1"/>
  <c r="O46" i="1"/>
  <c r="R46" i="1" s="1"/>
  <c r="M46" i="1"/>
  <c r="O45" i="1"/>
  <c r="Q45" i="1" s="1"/>
  <c r="P45" i="1" s="1"/>
  <c r="M45" i="1"/>
  <c r="O44" i="1"/>
  <c r="Q44" i="1" s="1"/>
  <c r="P44" i="1" s="1"/>
  <c r="M44" i="1"/>
  <c r="O43" i="1"/>
  <c r="R43" i="1" s="1"/>
  <c r="M43" i="1"/>
  <c r="O42" i="1"/>
  <c r="Q42" i="1" s="1"/>
  <c r="P42" i="1" s="1"/>
  <c r="M42" i="1"/>
  <c r="O41" i="1"/>
  <c r="Q41" i="1" s="1"/>
  <c r="P41" i="1" s="1"/>
  <c r="M41" i="1"/>
  <c r="O40" i="1"/>
  <c r="Q40" i="1" s="1"/>
  <c r="P40" i="1" s="1"/>
  <c r="M40" i="1"/>
  <c r="O39" i="1"/>
  <c r="R39" i="1" s="1"/>
  <c r="M39" i="1"/>
  <c r="O38" i="1"/>
  <c r="Q38" i="1" s="1"/>
  <c r="Q54" i="1" s="1"/>
  <c r="M38" i="1"/>
  <c r="E67" i="1" l="1"/>
  <c r="E68" i="1"/>
  <c r="F68" i="1" s="1"/>
  <c r="R42" i="1"/>
  <c r="Q39" i="1"/>
  <c r="P39" i="1" s="1"/>
  <c r="R38" i="1"/>
  <c r="R54" i="1" s="1"/>
  <c r="Q43" i="1"/>
  <c r="P43" i="1" s="1"/>
  <c r="R41" i="1"/>
  <c r="Q46" i="1"/>
  <c r="P46" i="1" s="1"/>
  <c r="R45" i="1"/>
  <c r="Q47" i="1"/>
  <c r="P47" i="1" s="1"/>
  <c r="Q50" i="1"/>
  <c r="P50" i="1" s="1"/>
  <c r="M54" i="1"/>
  <c r="R49" i="1"/>
  <c r="Q51" i="1"/>
  <c r="P51" i="1" s="1"/>
  <c r="P38" i="1"/>
  <c r="R40" i="1"/>
  <c r="R44" i="1"/>
  <c r="R48" i="1"/>
  <c r="R52" i="1"/>
  <c r="F67" i="1"/>
  <c r="D81" i="1" l="1"/>
  <c r="D82" i="1" s="1"/>
  <c r="F70" i="1"/>
</calcChain>
</file>

<file path=xl/sharedStrings.xml><?xml version="1.0" encoding="utf-8"?>
<sst xmlns="http://schemas.openxmlformats.org/spreadsheetml/2006/main" count="126" uniqueCount="87">
  <si>
    <t>Preparado por:</t>
  </si>
  <si>
    <t>Revisado por:</t>
  </si>
  <si>
    <t>Ref.</t>
  </si>
  <si>
    <t>XX</t>
  </si>
  <si>
    <t>5.04</t>
  </si>
  <si>
    <t>COMPAÑÍA MODELO S.A.</t>
  </si>
  <si>
    <t>RECÁLCULO DE LA DEPRECIACIÓN PROPIEDADES DE INVERSIÓN</t>
  </si>
  <si>
    <t>AL 31 DE DICIEMBRE DE 20XX</t>
  </si>
  <si>
    <t>FECHA DE CORTE: _/_/20XX</t>
  </si>
  <si>
    <t>Objetivo:</t>
  </si>
  <si>
    <t>Verificar la valuación de la cuenta de propiedades de inversión efectuada por la Compañía al _/_/20XX</t>
  </si>
  <si>
    <t>Base de decisión: Materialidad</t>
  </si>
  <si>
    <t xml:space="preserve"> </t>
  </si>
  <si>
    <t>Preliminar</t>
  </si>
  <si>
    <t>Final</t>
  </si>
  <si>
    <t>General</t>
  </si>
  <si>
    <t>XXX.XXX</t>
  </si>
  <si>
    <t>Desempeño</t>
  </si>
  <si>
    <t>Errores Triviales</t>
  </si>
  <si>
    <t>Procedimientos:</t>
  </si>
  <si>
    <t>1.-</t>
  </si>
  <si>
    <t>Solicitar a la Compañía los estados financieros al _/_/20XX.</t>
  </si>
  <si>
    <t>2.-</t>
  </si>
  <si>
    <t>Solicitar a la Compañía el detalle de las propiedades de inversión al _/_/20XX.</t>
  </si>
  <si>
    <t>3.-</t>
  </si>
  <si>
    <t>4.-</t>
  </si>
  <si>
    <t>Conciliar los saldos del detalle y del recálculo con estados financieros.</t>
  </si>
  <si>
    <t>5.-</t>
  </si>
  <si>
    <t>Documentar el papel de trabajo y concluir en base al objetivo.</t>
  </si>
  <si>
    <t>Desarrollo:</t>
  </si>
  <si>
    <t>_/_/20XX</t>
  </si>
  <si>
    <t>Cumplimiento de la política contable</t>
  </si>
  <si>
    <t>Código cuenta contable</t>
  </si>
  <si>
    <t>Nombre cuenta contable</t>
  </si>
  <si>
    <t>Descripción del bien</t>
  </si>
  <si>
    <t>Grupo</t>
  </si>
  <si>
    <t>Años de vida útil</t>
  </si>
  <si>
    <t>Fecha de compra</t>
  </si>
  <si>
    <t>Costo</t>
  </si>
  <si>
    <t>Valor residual</t>
  </si>
  <si>
    <t>Depreciación mensual</t>
  </si>
  <si>
    <t>Depreciación acumulada</t>
  </si>
  <si>
    <t>c</t>
  </si>
  <si>
    <t>Activos totalmente depreciados</t>
  </si>
  <si>
    <t>u</t>
  </si>
  <si>
    <t>Depreciación anual</t>
  </si>
  <si>
    <t>Gasto del período</t>
  </si>
  <si>
    <t>Depreciación acumulada al _/_/_20XX</t>
  </si>
  <si>
    <t>Vida útil asignada</t>
  </si>
  <si>
    <t>Cumple con lo establecido en la política contable</t>
  </si>
  <si>
    <t>Comentarios</t>
  </si>
  <si>
    <t>No</t>
  </si>
  <si>
    <t>Saldo según EEFF al _/_/20xx</t>
  </si>
  <si>
    <t>Saldo según detalle</t>
  </si>
  <si>
    <t>Diferencia</t>
  </si>
  <si>
    <t>p/t 1600</t>
  </si>
  <si>
    <t>Saldo según recálculo</t>
  </si>
  <si>
    <t>Realizar una tabla dinámica, con el código de la cuenta contable, nombre de la cuenta, grupo y el recálculo de la depreciación acumulada para conciliar con Estados Financieros</t>
  </si>
  <si>
    <t>Marcas de auditoría:</t>
  </si>
  <si>
    <t>Información proporcionada por el cliente</t>
  </si>
  <si>
    <t>Cálculos realizados por auditoria</t>
  </si>
  <si>
    <t xml:space="preserve">Sumatoria 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</si>
  <si>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</si>
  <si>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</si>
  <si>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</si>
  <si>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</si>
  <si>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</si>
  <si>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</si>
  <si>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</si>
  <si>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</si>
  <si>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</si>
  <si>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</si>
  <si>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</si>
  <si>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</si>
  <si>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***Si no cumple con la política contable conversar con los responsables y dejar el respectivo comentario</t>
  </si>
  <si>
    <t>SI</t>
  </si>
  <si>
    <t>NO</t>
  </si>
  <si>
    <t>***Realizar el siguiente procedimiento si la medición de las Propiedades de Inversión se realizan bajo el Modelo de costo, caso contrario si es medido a valor razonable este procedimiento no aplica</t>
  </si>
  <si>
    <t>Cruce con estados financieros</t>
  </si>
  <si>
    <t>*** (Concluir en función al objetivo)</t>
  </si>
  <si>
    <t>2) Cruce recálculo gasto depreciación vs estado de resultados</t>
  </si>
  <si>
    <t>Realizar el recálculo de la depreciación acumulada y mensual.</t>
  </si>
  <si>
    <t>3) Recálculo depreciación acumulada vs estado de situación financiera</t>
  </si>
  <si>
    <t>Verificaciones:</t>
  </si>
  <si>
    <t>1) Cruce detalle costo y depreciación acumulada vs estado de situación financiera</t>
  </si>
  <si>
    <t>p/t 5</t>
  </si>
  <si>
    <t>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</si>
</sst>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540A]dd\-mmm\-yy"/>
    <numFmt numFmtId="165" formatCode="_(* #,##0_);_(* \(#,##0\);_(* &quot;-&quot;_);_(@_)"/>
    <numFmt numFmtId="166" formatCode="d\-mmm\-yyyy"/>
    <numFmt numFmtId="167" formatCode="_(* #,##0_);_(* \(#,##0\);_(* &quot;-&quot;??_);_(@_)"/>
    <numFmt numFmtId="168" formatCode="_(* #,##0.00_);_(* \(#,##0.00\);_(* &quot;-&quot;??_);_(@_)"/>
    <numFmt numFmtId="169" formatCode="_(* #,##0.0_);_(* \(#,##0.0\);_(* &quot;-&quot;??_);_(@_)"/>
    <numFmt numFmtId="170" formatCode="_(* #,##0.00_);_(* \(#,##0.00\);_(* &quot;-&quot;_);_(@_)"/>
    <numFmt numFmtId="171" formatCode="_-* #.##000\ _€_-;[Red]\-* #.##000\ _€_-;_-* &quot;-&quot;??\ _€_-;_-@"/>
  </numFmts>
  <fonts count="20">
    <font>
      <sz val="11"/>
      <color theme="1"/>
      <name val="Calibri"/>
      <scheme val="minor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rgb="FFFF0000"/>
      <name val="Tahoma"/>
      <family val="2"/>
    </font>
    <font>
      <b/>
      <i/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0"/>
      <color rgb="FF0000FF"/>
      <name val="Tahoma"/>
      <family val="2"/>
    </font>
    <font>
      <b/>
      <sz val="10"/>
      <color rgb="FF44546A"/>
      <name val="Tahoma"/>
      <family val="2"/>
    </font>
    <font>
      <sz val="10"/>
      <color rgb="FF000000"/>
      <name val="Tahoma"/>
      <family val="2"/>
    </font>
    <font>
      <b/>
      <sz val="10"/>
      <color rgb="FFFF0000"/>
      <name val="Arimo"/>
    </font>
    <font>
      <sz val="10"/>
      <color rgb="FFFF0000"/>
      <name val="Tahoma"/>
      <family val="2"/>
    </font>
    <font>
      <b/>
      <sz val="10"/>
      <color theme="0"/>
      <name val="Tahoma"/>
      <family val="2"/>
    </font>
    <font>
      <b/>
      <sz val="10"/>
      <color rgb="FF0000FF"/>
      <name val="Tahoma"/>
      <family val="2"/>
    </font>
    <font>
      <sz val="10"/>
      <color theme="0"/>
      <name val="Tahoma"/>
      <family val="2"/>
    </font>
    <font>
      <sz val="10"/>
      <color rgb="FF002060"/>
      <name val="Tahoma"/>
      <family val="2"/>
    </font>
    <font>
      <sz val="10"/>
      <color theme="1"/>
      <name val="Arimo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8" tint="0.39997558519241921"/>
        <bgColor rgb="FFD9E2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1E4E79"/>
      </bottom>
      <diagonal/>
    </border>
    <border>
      <left/>
      <right/>
      <top/>
      <bottom style="thick">
        <color rgb="FF1E4E7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9" fillId="0" borderId="3"/>
  </cellStyleXfs>
  <cellXfs count="143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3" borderId="3" xfId="0" applyFont="1" applyFill="1" applyBorder="1"/>
    <xf numFmtId="0" fontId="6" fillId="4" borderId="3" xfId="0" applyFont="1" applyFill="1" applyBorder="1"/>
    <xf numFmtId="0" fontId="1" fillId="3" borderId="3" xfId="0" applyFont="1" applyFill="1" applyBorder="1" applyAlignment="1">
      <alignment vertical="center"/>
    </xf>
    <xf numFmtId="164" fontId="1" fillId="3" borderId="3" xfId="0" applyNumberFormat="1" applyFont="1" applyFill="1" applyBorder="1"/>
    <xf numFmtId="0" fontId="1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4" borderId="3" xfId="0" applyFont="1" applyFill="1" applyBorder="1"/>
    <xf numFmtId="0" fontId="1" fillId="0" borderId="0" xfId="0" applyFont="1" applyAlignment="1">
      <alignment horizontal="right"/>
    </xf>
    <xf numFmtId="14" fontId="1" fillId="0" borderId="0" xfId="0" applyNumberFormat="1" applyFont="1"/>
    <xf numFmtId="43" fontId="1" fillId="0" borderId="0" xfId="0" applyNumberFormat="1" applyFont="1"/>
    <xf numFmtId="0" fontId="1" fillId="0" borderId="2" xfId="0" applyFont="1" applyBorder="1"/>
    <xf numFmtId="165" fontId="9" fillId="3" borderId="3" xfId="0" applyNumberFormat="1" applyFont="1" applyFill="1" applyBorder="1" applyAlignment="1">
      <alignment horizontal="center"/>
    </xf>
    <xf numFmtId="0" fontId="10" fillId="4" borderId="3" xfId="0" applyFont="1" applyFill="1" applyBorder="1"/>
    <xf numFmtId="14" fontId="5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11" fillId="3" borderId="3" xfId="0" applyNumberFormat="1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43" fontId="1" fillId="0" borderId="2" xfId="0" applyNumberFormat="1" applyFont="1" applyBorder="1"/>
    <xf numFmtId="0" fontId="10" fillId="0" borderId="2" xfId="0" applyFont="1" applyBorder="1"/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/>
    <xf numFmtId="1" fontId="1" fillId="3" borderId="2" xfId="0" applyNumberFormat="1" applyFont="1" applyFill="1" applyBorder="1" applyAlignment="1">
      <alignment horizontal="center" wrapText="1"/>
    </xf>
    <xf numFmtId="168" fontId="1" fillId="0" borderId="0" xfId="0" applyNumberFormat="1" applyFont="1" applyAlignment="1">
      <alignment horizontal="right" vertical="top" wrapText="1"/>
    </xf>
    <xf numFmtId="168" fontId="1" fillId="3" borderId="3" xfId="0" applyNumberFormat="1" applyFont="1" applyFill="1" applyBorder="1" applyAlignment="1">
      <alignment horizontal="right" vertical="top" wrapText="1"/>
    </xf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168" fontId="1" fillId="0" borderId="0" xfId="0" applyNumberFormat="1" applyFont="1" applyAlignment="1">
      <alignment wrapText="1"/>
    </xf>
    <xf numFmtId="168" fontId="1" fillId="3" borderId="3" xfId="0" applyNumberFormat="1" applyFont="1" applyFill="1" applyBorder="1" applyAlignment="1">
      <alignment wrapText="1"/>
    </xf>
    <xf numFmtId="167" fontId="3" fillId="0" borderId="0" xfId="0" applyNumberFormat="1" applyFont="1"/>
    <xf numFmtId="49" fontId="1" fillId="3" borderId="3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 wrapText="1"/>
    </xf>
    <xf numFmtId="15" fontId="1" fillId="0" borderId="0" xfId="0" applyNumberFormat="1" applyFont="1" applyAlignment="1">
      <alignment horizontal="center" wrapText="1"/>
    </xf>
    <xf numFmtId="168" fontId="1" fillId="0" borderId="0" xfId="0" applyNumberFormat="1" applyFont="1"/>
    <xf numFmtId="167" fontId="3" fillId="3" borderId="3" xfId="0" applyNumberFormat="1" applyFont="1" applyFill="1" applyBorder="1"/>
    <xf numFmtId="165" fontId="10" fillId="0" borderId="0" xfId="0" applyNumberFormat="1" applyFont="1" applyAlignment="1">
      <alignment horizontal="left"/>
    </xf>
    <xf numFmtId="168" fontId="1" fillId="0" borderId="12" xfId="0" applyNumberFormat="1" applyFont="1" applyBorder="1"/>
    <xf numFmtId="43" fontId="1" fillId="0" borderId="12" xfId="0" applyNumberFormat="1" applyFont="1" applyBorder="1"/>
    <xf numFmtId="0" fontId="12" fillId="3" borderId="3" xfId="0" applyFont="1" applyFill="1" applyBorder="1" applyAlignment="1">
      <alignment horizontal="center"/>
    </xf>
    <xf numFmtId="43" fontId="1" fillId="3" borderId="3" xfId="0" applyNumberFormat="1" applyFont="1" applyFill="1" applyBorder="1"/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9" fontId="1" fillId="3" borderId="2" xfId="0" applyNumberFormat="1" applyFont="1" applyFill="1" applyBorder="1"/>
    <xf numFmtId="168" fontId="2" fillId="3" borderId="2" xfId="0" applyNumberFormat="1" applyFont="1" applyFill="1" applyBorder="1" applyAlignment="1">
      <alignment horizontal="center"/>
    </xf>
    <xf numFmtId="43" fontId="2" fillId="3" borderId="2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169" fontId="1" fillId="3" borderId="11" xfId="0" applyNumberFormat="1" applyFont="1" applyFill="1" applyBorder="1"/>
    <xf numFmtId="169" fontId="1" fillId="3" borderId="3" xfId="0" applyNumberFormat="1" applyFont="1" applyFill="1" applyBorder="1"/>
    <xf numFmtId="0" fontId="3" fillId="3" borderId="3" xfId="0" applyFont="1" applyFill="1" applyBorder="1" applyAlignment="1">
      <alignment horizontal="left"/>
    </xf>
    <xf numFmtId="169" fontId="1" fillId="0" borderId="0" xfId="0" applyNumberFormat="1" applyFont="1"/>
    <xf numFmtId="0" fontId="1" fillId="3" borderId="3" xfId="0" applyFont="1" applyFill="1" applyBorder="1" applyAlignment="1">
      <alignment horizontal="right"/>
    </xf>
    <xf numFmtId="167" fontId="1" fillId="3" borderId="3" xfId="0" applyNumberFormat="1" applyFont="1" applyFill="1" applyBorder="1"/>
    <xf numFmtId="0" fontId="10" fillId="3" borderId="3" xfId="0" applyFont="1" applyFill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170" fontId="1" fillId="3" borderId="2" xfId="0" applyNumberFormat="1" applyFont="1" applyFill="1" applyBorder="1"/>
    <xf numFmtId="43" fontId="14" fillId="3" borderId="2" xfId="0" applyNumberFormat="1" applyFont="1" applyFill="1" applyBorder="1" applyAlignment="1">
      <alignment horizontal="center"/>
    </xf>
    <xf numFmtId="165" fontId="13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  <xf numFmtId="170" fontId="1" fillId="3" borderId="3" xfId="0" applyNumberFormat="1" applyFont="1" applyFill="1" applyBorder="1"/>
    <xf numFmtId="43" fontId="2" fillId="3" borderId="3" xfId="0" applyNumberFormat="1" applyFont="1" applyFill="1" applyBorder="1" applyAlignment="1">
      <alignment horizontal="center"/>
    </xf>
    <xf numFmtId="43" fontId="5" fillId="0" borderId="0" xfId="0" applyNumberFormat="1" applyFont="1"/>
    <xf numFmtId="0" fontId="12" fillId="0" borderId="0" xfId="0" applyFont="1" applyAlignment="1">
      <alignment horizontal="left"/>
    </xf>
    <xf numFmtId="3" fontId="11" fillId="0" borderId="0" xfId="0" applyNumberFormat="1" applyFont="1" applyAlignment="1">
      <alignment horizontal="center" vertical="center" wrapText="1"/>
    </xf>
    <xf numFmtId="9" fontId="1" fillId="0" borderId="0" xfId="0" applyNumberFormat="1" applyFont="1"/>
    <xf numFmtId="0" fontId="15" fillId="0" borderId="0" xfId="0" applyFont="1"/>
    <xf numFmtId="165" fontId="3" fillId="0" borderId="0" xfId="0" applyNumberFormat="1" applyFont="1" applyAlignment="1">
      <alignment horizontal="right"/>
    </xf>
    <xf numFmtId="165" fontId="8" fillId="3" borderId="3" xfId="0" applyNumberFormat="1" applyFont="1" applyFill="1" applyBorder="1" applyAlignment="1">
      <alignment horizontal="left"/>
    </xf>
    <xf numFmtId="0" fontId="3" fillId="0" borderId="0" xfId="0" applyFont="1"/>
    <xf numFmtId="0" fontId="12" fillId="3" borderId="3" xfId="0" applyFont="1" applyFill="1" applyBorder="1"/>
    <xf numFmtId="165" fontId="3" fillId="3" borderId="3" xfId="0" applyNumberFormat="1" applyFont="1" applyFill="1" applyBorder="1" applyAlignment="1">
      <alignment horizontal="right"/>
    </xf>
    <xf numFmtId="0" fontId="5" fillId="3" borderId="3" xfId="0" applyFont="1" applyFill="1" applyBorder="1"/>
    <xf numFmtId="167" fontId="5" fillId="3" borderId="3" xfId="0" applyNumberFormat="1" applyFont="1" applyFill="1" applyBorder="1"/>
    <xf numFmtId="1" fontId="1" fillId="3" borderId="3" xfId="0" applyNumberFormat="1" applyFont="1" applyFill="1" applyBorder="1" applyAlignment="1">
      <alignment horizontal="left"/>
    </xf>
    <xf numFmtId="171" fontId="1" fillId="3" borderId="3" xfId="0" applyNumberFormat="1" applyFont="1" applyFill="1" applyBorder="1"/>
    <xf numFmtId="168" fontId="1" fillId="3" borderId="3" xfId="0" applyNumberFormat="1" applyFont="1" applyFill="1" applyBorder="1"/>
    <xf numFmtId="0" fontId="1" fillId="0" borderId="0" xfId="0" applyFont="1" applyAlignment="1">
      <alignment horizontal="left"/>
    </xf>
    <xf numFmtId="167" fontId="10" fillId="3" borderId="3" xfId="0" applyNumberFormat="1" applyFont="1" applyFill="1" applyBorder="1"/>
    <xf numFmtId="0" fontId="10" fillId="0" borderId="3" xfId="0" applyFont="1" applyBorder="1"/>
    <xf numFmtId="0" fontId="1" fillId="0" borderId="3" xfId="0" applyFont="1" applyBorder="1"/>
    <xf numFmtId="0" fontId="16" fillId="0" borderId="0" xfId="0" applyFont="1" applyAlignment="1"/>
    <xf numFmtId="0" fontId="17" fillId="0" borderId="0" xfId="0" applyFont="1"/>
    <xf numFmtId="0" fontId="6" fillId="0" borderId="0" xfId="0" applyFont="1"/>
    <xf numFmtId="0" fontId="6" fillId="3" borderId="3" xfId="0" applyFont="1" applyFill="1" applyBorder="1"/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horizontal="center" wrapText="1"/>
    </xf>
    <xf numFmtId="43" fontId="1" fillId="3" borderId="3" xfId="0" applyNumberFormat="1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43" fontId="1" fillId="3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10" fillId="3" borderId="3" xfId="0" applyFont="1" applyFill="1" applyBorder="1"/>
    <xf numFmtId="0" fontId="13" fillId="0" borderId="0" xfId="0" applyFont="1" applyAlignment="1">
      <alignment vertical="center" wrapText="1"/>
    </xf>
    <xf numFmtId="0" fontId="10" fillId="8" borderId="0" xfId="0" applyFont="1" applyFill="1"/>
    <xf numFmtId="14" fontId="1" fillId="0" borderId="2" xfId="0" applyNumberFormat="1" applyFont="1" applyBorder="1" applyAlignment="1">
      <alignment horizontal="center" wrapText="1"/>
    </xf>
    <xf numFmtId="0" fontId="3" fillId="3" borderId="3" xfId="0" applyFont="1" applyFill="1" applyBorder="1" applyAlignment="1">
      <alignment horizontal="right"/>
    </xf>
    <xf numFmtId="0" fontId="3" fillId="3" borderId="11" xfId="0" applyFont="1" applyFill="1" applyBorder="1"/>
    <xf numFmtId="0" fontId="12" fillId="8" borderId="3" xfId="1" applyFont="1" applyFill="1" applyAlignment="1">
      <alignment horizontal="center"/>
    </xf>
    <xf numFmtId="0" fontId="12" fillId="8" borderId="3" xfId="1" applyFont="1" applyFill="1" applyAlignment="1">
      <alignment horizontal="left"/>
    </xf>
    <xf numFmtId="43" fontId="1" fillId="0" borderId="3" xfId="0" applyNumberFormat="1" applyFont="1" applyBorder="1"/>
    <xf numFmtId="0" fontId="2" fillId="6" borderId="6" xfId="0" applyFont="1" applyFill="1" applyBorder="1" applyAlignment="1">
      <alignment horizontal="center"/>
    </xf>
    <xf numFmtId="0" fontId="18" fillId="7" borderId="7" xfId="0" applyFont="1" applyFill="1" applyBorder="1"/>
    <xf numFmtId="0" fontId="18" fillId="7" borderId="8" xfId="0" applyFont="1" applyFill="1" applyBorder="1"/>
    <xf numFmtId="0" fontId="2" fillId="5" borderId="6" xfId="0" applyFont="1" applyFill="1" applyBorder="1" applyAlignment="1">
      <alignment horizontal="center"/>
    </xf>
    <xf numFmtId="0" fontId="18" fillId="0" borderId="7" xfId="0" applyFont="1" applyBorder="1"/>
    <xf numFmtId="0" fontId="18" fillId="0" borderId="8" xfId="0" applyFont="1" applyBorder="1"/>
  </cellXfs>
  <cellStyles count="2">
    <cellStyle name="Normal" xfId="0" builtinId="0"/>
    <cellStyle name="Normal 2 2 2 10" xfId="1" xr:uid="{AE845A4C-B952-47CC-AFF8-D596ABCD8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customschemas.google.com/relationships/workbookmetadata" Target="metadata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242887</xdr:colOff>
      <xdr:row>35</xdr:row>
      <xdr:rowOff>61913</xdr:rowOff>
    </xdr:from>
    <xdr:ext cx="63360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808825" y="5157788"/>
          <a:ext cx="6336000" cy="0"/>
          <a:chOff x="556507" y="3764125"/>
          <a:chExt cx="82773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>
            <a:stCxn id="4" idx="3"/>
          </xdr:cNvCxnSpPr>
        </xdr:nvCxnSpPr>
        <xdr:spPr>
          <a:xfrm>
            <a:off x="556507" y="3764125"/>
            <a:ext cx="8277300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301625</xdr:colOff>
      <xdr:row>35</xdr:row>
      <xdr:rowOff>12700</xdr:rowOff>
    </xdr:from>
    <xdr:ext cx="1612800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730250" y="5108575"/>
          <a:ext cx="16128000" cy="38100"/>
          <a:chOff x="0" y="3780000"/>
          <a:chExt cx="10692000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1228725</xdr:colOff>
      <xdr:row>90</xdr:row>
      <xdr:rowOff>28575</xdr:rowOff>
    </xdr:from>
    <xdr:ext cx="9801225" cy="114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-5400000">
          <a:off x="5305553" y="-1115850"/>
          <a:ext cx="80895" cy="9791700"/>
        </a:xfrm>
        <a:prstGeom prst="rightBrace">
          <a:avLst>
            <a:gd name="adj1" fmla="val 8333"/>
            <a:gd name="adj2" fmla="val 50733"/>
          </a:avLst>
        </a:prstGeom>
        <a:noFill/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1304925</xdr:colOff>
      <xdr:row>28</xdr:row>
      <xdr:rowOff>15873</xdr:rowOff>
    </xdr:from>
    <xdr:ext cx="38100" cy="10800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9586238" y="3968748"/>
          <a:ext cx="38100" cy="1080000"/>
          <a:chOff x="5346000" y="3218025"/>
          <a:chExt cx="0" cy="1123950"/>
        </a:xfrm>
      </xdr:grpSpPr>
      <xdr:cxnSp macro="">
        <xdr:nvCxn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5346000" y="3218025"/>
            <a:ext cx="0" cy="1123950"/>
          </a:xfrm>
          <a:prstGeom prst="straightConnector1">
            <a:avLst/>
          </a:prstGeom>
          <a:noFill/>
          <a:ln w="9525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1701078</xdr:colOff>
      <xdr:row>53</xdr:row>
      <xdr:rowOff>8803</xdr:rowOff>
    </xdr:from>
    <xdr:ext cx="207818" cy="207818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37266" y="7922491"/>
          <a:ext cx="207818" cy="20781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407987</xdr:colOff>
      <xdr:row>34</xdr:row>
      <xdr:rowOff>39687</xdr:rowOff>
    </xdr:from>
    <xdr:ext cx="227013" cy="242888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7987" y="4984750"/>
          <a:ext cx="227013" cy="242888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793750</xdr:colOff>
      <xdr:row>34</xdr:row>
      <xdr:rowOff>98425</xdr:rowOff>
    </xdr:from>
    <xdr:ext cx="214313" cy="203200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637500" y="5043488"/>
          <a:ext cx="214313" cy="2032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1335088</xdr:colOff>
      <xdr:row>53</xdr:row>
      <xdr:rowOff>15877</xdr:rowOff>
    </xdr:from>
    <xdr:ext cx="190500" cy="1905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01026" y="7929565"/>
          <a:ext cx="1905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2193925</xdr:colOff>
      <xdr:row>69</xdr:row>
      <xdr:rowOff>47625</xdr:rowOff>
    </xdr:from>
    <xdr:ext cx="209550" cy="209550"/>
    <xdr:pic>
      <xdr:nvPicPr>
        <xdr:cNvPr id="14" name="image9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53363" y="10683875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1185863</xdr:colOff>
      <xdr:row>78</xdr:row>
      <xdr:rowOff>17462</xdr:rowOff>
    </xdr:from>
    <xdr:ext cx="209550" cy="209550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2488" y="12336462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1743075</xdr:colOff>
      <xdr:row>100</xdr:row>
      <xdr:rowOff>114300</xdr:rowOff>
    </xdr:from>
    <xdr:ext cx="228600" cy="22860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633413</xdr:colOff>
      <xdr:row>34</xdr:row>
      <xdr:rowOff>84138</xdr:rowOff>
    </xdr:from>
    <xdr:ext cx="207962" cy="225425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310226" y="5029201"/>
          <a:ext cx="207962" cy="225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95252</xdr:colOff>
      <xdr:row>106</xdr:row>
      <xdr:rowOff>0</xdr:rowOff>
    </xdr:from>
    <xdr:ext cx="152400" cy="152400"/>
    <xdr:pic>
      <xdr:nvPicPr>
        <xdr:cNvPr id="18" name="image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2" y="16303625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79378</xdr:colOff>
      <xdr:row>107</xdr:row>
      <xdr:rowOff>0</xdr:rowOff>
    </xdr:from>
    <xdr:ext cx="161925" cy="152400"/>
    <xdr:pic>
      <xdr:nvPicPr>
        <xdr:cNvPr id="19" name="image10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9378" y="16454438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87314</xdr:colOff>
      <xdr:row>108</xdr:row>
      <xdr:rowOff>15876</xdr:rowOff>
    </xdr:from>
    <xdr:ext cx="152400" cy="152400"/>
    <xdr:pic>
      <xdr:nvPicPr>
        <xdr:cNvPr id="20" name="image6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314" y="16621126"/>
          <a:ext cx="152400" cy="1524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o1\contabilidad\CONTABILIDAD\ROLES\Roles%202004\RolJulio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JIME%20S\BIBLIOTECA\MATERIAL%20ACTUALIZADO%2008\Textos%20entregados%20Planificaci&#243;n\Formatos%20de%20papeles%20de%20trabajo\Auditorias%202004\2004\Trabajo%20Especial\Nuevo%20Almacen\El%20nuevo%20almac&#233;n\File%20An&#225;lisis\Nomina\Nomina%20Agosto%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DEX%20VEGETATIVO\VEG.%20PLANTAS%20SL%20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reyes\CaseWare\2016_UIO_Auditor&#237;a_Superteporte%20S.A.%20(Sync)\Visita%20preliminar\Anexos%20a%20los%20EEFF%20-%200300%20-%20Superdeporte%20-%20Agosto%20201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.04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1%20APT\Cepsa%202011\A%20Efectivo%20y%20Equivalentes%20de%20Efectivo%20DP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uio-storage\activos\My%20Documents\CECILIA\FORREQU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1152%20Anexos%20Carta%20de%20Requerimiento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0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An&#225;lisis%20del%20Saldo%20Incial%20de%20Activos%20Fijo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C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A (2)"/>
      <sheetName val="ENA"/>
      <sheetName val="ENA1"/>
      <sheetName val="CON"/>
      <sheetName val="CON1"/>
      <sheetName val="CON2"/>
      <sheetName val="PRA"/>
      <sheetName val="CHI"/>
      <sheetName val="CASA"/>
      <sheetName val="CASA2"/>
      <sheetName val="CAB"/>
      <sheetName val="GARCIA"/>
      <sheetName val="CONTABIL"/>
      <sheetName val="Datos"/>
      <sheetName val="Tablas SRI"/>
      <sheetName val="A-2"/>
      <sheetName val="A-2-1"/>
      <sheetName val="ENA_(2)"/>
    </sheetNames>
    <sheetDataSet>
      <sheetData sheetId="0">
        <row r="1">
          <cell r="B1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>
            <v>8</v>
          </cell>
        </row>
      </sheetData>
      <sheetData sheetId="13" refreshError="1">
        <row r="1">
          <cell r="B1">
            <v>8</v>
          </cell>
        </row>
        <row r="2">
          <cell r="B2">
            <v>9.35E-2</v>
          </cell>
        </row>
        <row r="6">
          <cell r="A6">
            <v>1</v>
          </cell>
          <cell r="B6" t="str">
            <v>ENERO DEL 2004</v>
          </cell>
        </row>
        <row r="7">
          <cell r="A7">
            <v>2</v>
          </cell>
          <cell r="B7" t="str">
            <v>FEBRERO DEL 2004</v>
          </cell>
        </row>
        <row r="8">
          <cell r="A8">
            <v>3</v>
          </cell>
          <cell r="B8" t="str">
            <v>MARZO DEL 2004</v>
          </cell>
        </row>
        <row r="9">
          <cell r="A9">
            <v>4</v>
          </cell>
          <cell r="B9" t="str">
            <v>ABRIL DEL 2004</v>
          </cell>
        </row>
        <row r="10">
          <cell r="A10">
            <v>5</v>
          </cell>
          <cell r="B10" t="str">
            <v>MAYO DEL 2004</v>
          </cell>
        </row>
        <row r="11">
          <cell r="A11">
            <v>6</v>
          </cell>
          <cell r="B11" t="str">
            <v>JUNIO DEL 2004</v>
          </cell>
        </row>
        <row r="12">
          <cell r="A12">
            <v>7</v>
          </cell>
          <cell r="B12" t="str">
            <v>JULIO DEL 2004</v>
          </cell>
        </row>
        <row r="13">
          <cell r="A13">
            <v>8</v>
          </cell>
          <cell r="B13" t="str">
            <v>AGOSTO DEL 2004</v>
          </cell>
        </row>
        <row r="14">
          <cell r="A14">
            <v>9</v>
          </cell>
          <cell r="B14" t="str">
            <v>SEPTIEMBRE DEL 2004</v>
          </cell>
        </row>
        <row r="15">
          <cell r="A15">
            <v>10</v>
          </cell>
          <cell r="B15" t="str">
            <v>OCTUBRE DEL 2004</v>
          </cell>
        </row>
        <row r="16">
          <cell r="A16">
            <v>11</v>
          </cell>
          <cell r="B16" t="str">
            <v>NOVIEMBRE DEL 2004</v>
          </cell>
        </row>
        <row r="17">
          <cell r="A17">
            <v>12</v>
          </cell>
          <cell r="B17" t="str">
            <v>DICIEMBRE DEL 2004</v>
          </cell>
        </row>
      </sheetData>
      <sheetData sheetId="14" refreshError="1"/>
      <sheetData sheetId="15" refreshError="1"/>
      <sheetData sheetId="16" refreshError="1"/>
      <sheetData sheetId="17">
        <row r="1">
          <cell r="B1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 (2)"/>
      <sheetName val="ENA"/>
      <sheetName val="rol individual 1"/>
      <sheetName val="rol individual 2"/>
      <sheetName val="rol individual 3"/>
      <sheetName val="rol individual 4"/>
      <sheetName val="rol individual 5"/>
      <sheetName val="CONTABIL"/>
      <sheetName val="Datos"/>
      <sheetName val="Impuestos"/>
      <sheetName val="Hoja1"/>
      <sheetName val="ENA (2)"/>
    </sheetNames>
    <sheetDataSet>
      <sheetData sheetId="0"/>
      <sheetData sheetId="1"/>
      <sheetData sheetId="2">
        <row r="1">
          <cell r="I1">
            <v>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B1">
            <v>0</v>
          </cell>
        </row>
        <row r="2">
          <cell r="B2">
            <v>9.35E-2</v>
          </cell>
        </row>
        <row r="3">
          <cell r="B3">
            <v>0.1215</v>
          </cell>
        </row>
        <row r="4">
          <cell r="B4">
            <v>150</v>
          </cell>
        </row>
        <row r="6">
          <cell r="A6">
            <v>1</v>
          </cell>
          <cell r="B6" t="str">
            <v>ENERO DEL 2005</v>
          </cell>
        </row>
        <row r="7">
          <cell r="A7">
            <v>2</v>
          </cell>
          <cell r="B7" t="str">
            <v>FEBRERO DEL 2005</v>
          </cell>
        </row>
        <row r="8">
          <cell r="A8">
            <v>3</v>
          </cell>
          <cell r="B8" t="str">
            <v>MARZO DEL 2005</v>
          </cell>
        </row>
        <row r="9">
          <cell r="A9">
            <v>4</v>
          </cell>
          <cell r="B9" t="str">
            <v>ABRIL DEL 2005</v>
          </cell>
        </row>
        <row r="10">
          <cell r="A10">
            <v>5</v>
          </cell>
          <cell r="B10" t="str">
            <v>MAYO DEL 2005</v>
          </cell>
        </row>
        <row r="11">
          <cell r="A11">
            <v>6</v>
          </cell>
          <cell r="B11" t="str">
            <v>JUNIO DEL 2005</v>
          </cell>
        </row>
        <row r="12">
          <cell r="A12">
            <v>7</v>
          </cell>
          <cell r="B12" t="str">
            <v>JULIO DEL 2005</v>
          </cell>
        </row>
        <row r="13">
          <cell r="A13">
            <v>8</v>
          </cell>
          <cell r="B13" t="str">
            <v>AGOSTO DEL 2005</v>
          </cell>
        </row>
        <row r="14">
          <cell r="A14">
            <v>9</v>
          </cell>
          <cell r="B14" t="str">
            <v>SEPTIEMBRE DEL 2005</v>
          </cell>
        </row>
        <row r="15">
          <cell r="A15">
            <v>10</v>
          </cell>
          <cell r="B15" t="str">
            <v>OCTUBRE DEL 2005</v>
          </cell>
        </row>
        <row r="16">
          <cell r="A16">
            <v>11</v>
          </cell>
          <cell r="B16" t="str">
            <v>NOVIEMBRE DEL 2005</v>
          </cell>
        </row>
        <row r="17">
          <cell r="A17">
            <v>12</v>
          </cell>
          <cell r="B17" t="str">
            <v>DICIEMBRE DEL 2005</v>
          </cell>
        </row>
        <row r="19">
          <cell r="B19">
            <v>7</v>
          </cell>
        </row>
      </sheetData>
      <sheetData sheetId="9">
        <row r="7">
          <cell r="B7">
            <v>7401</v>
          </cell>
          <cell r="C7">
            <v>14800</v>
          </cell>
          <cell r="D7">
            <v>0</v>
          </cell>
          <cell r="E7">
            <v>5</v>
          </cell>
        </row>
        <row r="8">
          <cell r="B8">
            <v>14801</v>
          </cell>
          <cell r="C8">
            <v>29600</v>
          </cell>
          <cell r="D8">
            <v>370</v>
          </cell>
          <cell r="E8">
            <v>10</v>
          </cell>
        </row>
        <row r="9">
          <cell r="B9">
            <v>29601</v>
          </cell>
          <cell r="C9">
            <v>44100</v>
          </cell>
          <cell r="D9">
            <v>1850</v>
          </cell>
          <cell r="E9">
            <v>15</v>
          </cell>
        </row>
        <row r="10">
          <cell r="B10">
            <v>44101</v>
          </cell>
          <cell r="C10">
            <v>58800</v>
          </cell>
          <cell r="D10">
            <v>4025</v>
          </cell>
          <cell r="E10">
            <v>20</v>
          </cell>
        </row>
        <row r="11">
          <cell r="B11">
            <v>58801</v>
          </cell>
          <cell r="D11">
            <v>6965</v>
          </cell>
          <cell r="E11">
            <v>25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Compañías"/>
      <sheetName val="Anexos EEFF"/>
      <sheetName val="Comentarios"/>
      <sheetName val="Balance Comp. (AS)"/>
      <sheetName val="E.E.F.F."/>
      <sheetName val="Revisión Analítica"/>
      <sheetName val="Cajas Chicas - Sueltos (MI)"/>
      <sheetName val="Concili. Bancarias (MI)"/>
      <sheetName val="Detalle Conc. Banc. (MI)"/>
      <sheetName val="Inversiones"/>
      <sheetName val="Cartera Cías. Relac. (PCH)"/>
      <sheetName val="Cartera (PCH)"/>
      <sheetName val="Prov. Incobra. (PCH)"/>
      <sheetName val="Prov. Pérdida de Inventario (AS"/>
      <sheetName val="Costo Amortizado NIIF (AS)"/>
      <sheetName val="Conceciones (AS)"/>
      <sheetName val="Otras Cuentas por Cobrar (PT)"/>
      <sheetName val="Servicios Pag. x Adelan (AS)"/>
      <sheetName val="Amortizaciones (AS)"/>
      <sheetName val="Arriendos Pag. x Adelan (AS)"/>
      <sheetName val="Licencias Pag. x Adelan (AS)"/>
      <sheetName val="Detalle Inv. Valorado"/>
      <sheetName val="Mov. Inv. (YA)"/>
      <sheetName val="Detalle Compras Inven. (YA)"/>
      <sheetName val="Inv. Tránsit. (YA)"/>
      <sheetName val="Prov. Obsolesc. (YA)"/>
      <sheetName val="Detalle Polizas Seguros (YA)"/>
      <sheetName val="1294.03 AMORTIZACIONES"/>
      <sheetName val="PPE (HR)"/>
      <sheetName val="Mov. PPE Costo (HR)"/>
      <sheetName val="Mov. PPE Deprec. (HR)"/>
      <sheetName val="Detalle compras PPE (HR)"/>
      <sheetName val="Bajas y ventas PPE (HR)"/>
      <sheetName val="Detalle Concesiones"/>
      <sheetName val="Inversiones en Acciones"/>
      <sheetName val="Mov. Inversiones Acciones"/>
      <sheetName val="Proveedores (PCH)"/>
      <sheetName val="Prestamos"/>
      <sheetName val="CxP Cías. Relacionadas (PCH)"/>
      <sheetName val="Provisiones (YA)"/>
      <sheetName val="Det de Oblig. Financieras (MI)"/>
      <sheetName val="Benefcios Sociales (PT)"/>
      <sheetName val="IVA (HR)"/>
      <sheetName val="Cruce IVA vs Libros (HR)"/>
      <sheetName val="Cruce Renta vs Libros (YA)"/>
      <sheetName val="Movimiento Patrimonio (AS)"/>
      <sheetName val="bc (AS)"/>
      <sheetName val="Anticipos ISD (PCH)"/>
      <sheetName val="n"/>
      <sheetName val="Transitoria Bancos (YA)"/>
      <sheetName val="DETALLE P.COMER-OBLIG (MI)"/>
    </sheetNames>
    <sheetDataSet>
      <sheetData sheetId="0"/>
      <sheetData sheetId="1">
        <row r="8">
          <cell r="H8" t="str">
            <v>Superdeporte S.A.</v>
          </cell>
        </row>
      </sheetData>
      <sheetData sheetId="2"/>
      <sheetData sheetId="3">
        <row r="146">
          <cell r="G146">
            <v>249208.24000000005</v>
          </cell>
        </row>
      </sheetData>
      <sheetData sheetId="4"/>
      <sheetData sheetId="5"/>
      <sheetData sheetId="6"/>
      <sheetData sheetId="7">
        <row r="3">
          <cell r="A3">
            <v>42613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4">
          <cell r="K14">
            <v>60981288.149999999</v>
          </cell>
        </row>
      </sheetData>
      <sheetData sheetId="23"/>
      <sheetData sheetId="24"/>
      <sheetData sheetId="25"/>
      <sheetData sheetId="26"/>
      <sheetData sheetId="27"/>
      <sheetData sheetId="28">
        <row r="30">
          <cell r="B30" t="str">
            <v>1212,02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</sheetNames>
    <definedNames>
      <definedName name="Last_Row"/>
      <definedName name="Loan_Amount"/>
      <definedName name="Loan_Start"/>
      <definedName name="Loan_Years"/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MA"/>
      <sheetName val="seleccionados"/>
      <sheetName val="Cálculo Depreciación"/>
      <sheetName val="Movimiento Activo"/>
      <sheetName val="Tickmarks"/>
      <sheetName val="Movimiento costo"/>
      <sheetName val="Nota a los Estados Financieros"/>
      <sheetName val="Movimiento dep-costo"/>
      <sheetName val="Selección"/>
      <sheetName val="Adiciones"/>
      <sheetName val="Retiros"/>
      <sheetName val="XREF"/>
      <sheetName val="Nota"/>
      <sheetName val="Costo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Mov. Activo Fijo"/>
      <sheetName val="Movimiento depreciación"/>
      <sheetName val="C Glob. Deprec. "/>
      <sheetName val="Límite"/>
      <sheetName val="T. Límite"/>
      <sheetName val="Selección Adiciones"/>
      <sheetName val="Selecciion Ajustes"/>
      <sheetName val="Ajustes"/>
      <sheetName val="Listado AF"/>
      <sheetName val="Nota AF FINAL"/>
      <sheetName val="Conciliación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APT"/>
      <sheetName val="Bajas"/>
      <sheetName val="Listado PPC"/>
      <sheetName val="Corrección Monetaria"/>
      <sheetName val="Nota "/>
      <sheetName val="Af costo "/>
      <sheetName val="Af Deprec"/>
      <sheetName val="Cálculo Deprec"/>
      <sheetName val="Análisis adic."/>
      <sheetName val="Bajas AF "/>
      <sheetName val="Det. Cons. Curso"/>
      <sheetName val="Selecc const. curso"/>
      <sheetName val="Análisis CC"/>
      <sheetName val="Selección toma física"/>
      <sheetName val="Reexp. Costo"/>
      <sheetName val="Depreciación"/>
      <sheetName val="#REF"/>
      <sheetName val="Deprec."/>
      <sheetName val="Calc. glob. dep."/>
      <sheetName val="An.Adiciones"/>
      <sheetName val="An.Bajas"/>
      <sheetName val="Sheet3"/>
      <sheetName val="mov. def."/>
      <sheetName val="cal. global dep."/>
      <sheetName val="Hoja 1"/>
      <sheetName val="Sheet2"/>
      <sheetName val="Marcas Estándar"/>
      <sheetName val="Análisis de adiciones"/>
      <sheetName val="mov."/>
      <sheetName val="Mov. final"/>
      <sheetName val="Mov. depreciación"/>
      <sheetName val="Mov. preliminar"/>
      <sheetName val="Detalle bajas"/>
      <sheetName val="base act. fijos"/>
      <sheetName val="Mov. Costo {ppc}"/>
      <sheetName val="Mov. Dep. {ppc}"/>
      <sheetName val="Prueba S.I."/>
      <sheetName val="Cálculo global deprec."/>
      <sheetName val="Análisis Adiciones"/>
      <sheetName val="Ventas {ppc}"/>
      <sheetName val="AF Inmateriales"/>
      <sheetName val="A.F.Costo"/>
      <sheetName val="A.F.Deprec."/>
      <sheetName val="Recálculo Dep."/>
      <sheetName val="Ventas AF 9"/>
      <sheetName val="Análisis"/>
      <sheetName val="Dep.Acum."/>
      <sheetName val="C. Global Deprec."/>
      <sheetName val="Adiciones1"/>
      <sheetName val="Ventas y Retiros"/>
      <sheetName val="Listado (PPC)"/>
      <sheetName val="Totalmente Deprec."/>
      <sheetName val="Analisis Adiciones"/>
      <sheetName val="AF en Internacion temporal  PPC"/>
      <sheetName val="Nota E.F"/>
      <sheetName val="Mov.Costo"/>
      <sheetName val="Mov. Depreciacion"/>
      <sheetName val="Cálculo Global Dep."/>
      <sheetName val="An. Bajas"/>
      <sheetName val="Tíckmarks"/>
      <sheetName val="Nota EEFF"/>
      <sheetName val="Mov.Dep.Costo"/>
      <sheetName val="Calc.Gto.Dep."/>
      <sheetName val="Mov.Act.Fijo PPC"/>
      <sheetName val="Mov.Costo Reexp."/>
      <sheetName val="Mov.Dep.Costo."/>
      <sheetName val="Mov.Dep. Reex."/>
      <sheetName val="Calc.Gasto Dep "/>
      <sheetName val="Calc Reexp Costo"/>
      <sheetName val="Calc.Reexp. Dep"/>
      <sheetName val="Detalle de Adiciones"/>
      <sheetName val="Selección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Detalle activos fijos"/>
      <sheetName val="Cal.Deprec."/>
      <sheetName val="Ventas"/>
      <sheetName val="Cal.Deprec. (Prel.)"/>
      <sheetName val="APT Adiciones"/>
      <sheetName val="Mov. Costo"/>
      <sheetName val="Mov. Deprec."/>
      <sheetName val="Calc.Global Deprec."/>
      <sheetName val="Calc Límite"/>
      <sheetName val="MMA S.I"/>
      <sheetName val="Adiciones (SI)"/>
      <sheetName val="Selecc. Sal"/>
      <sheetName val="Movi. Act."/>
      <sheetName val="MMA Adici."/>
      <sheetName val="Anál. Adiciones"/>
      <sheetName val="Listado A.F."/>
      <sheetName val="Movimi. Deprec."/>
      <sheetName val="Movim. Depre."/>
      <sheetName val="Calc. Glob. Depr."/>
      <sheetName val="Cálculo Global"/>
      <sheetName val="Listado"/>
      <sheetName val="Cálc. Global"/>
      <sheetName val="Conciliación "/>
      <sheetName val="NotaEF"/>
      <sheetName val="Dep.Costo"/>
      <sheetName val="Calc.global deprec"/>
      <sheetName val="Limite"/>
      <sheetName val="MMA Adiciones"/>
      <sheetName val="Tildes"/>
      <sheetName val="Notas"/>
      <sheetName val="Mov. Deprec"/>
      <sheetName val="Listado vs. libros"/>
      <sheetName val="Cálculo Dep Final"/>
      <sheetName val="Venta A.F."/>
      <sheetName val="Adiciiones"/>
      <sheetName val="Cálculo Dep preliminar"/>
      <sheetName val="Importaciones en Trans."/>
      <sheetName val="Adic. Prel"/>
      <sheetName val="Cálculo Dep "/>
      <sheetName val="Cálculo Dep (F)"/>
      <sheetName val="MMA  (F)"/>
      <sheetName val="Adic. (F)"/>
      <sheetName val="Cál. Dep."/>
      <sheetName val="MMA "/>
      <sheetName val="Toma física Quito"/>
      <sheetName val="List 31-Dic-06"/>
      <sheetName val="Adiciones Activo Fijo"/>
      <sheetName val="Calc.Depr"/>
      <sheetName val="Ventas-Bajas"/>
      <sheetName val="MMA Adics."/>
      <sheetName val="MMAToma Física"/>
      <sheetName val="Cálculo del límite"/>
      <sheetName val="Límites"/>
      <sheetName val="Calc.Depr (fin)"/>
      <sheetName val="Detalle Eq. En tráns"/>
      <sheetName val="Detalle Eq. En tránsito"/>
      <sheetName val="Mayor"/>
      <sheetName val="Calc.Depr."/>
      <sheetName val="Selecc Adic Prelim"/>
      <sheetName val="Toma física"/>
      <sheetName val="MMA Toma Física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Depreciacion"/>
      <sheetName val="CGlobal Dep."/>
      <sheetName val="Bajas-ventas"/>
      <sheetName val=" Detalle Imp Tráns "/>
      <sheetName val="Selecc Adic "/>
      <sheetName val="MMA Adic final"/>
      <sheetName val="Detalle vtas. bajas"/>
      <sheetName val="Cálculo Global Final"/>
      <sheetName val="C. Global Deprec. PreL."/>
      <sheetName val="Detalle Eq. tránsito"/>
      <sheetName val="Listado Final (PPC)"/>
      <sheetName val="Listado Prel. (PPC)"/>
      <sheetName val="Totalmente deprec. final"/>
      <sheetName val="Ventas &amp; Bajas Final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Costo PPC"/>
      <sheetName val="Depreciación PPC"/>
      <sheetName val="Resumen"/>
      <sheetName val="Gasto Final"/>
      <sheetName val="Retiros Final (PPC)"/>
      <sheetName val="Gasto Prel."/>
      <sheetName val="Retiros Prel. (PPC)"/>
      <sheetName val="Saldos iniciales"/>
      <sheetName val="Calc. Glo. Depre"/>
      <sheetName val="Cal. Glob. Depre"/>
      <sheetName val="Listados"/>
      <sheetName val="Nota AF"/>
      <sheetName val="Revisión Analítica"/>
      <sheetName val="Análisis Ad. Prelim."/>
      <sheetName val="VTA AF"/>
      <sheetName val="Listado A. Fijo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Movimiento Deprec."/>
      <sheetName val="Recálc. Dep."/>
      <sheetName val="Cálc.Global Deprec."/>
      <sheetName val="Cálculo Global Dpreciación"/>
      <sheetName val="Adicio."/>
      <sheetName val="Lis."/>
      <sheetName val="Mov. Dep."/>
      <sheetName val="Adic."/>
      <sheetName val="List."/>
      <sheetName val="Mov. A.Fijo"/>
      <sheetName val="Mov. Dep.A.Fijp"/>
      <sheetName val="Detalle ventas-baja"/>
      <sheetName val="Análisis Vtas-Bajas"/>
      <sheetName val="Recálculo Depreciación"/>
      <sheetName val="Bajas Ventas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AF Costo"/>
      <sheetName val="Bajas y Ventas AF"/>
      <sheetName val="Cálc.Global (Prel)"/>
      <sheetName val="Cruce Listados-Libros"/>
      <sheetName val="Detalle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Costo AF"/>
      <sheetName val="Depreciación AF"/>
      <sheetName val="Cálculo Gasto Depreciación"/>
      <sheetName val="MMA Final"/>
      <sheetName val="Ventas y Bajas"/>
      <sheetName val="Listado AF final"/>
      <sheetName val="Listado AF Preliminar"/>
      <sheetName val="Calc.global deprec Final"/>
      <sheetName val="MMA Adiciones Final"/>
      <sheetName val="Compras Locales"/>
      <sheetName val="Importaciones"/>
      <sheetName val="Ventas Prel."/>
      <sheetName val="Calc.Global Gs. Dep."/>
      <sheetName val="Analisis C. Locales"/>
      <sheetName val="Nota EE.FF"/>
      <sheetName val="Cálculo depr.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Ventas Activo Fijo"/>
      <sheetName val="Movimiento"/>
      <sheetName val="Cálculo Global Depc."/>
      <sheetName val="AnalisisCosto AF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Mov. Depr"/>
      <sheetName val="Cal. Global Final"/>
      <sheetName val="Det. Bajas"/>
      <sheetName val="D. Importaciones"/>
      <sheetName val="Análisi de Adiciones "/>
      <sheetName val="Importaciones en tránsito "/>
      <sheetName val="Cál. Global"/>
      <sheetName val="Costo "/>
      <sheetName val="Cal.Global Dep."/>
      <sheetName val="APT Adiciones Final"/>
      <sheetName val="Bajas - Ventas (2)"/>
      <sheetName val="Compras AF.Nov05"/>
      <sheetName val="Activos en tránsito"/>
      <sheetName val="MMA Compras"/>
      <sheetName val="Análisis de Adic."/>
      <sheetName val="Bajas - Ventas"/>
      <sheetName val="Calc. Global Deprec."/>
      <sheetName val="Otros"/>
      <sheetName val="Cálculo de Exceso"/>
      <sheetName val="Análisis de compras"/>
      <sheetName val="Detalle de compras y bajas"/>
      <sheetName val="Mov. AF."/>
      <sheetName val="Cálc. Dep."/>
      <sheetName val="Bajas y Vtas. AF "/>
      <sheetName val="Movimiento Depreciacion"/>
      <sheetName val="Cálculo del umbral"/>
      <sheetName val="PPC-Listado AF"/>
      <sheetName val="Cálculo Global Depreciación"/>
      <sheetName val="Constr y mejoras"/>
      <sheetName val="MMA SI"/>
      <sheetName val="Análisis SI"/>
      <sheetName val="MMA Observ físico"/>
      <sheetName val="C. Depreciación"/>
      <sheetName val="C. Depreciación final"/>
      <sheetName val="C. Depreciación final - LOCAL"/>
      <sheetName val="D. Clientes"/>
      <sheetName val="AdicionesA.F."/>
      <sheetName val="Valoracion AF Bodegas"/>
      <sheetName val="RetirosAF(PPC)"/>
      <sheetName val="BASE CLIENTES OBSOLETOS"/>
      <sheetName val="Tabla del Limite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Calc.glob.dep."/>
      <sheetName val="Ventas AF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Nota EF´s"/>
      <sheetName val="Listado 2005"/>
      <sheetName val="CG Dep. Prel."/>
      <sheetName val="CG Dep. Final"/>
      <sheetName val="MMA Prel."/>
      <sheetName val="Límite Prel."/>
      <sheetName val="Límite Final"/>
      <sheetName val="CG Depreciación"/>
      <sheetName val="Listado - PPC"/>
      <sheetName val="Cálc.Global"/>
      <sheetName val="Cálculo global depr."/>
      <sheetName val="Análisis Bajas"/>
      <sheetName val="Detalle adiciones"/>
      <sheetName val="Listado Oct"/>
      <sheetName val="Listado Dic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C.Global"/>
      <sheetName val="Det.Lim"/>
      <sheetName val="Vtas. y Bajas"/>
      <sheetName val="MMA adiciones activos"/>
      <sheetName val="Nota 02"/>
      <sheetName val="Mov.Depr."/>
      <sheetName val="Calc.Depr. (PPC)"/>
      <sheetName val="Calc.CM. (PPC)"/>
      <sheetName val="Recálculo"/>
      <sheetName val="Selec. y Anál. Adic."/>
      <sheetName val="Mov. Activo Costo"/>
      <sheetName val="cal.glob.dep.fin"/>
      <sheetName val="Adciones"/>
      <sheetName val="Detalle de Ajustes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Ventas y bajas"/>
      <sheetName val="Análisis de adic"/>
      <sheetName val="Calculo Global Dep final"/>
      <sheetName val="Detalle de ventas y bajas"/>
      <sheetName val="Calc Glob Dep."/>
      <sheetName val="Toma Física AF"/>
      <sheetName val="Anexo de A.F. Compañía"/>
      <sheetName val="Listado de AF PPC"/>
      <sheetName val="MMA-preliminar"/>
      <sheetName val="Análisis adiciones importa"/>
      <sheetName val="Dep.Costo. "/>
      <sheetName val="Cálculo Glob Dep."/>
      <sheetName val="Calc. Límites"/>
      <sheetName val="MMA Adic. Final"/>
      <sheetName val="Análisis Adic.Imp."/>
      <sheetName val="MMAAdiciones Prelim."/>
      <sheetName val="Venta Activos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istado de Activos fij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Compras"/>
      <sheetName val="Gastos (Activos en Proceso)"/>
      <sheetName val="Determinación del Límite"/>
      <sheetName val="Mov. Costo Otros"/>
      <sheetName val="MMA Prel"/>
      <sheetName val="Análisis Adic. Sep."/>
      <sheetName val="Análisis Adic. Dic."/>
      <sheetName val="Toma Fisica"/>
      <sheetName val="Dep acum"/>
      <sheetName val="Venta Act.Fijos"/>
      <sheetName val="C.G Depr"/>
      <sheetName val="C. Clobal"/>
      <sheetName val="Análisis Saldos In."/>
      <sheetName val="Mov. Costo "/>
      <sheetName val="Mov. Dep. "/>
      <sheetName val="Calc. Dep Oct-03"/>
      <sheetName val="Anal.Adic.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Calc.Glob.Dep. Prel"/>
      <sheetName val="Adición Fijos"/>
      <sheetName val="Nota 1"/>
      <sheetName val="MMA-adiciones"/>
      <sheetName val="C. locales"/>
      <sheetName val="Construc. en curso"/>
      <sheetName val="MMA const. en curso"/>
      <sheetName val="Anál Construc. en curso"/>
      <sheetName val="Desglose CC"/>
      <sheetName val="Construcciones en curso"/>
      <sheetName val="MMA-adiciones preliminar"/>
      <sheetName val="MMA construcciones en curso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MMA Preliminar"/>
      <sheetName val="Dep. Acumulada"/>
      <sheetName val="Proyectos"/>
      <sheetName val="MMA S. Iniciales"/>
      <sheetName val="Mov Depreciación (USGAAP)"/>
      <sheetName val="Mov Depreciación (LOCAL)"/>
      <sheetName val="Determinación del Límite (2)"/>
      <sheetName val="Bajas de Activos"/>
      <sheetName val="Calc. Global Amort."/>
      <sheetName val="Mov Deprec (Spanis)"/>
      <sheetName val="Análisis de Vtas y bajas"/>
      <sheetName val="Costo (ppc)"/>
      <sheetName val="Depreciacion (ppc)"/>
      <sheetName val="C.G. Depreciacion"/>
      <sheetName val="Bajas y Ventas"/>
      <sheetName val="Análisis adic"/>
      <sheetName val="Bajas de AF"/>
      <sheetName val="Selección SI"/>
      <sheetName val="Detalle Vtas y Bajas"/>
      <sheetName val="Análisis Vtas. y Bajas"/>
      <sheetName val="Listado de AF"/>
      <sheetName val="Listado de AF prelim"/>
      <sheetName val="Vtas y Bajas"/>
      <sheetName val="Nota EEF"/>
      <sheetName val="Mov Costo"/>
      <sheetName val="Venta"/>
      <sheetName val="MMA adciones prel"/>
      <sheetName val="Adiciones "/>
      <sheetName val="Resumen de Saldos Iniciales"/>
      <sheetName val="MMA saldos iniciales "/>
      <sheetName val="Prueba de Bajas"/>
      <sheetName val="Adiciones Importac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Detalle de Bajas"/>
      <sheetName val=" Deprec"/>
      <sheetName val="Cons. vs.Repor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Tabla del Límite"/>
      <sheetName val="Cál.Dep."/>
      <sheetName val="Ventas Bajas"/>
      <sheetName val="MMA Adic. Act. Fij Ago 07"/>
      <sheetName val="APT Adición Act. Fijos"/>
      <sheetName val="Detalle Const. Proceso"/>
      <sheetName val="Listado Act. Fijos 31-Ago-07"/>
      <sheetName val="MMA Adiciones Prel."/>
      <sheetName val="APT Ventas y Bajas"/>
      <sheetName val="Const. en Proceso"/>
      <sheetName val="Listado Prel."/>
      <sheetName val="Ventas y bajas Dic"/>
      <sheetName val="Anexo 11"/>
      <sheetName val="Det. Bajas Dep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. Acum."/>
      <sheetName val="Cal.Dep.Act.Fijo"/>
      <sheetName val="Venta AF"/>
      <sheetName val="Bajas Junio"/>
      <sheetName val="Cálc Global"/>
      <sheetName val="Cálcl Global"/>
      <sheetName val="Mov Dep"/>
      <sheetName val="Anal Adic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Depreciac"/>
      <sheetName val="Cálculo x listado"/>
      <sheetName val="Cálc.Global Final"/>
      <sheetName val="MMA (adiciones)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/>
      <sheetData sheetId="526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 refreshError="1"/>
      <sheetData sheetId="650" refreshError="1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1"/>
      <sheetName val="C2"/>
      <sheetName val="C3"/>
      <sheetName val="C4"/>
      <sheetName val="C5"/>
      <sheetName val="D"/>
      <sheetName val="E"/>
      <sheetName val="G"/>
      <sheetName val="H"/>
      <sheetName val="H1"/>
      <sheetName val="H2"/>
      <sheetName val="H3"/>
      <sheetName val="I"/>
      <sheetName val="J"/>
      <sheetName val="K"/>
      <sheetName val="L"/>
      <sheetName val="M"/>
      <sheetName val="M1"/>
      <sheetName val="N"/>
      <sheetName val="Q"/>
      <sheetName val="RS"/>
      <sheetName val="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 1"/>
      <sheetName val="Anexo 3"/>
      <sheetName val="Anexo 4"/>
      <sheetName val="Anexo 5"/>
      <sheetName val="Anexo 6"/>
      <sheetName val="Anexo 7"/>
      <sheetName val="Anexo 8"/>
      <sheetName val="Anexo 10"/>
      <sheetName val="Anexo 11"/>
      <sheetName val="Anexo 12"/>
      <sheetName val="Anexo 13"/>
      <sheetName val="Anexo 14"/>
      <sheetName val="Anexo 15"/>
      <sheetName val="Anexo 16"/>
      <sheetName val="Anexo 17"/>
      <sheetName val="Anexo 2"/>
      <sheetName val="Anexo 9"/>
      <sheetName val="Lead"/>
      <sheetName val="Link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 {PPC}"/>
      <sheetName val="Deprec. {PPC}"/>
      <sheetName val="Cálculo Dep (Preliminar)"/>
      <sheetName val="Límites"/>
      <sheetName val="MMA Adiciones"/>
      <sheetName val="MMA Saldo Inicial"/>
      <sheetName val="Obs. Toma Física"/>
      <sheetName val="Análisis Adiciones"/>
      <sheetName val="Cálculo Dep (Final)"/>
      <sheetName val="XREF"/>
      <sheetName val="Tickmarks"/>
      <sheetName val="NotaalosEstadosFinancieros"/>
      <sheetName val="Deprec__PPC_"/>
      <sheetName val="Detalle"/>
      <sheetName val="MMA"/>
      <sheetName val="APT Gastos"/>
      <sheetName val="Arriendos"/>
      <sheetName val="Arr. Mercantil [ppc]"/>
      <sheetName val="Asistencia VW"/>
      <sheetName val="Comis. y Honorarios"/>
      <sheetName val="Otras ctas.xpagar (PPC)"/>
      <sheetName val="Mov. Benef. Socs."/>
      <sheetName val="Calc. Global Benef. (Sep)"/>
      <sheetName val="Calc. Global Benef. (Oct)"/>
      <sheetName val="Pagos Posteriores"/>
      <sheetName val="F.Conting. (oct)"/>
      <sheetName val="F. Conting. (Sep)"/>
      <sheetName val="Calc. Límites"/>
      <sheetName val="Mov. Inventarios"/>
      <sheetName val="Devoluci."/>
      <sheetName val="Adiciones MP."/>
      <sheetName val="Import. Tráns."/>
      <sheetName val="Valuación"/>
      <sheetName val="Préstamos Terceros"/>
      <sheetName val="Movimiento Benef.Soc."/>
      <sheetName val="Calc. Global Benef. (Prel)"/>
      <sheetName val="Det.Anticipos Clientes"/>
      <sheetName val="Análisis anticipos"/>
      <sheetName val="Int.no devenga"/>
      <sheetName val="A"/>
      <sheetName val="NotaEF "/>
      <sheetName val="Costo"/>
      <sheetName val="Dep.Costo. "/>
      <sheetName val="MMA (Adiciones) "/>
      <sheetName val="MMA S.Inicial"/>
      <sheetName val="MMA Toma física"/>
      <sheetName val="S Inicial"/>
      <sheetName val="Cálc. Global"/>
      <sheetName val="APT Adicione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Cálculo S. I."/>
      <sheetName val="Análisis Saldo Inicial"/>
      <sheetName val="XREF"/>
      <sheetName val="Tickmarks"/>
      <sheetName val="CálculoS_I_"/>
      <sheetName val="Anexo 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 refreshError="1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 refreshError="1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/>
      <sheetData sheetId="577"/>
      <sheetData sheetId="578"/>
      <sheetData sheetId="579" refreshError="1"/>
      <sheetData sheetId="580"/>
      <sheetData sheetId="581" refreshError="1"/>
      <sheetData sheetId="582" refreshError="1"/>
      <sheetData sheetId="583"/>
      <sheetData sheetId="584" refreshError="1"/>
      <sheetData sheetId="585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 refreshError="1"/>
      <sheetData sheetId="601"/>
      <sheetData sheetId="602" refreshError="1"/>
      <sheetData sheetId="603" refreshError="1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Movi. Benef."/>
      <sheetName val="Calc global provisiones"/>
      <sheetName val="Detalle de Gastos Acumulados"/>
      <sheetName val="Mov. Rep. Mant. Maq."/>
      <sheetName val="Otras Prov. Locales"/>
      <sheetName val="Movi. Benef. Soc."/>
      <sheetName val="Calc. Global B.S."/>
      <sheetName val="PPC-S5210"/>
      <sheetName val="Prov. Vac."/>
      <sheetName val="Impuestos"/>
      <sheetName val="Movi"/>
      <sheetName val="Particip.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bligaciones bancarias"/>
      <sheetName val="Sheet2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Mov. Div. por Pagar"/>
      <sheetName val="Prov. Pagar"/>
      <sheetName val="Mov.Fondos Pool - Club B"/>
      <sheetName val="Beneficios Soc."/>
      <sheetName val="Base"/>
      <sheetName val="Gtos. Acumulados"/>
      <sheetName val="Beneficios contrato"/>
      <sheetName val="IESS2003"/>
      <sheetName val="Garantías ppc"/>
      <sheetName val="Análisis Garantias"/>
      <sheetName val="Descuentos"/>
      <sheetName val="Análisis descuentos"/>
      <sheetName val="Ret. del Imp al Ing. de Nóm E."/>
      <sheetName val="Provisiones Dsctos. (2)"/>
      <sheetName val="Garantias"/>
      <sheetName val="Cálculo Garantías"/>
      <sheetName val="Compensac. Especial."/>
      <sheetName val="Prov"/>
      <sheetName val="Ben Soc"/>
      <sheetName val="Gts Acum"/>
      <sheetName val="2030807"/>
      <sheetName val="Débito Provisiones"/>
      <sheetName val="Registro Prov."/>
      <sheetName val="Comisiones y Bono"/>
      <sheetName val="Mov. Benf Soc"/>
      <sheetName val="Otros Acreedores"/>
      <sheetName val="Mov. Impto - Part"/>
      <sheetName val="Acreedores FINAL"/>
      <sheetName val="Impt. Rta y Part"/>
      <sheetName val="OCP"/>
      <sheetName val="Acreedores"/>
      <sheetName val="Prov. Reten. IR"/>
      <sheetName val="Ret.Contract"/>
      <sheetName val="Mov. Impto Rta y Part. Trab"/>
      <sheetName val="Prov. Varias"/>
      <sheetName val="Acreedores (2)"/>
      <sheetName val="Acreedores Varios"/>
      <sheetName val="Mov.Provisiones"/>
      <sheetName val="Detalle Benef. Socs."/>
      <sheetName val="IMPTOS 04"/>
      <sheetName val="Prov.Comisión Vta"/>
      <sheetName val="Prov.Locutorios"/>
      <sheetName val="Proc.Gtos.Market"/>
      <sheetName val="Prov.NuevosNego"/>
      <sheetName val="Prov.Gtos.Sistemas"/>
      <sheetName val="Prov.Gto.Técnico"/>
      <sheetName val="Prov.Gtos.Finanz"/>
      <sheetName val="ProvGtosRRHH"/>
      <sheetName val="Det.IntxPagar"/>
      <sheetName val="Mov.Int.xPagar"/>
      <sheetName val="Benef.Sociales"/>
      <sheetName val="Derech&amp;Concesion"/>
      <sheetName val="Tarifa C"/>
      <sheetName val="Detalle de Otras CxP"/>
      <sheetName val="Valores por Facturar"/>
      <sheetName val="15%PT-25%IR (2)"/>
      <sheetName val="Detalle de beneficios sociales"/>
      <sheetName val="Calc. Global Benef.(Prel) sept."/>
      <sheetName val="derivados"/>
      <sheetName val="Garantías (ppc)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Miscelaneos"/>
      <sheetName val="Detalle Otras CXP y Gtos Ac"/>
      <sheetName val="CxP Miscelaneos"/>
      <sheetName val="Cias. Relacionadas"/>
      <sheetName val="Comprob.Retención"/>
      <sheetName val="Prov.Gtos.Sistemas(DIC)"/>
      <sheetName val="Prov.Gtos.Sistemas(OCT)"/>
      <sheetName val="Prov. técn dic-04"/>
      <sheetName val="B.S.I. Access"/>
      <sheetName val="MMA Prov."/>
      <sheetName val="Análisis Provisiones"/>
      <sheetName val="PE0238 Dep. Com."/>
      <sheetName val="PE0239 Dep. Ind."/>
      <sheetName val="Imptos (Ago05)"/>
      <sheetName val="Provisiones varias"/>
      <sheetName val="Prov Fletes"/>
      <sheetName val="AUX.PROVEEDORES  (2)"/>
      <sheetName val="AUX.PROVEEDORES "/>
      <sheetName val="Detalle fletes"/>
      <sheetName val="Contratistas"/>
      <sheetName val="Notas EEFF"/>
      <sheetName val="Mov. Benef."/>
      <sheetName val="Límite Jubilacion Patronal"/>
      <sheetName val="Límite Desahucio"/>
      <sheetName val="Notas"/>
      <sheetName val="Cuentas por Liquidar"/>
      <sheetName val=" Clien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Provisiones Prel"/>
      <sheetName val="Cálculo Actuarial"/>
      <sheetName val="Cargas Sociales"/>
      <sheetName val="Análisis regalías"/>
      <sheetName val="Regalías"/>
      <sheetName val="Detalle Prov. Varias"/>
      <sheetName val="Mov. Prov. Varias"/>
      <sheetName val="Detalle de provisiones"/>
      <sheetName val="Mantenimiento mayor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Cálculo actuarial "/>
      <sheetName val="cálculo actuarial final"/>
      <sheetName val="Benef. Socia."/>
      <sheetName val="Caj Ah"/>
      <sheetName val="Nota EF"/>
      <sheetName val="Ana Prov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Movimiento Ing Dif"/>
      <sheetName val="Ing Diferidos"/>
      <sheetName val="Gtos. Acum."/>
      <sheetName val="Ctas. x Liq."/>
      <sheetName val="Proveedores Locales"/>
      <sheetName val="Mov. Provisiones"/>
      <sheetName val="Cálculo Provisión"/>
      <sheetName val="Cálculo Global Benef Soc. Final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Detalle "/>
      <sheetName val="Prov. Dsctos.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Detalle Prov. Mensuales"/>
      <sheetName val="Detalle Anticipos Clientes"/>
      <sheetName val="Conciliación Bancaria Pacifico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.Part.Trab-Renta"/>
      <sheetName val="Mov.Jub.Des"/>
      <sheetName val="Bonif.a Func"/>
      <sheetName val="Vacaciones"/>
      <sheetName val="MCS Subs"/>
      <sheetName val="ESPP"/>
      <sheetName val="Unearned Rev-services"/>
      <sheetName val="Otas CxP AGD"/>
      <sheetName val="Prov Jub Patronal"/>
      <sheetName val="Mov. Part. Trab."/>
      <sheetName val="Anticipos IR"/>
      <sheetName val="LAC"/>
      <sheetName val="Local"/>
      <sheetName val="SAP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Nota 13"/>
      <sheetName val="Mov. Prov. Jubilación Patronal"/>
      <sheetName val="No devengado 2010"/>
      <sheetName val="Calculo anticipo contrato compl"/>
      <sheetName val="No devengado"/>
      <sheetName val="Calculo anticipo"/>
      <sheetName val="Miscelan_x0004__x0000__x0011_"/>
      <sheetName val="Fletes x Pagar"/>
      <sheetName val="Impuest y Contr"/>
      <sheetName val="Diversos Gastos"/>
      <sheetName val="Plan Auto"/>
      <sheetName val="Obligaciones Produbanco"/>
      <sheetName val="Anticipos de consultorios"/>
      <sheetName val="informe"/>
      <sheetName val="Mov. Part. Trab.Final"/>
      <sheetName val="Movimiento Imp. Dif."/>
      <sheetName val="Mov. Part. Trab.Preli"/>
      <sheetName val="Clientes Nacional"/>
      <sheetName val="Clientes Exterior"/>
      <sheetName val="Clientes Intercompañias"/>
      <sheetName val="Pruebas Sustantivas"/>
      <sheetName val="Movimientos IR y PT"/>
      <sheetName val="Anticipos Clientes Final"/>
      <sheetName val="NOTAS E.E.F.F."/>
      <sheetName val="Resumen"/>
      <sheetName val="Nota a los EE.FF"/>
      <sheetName val="IR y Part Trabaj"/>
      <sheetName val="Jub Patronal"/>
      <sheetName val="Movimiento IR"/>
      <sheetName val="Detalle Prov Gastos (P)"/>
      <sheetName val="Detalle Prov Gastos (F)"/>
      <sheetName val="Mov. Imp. Ren y Part. trab"/>
      <sheetName val="Mov. Prov. Desp"/>
      <sheetName val="Doble Pago"/>
      <sheetName val="Detalle de Acrrued"/>
      <sheetName val="ISD"/>
      <sheetName val="Análisis de vacaciones"/>
      <sheetName val="(F) Provisiones "/>
      <sheetName val="IR y Particip Laboral"/>
      <sheetName val="Ant client"/>
      <sheetName val="Ant clientes"/>
      <sheetName val="Accruals Final"/>
      <sheetName val="Accruals Preliminar"/>
      <sheetName val="Movim. Imp.Renta y Part.Tr"/>
      <sheetName val="Mov. IR y PT"/>
      <sheetName val="Imp. y Participación"/>
      <sheetName val="Otras ctas por pagar"/>
      <sheetName val="Mov. Part. Trab. e Imp. Rta."/>
      <sheetName val="Detalle gastos causados mes"/>
      <sheetName val="Mant. equipo"/>
      <sheetName val="Expatriados"/>
      <sheetName val="Other Insurance"/>
      <sheetName val="Open PO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 refreshError="1"/>
      <sheetData sheetId="250" refreshError="1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/>
      <sheetData sheetId="272"/>
      <sheetData sheetId="273" refreshError="1"/>
      <sheetData sheetId="274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/>
      <sheetData sheetId="374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/>
      <sheetData sheetId="404"/>
      <sheetData sheetId="405" refreshError="1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/>
      <sheetData sheetId="691"/>
      <sheetData sheetId="692"/>
      <sheetData sheetId="693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 refreshError="1"/>
      <sheetData sheetId="719"/>
      <sheetData sheetId="720" refreshError="1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 1"/>
      <sheetName val="A 1 1"/>
      <sheetName val="A C000"/>
      <sheetName val="A_1"/>
      <sheetName val="A_1_1"/>
    </sheetNames>
    <sheetDataSet>
      <sheetData sheetId="0">
        <row r="3">
          <cell r="D3" t="str">
            <v>D´BRAG AUDITORES</v>
          </cell>
        </row>
        <row r="4">
          <cell r="D4" t="str">
            <v>PROGRAMA DE TRABAJO</v>
          </cell>
        </row>
        <row r="7">
          <cell r="C7" t="str">
            <v>CLIENTE                             :</v>
          </cell>
          <cell r="D7" t="str">
            <v>CENTRO DE REHABILITACION DE MANABI</v>
          </cell>
          <cell r="H7" t="str">
            <v>FECHA                    : 20-JUN-02</v>
          </cell>
        </row>
        <row r="8">
          <cell r="C8" t="str">
            <v>TIPO DE EXAMEN               :</v>
          </cell>
          <cell r="D8" t="str">
            <v>CAJA - BANCOS</v>
          </cell>
          <cell r="H8" t="str">
            <v>ELABORADO POR   :  A.C.</v>
          </cell>
        </row>
        <row r="9">
          <cell r="C9" t="str">
            <v>PERIODO EXAMINADO       :</v>
          </cell>
          <cell r="D9" t="str">
            <v>AÑO 2001</v>
          </cell>
          <cell r="H9" t="str">
            <v>CLIENTE                  :</v>
          </cell>
        </row>
        <row r="10">
          <cell r="C10" t="str">
            <v>OBJETIVOS                        :</v>
          </cell>
          <cell r="D10" t="str">
            <v xml:space="preserve">PROPIEDAD, EXACTITUD, TOTALIDAD, CORTE, VALUACION, REVELACION, </v>
          </cell>
          <cell r="H10" t="str">
            <v xml:space="preserve"> </v>
          </cell>
        </row>
        <row r="11">
          <cell r="E11" t="str">
            <v xml:space="preserve"> </v>
          </cell>
        </row>
        <row r="13">
          <cell r="B13" t="str">
            <v>No.</v>
          </cell>
          <cell r="C13" t="str">
            <v>PROCEDIMIENTO</v>
          </cell>
          <cell r="D13" t="str">
            <v>ASEVERACION</v>
          </cell>
          <cell r="E13" t="str">
            <v>HECHO POR:</v>
          </cell>
          <cell r="F13" t="str">
            <v>FECHA</v>
          </cell>
          <cell r="G13" t="str">
            <v>REF.P/T</v>
          </cell>
          <cell r="H13" t="str">
            <v>COMENTARIOS</v>
          </cell>
        </row>
      </sheetData>
      <sheetData sheetId="1"/>
      <sheetData sheetId="2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2"/>
  <sheetViews>
    <sheetView showGridLines="0" tabSelected="1" zoomScale="80" zoomScaleNormal="80" workbookViewId="0">
      <selection activeCell="F94" sqref="F94"/>
    </sheetView>
  </sheetViews>
  <sheetFormatPr baseColWidth="10" defaultColWidth="14.453125" defaultRowHeight="15" customHeight="1"/>
  <cols>
    <col min="1" max="1" width="6.08984375" style="114" customWidth="1"/>
    <col min="2" max="2" width="25.453125" style="114" customWidth="1"/>
    <col min="3" max="3" width="21" style="114" customWidth="1"/>
    <col min="4" max="4" width="28.453125" style="114" customWidth="1"/>
    <col min="5" max="5" width="35.54296875" style="114" customWidth="1"/>
    <col min="6" max="6" width="28.54296875" style="114" customWidth="1"/>
    <col min="7" max="7" width="28.7265625" style="114" customWidth="1"/>
    <col min="8" max="8" width="15.453125" style="114" customWidth="1"/>
    <col min="9" max="9" width="21.453125" style="114" customWidth="1"/>
    <col min="10" max="10" width="17" style="114" customWidth="1"/>
    <col min="11" max="11" width="17.453125" style="114" customWidth="1"/>
    <col min="12" max="12" width="5.453125" style="114" customWidth="1"/>
    <col min="13" max="13" width="23.90625" style="114" customWidth="1"/>
    <col min="14" max="14" width="5.453125" style="114" customWidth="1"/>
    <col min="15" max="17" width="23.1796875" style="114" customWidth="1"/>
    <col min="18" max="18" width="25.7265625" style="114" customWidth="1"/>
    <col min="19" max="19" width="5.453125" style="114" customWidth="1"/>
    <col min="20" max="20" width="24.08984375" style="114" customWidth="1"/>
    <col min="21" max="21" width="29.08984375" style="114" customWidth="1"/>
    <col min="22" max="22" width="20.08984375" style="114" customWidth="1"/>
    <col min="23" max="25" width="11.453125" style="114" customWidth="1"/>
    <col min="26" max="26" width="21.81640625" style="114" customWidth="1"/>
    <col min="27" max="27" width="31.81640625" style="114" customWidth="1"/>
    <col min="28" max="28" width="10.08984375" style="114" customWidth="1"/>
    <col min="29" max="16384" width="14.453125" style="114"/>
  </cols>
  <sheetData>
    <row r="1" spans="1:28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0</v>
      </c>
      <c r="U3" s="2" t="s">
        <v>1</v>
      </c>
      <c r="V3" s="3" t="s">
        <v>2</v>
      </c>
      <c r="W3" s="1"/>
      <c r="X3" s="1"/>
      <c r="Y3" s="1"/>
      <c r="Z3" s="1"/>
      <c r="AA3" s="1"/>
      <c r="AB3" s="1"/>
    </row>
    <row r="4" spans="1:28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 t="s">
        <v>3</v>
      </c>
      <c r="U4" s="5" t="s">
        <v>3</v>
      </c>
      <c r="V4" s="6" t="s">
        <v>4</v>
      </c>
      <c r="W4" s="1"/>
      <c r="X4" s="1"/>
      <c r="Y4" s="1"/>
      <c r="Z4" s="1"/>
      <c r="AA4" s="1"/>
      <c r="AB4" s="1"/>
    </row>
    <row r="5" spans="1:28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" customHeight="1">
      <c r="A6" s="1"/>
      <c r="B6" s="7" t="s">
        <v>5</v>
      </c>
      <c r="C6" s="1"/>
      <c r="D6" s="1"/>
      <c r="E6" s="1"/>
      <c r="F6" s="1"/>
      <c r="G6" s="1"/>
      <c r="H6" s="1"/>
      <c r="I6" s="8"/>
      <c r="J6" s="9"/>
      <c r="L6" s="11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" customHeight="1">
      <c r="A7" s="1"/>
      <c r="B7" s="10" t="s">
        <v>6</v>
      </c>
      <c r="C7" s="11"/>
      <c r="D7" s="11"/>
      <c r="E7" s="11"/>
      <c r="F7" s="11"/>
      <c r="G7" s="11"/>
      <c r="H7" s="11"/>
      <c r="I7" s="11"/>
      <c r="J7" s="1"/>
      <c r="L7" s="115"/>
      <c r="O7" s="1"/>
      <c r="Q7" s="1"/>
      <c r="R7" s="12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" customHeight="1">
      <c r="A8" s="1"/>
      <c r="B8" s="13" t="s">
        <v>7</v>
      </c>
      <c r="C8" s="11"/>
      <c r="D8" s="11"/>
      <c r="E8" s="11"/>
      <c r="F8" s="11"/>
      <c r="G8" s="11"/>
      <c r="H8" s="11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" customHeight="1">
      <c r="A9" s="1"/>
      <c r="B9" s="13" t="s">
        <v>8</v>
      </c>
      <c r="C9" s="11"/>
      <c r="D9" s="11"/>
      <c r="E9" s="11"/>
      <c r="F9" s="11"/>
      <c r="G9" s="11"/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7" customHeight="1">
      <c r="A10" s="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"/>
      <c r="X10" s="1"/>
      <c r="Y10" s="1"/>
      <c r="Z10" s="1"/>
      <c r="AA10" s="1"/>
      <c r="AB10" s="1"/>
    </row>
    <row r="11" spans="1:28" ht="12" customHeight="1">
      <c r="A11" s="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"/>
      <c r="X11" s="1"/>
      <c r="Y11" s="1"/>
      <c r="Z11" s="1"/>
      <c r="AA11" s="1"/>
      <c r="AB11" s="1"/>
    </row>
    <row r="12" spans="1:28" ht="12" customHeight="1">
      <c r="A12" s="1"/>
      <c r="B12" s="17" t="s">
        <v>9</v>
      </c>
      <c r="C12" s="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.75" customHeight="1">
      <c r="A13" s="1"/>
      <c r="B13" s="17"/>
      <c r="C13" s="1"/>
      <c r="D13" s="11"/>
      <c r="E13" s="11"/>
      <c r="F13" s="11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>
      <c r="A14" s="1"/>
      <c r="B14" s="18" t="s">
        <v>10</v>
      </c>
      <c r="C14" s="18"/>
      <c r="D14" s="18"/>
      <c r="E14" s="18"/>
      <c r="F14" s="18"/>
      <c r="G14" s="11"/>
      <c r="H14" s="11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" customHeight="1">
      <c r="A15" s="1"/>
      <c r="B15" s="19"/>
      <c r="C15" s="20"/>
      <c r="D15" s="20"/>
      <c r="E15" s="20"/>
      <c r="F15" s="16"/>
      <c r="G15" s="11"/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86" t="s">
        <v>75</v>
      </c>
      <c r="V15" s="1"/>
      <c r="W15" s="1"/>
      <c r="X15" s="1"/>
      <c r="Y15" s="1"/>
      <c r="Z15" s="1"/>
      <c r="AA15" s="1"/>
      <c r="AB15" s="1"/>
    </row>
    <row r="16" spans="1:28" ht="12" customHeight="1">
      <c r="A16" s="1"/>
      <c r="B16" s="116" t="s">
        <v>11</v>
      </c>
      <c r="C16" s="1"/>
      <c r="D16" s="21"/>
      <c r="E16" s="21"/>
      <c r="F16" s="16"/>
      <c r="G16" s="11"/>
      <c r="H16" s="1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86" t="s">
        <v>76</v>
      </c>
      <c r="V16" s="1"/>
      <c r="W16" s="1"/>
      <c r="X16" s="1"/>
      <c r="Y16" s="1"/>
      <c r="Z16" s="1"/>
      <c r="AA16" s="1"/>
      <c r="AB16" s="1"/>
    </row>
    <row r="17" spans="1:28" ht="6.75" customHeight="1">
      <c r="A17" s="1"/>
      <c r="B17" s="116"/>
      <c r="C17" s="1"/>
      <c r="D17" s="21"/>
      <c r="E17" s="21"/>
      <c r="F17" s="16"/>
      <c r="G17" s="11"/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" customHeight="1">
      <c r="A18" s="1"/>
      <c r="B18" s="20" t="s">
        <v>12</v>
      </c>
      <c r="C18" s="22" t="s">
        <v>13</v>
      </c>
      <c r="D18" s="22" t="s">
        <v>14</v>
      </c>
      <c r="E18" s="23"/>
      <c r="F18" s="16"/>
      <c r="G18" s="11"/>
      <c r="H18" s="1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" customHeight="1">
      <c r="A19" s="1"/>
      <c r="B19" s="24" t="s">
        <v>15</v>
      </c>
      <c r="C19" s="25" t="s">
        <v>16</v>
      </c>
      <c r="D19" s="25" t="s">
        <v>16</v>
      </c>
      <c r="E19" s="26"/>
      <c r="F19" s="16"/>
      <c r="G19" s="11"/>
      <c r="H19" s="11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" customHeight="1">
      <c r="A20" s="1"/>
      <c r="B20" s="24" t="s">
        <v>17</v>
      </c>
      <c r="C20" s="25" t="s">
        <v>16</v>
      </c>
      <c r="D20" s="25" t="s">
        <v>16</v>
      </c>
      <c r="E20" s="26"/>
      <c r="F20" s="16"/>
      <c r="G20" s="11"/>
      <c r="H20" s="1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" customHeight="1">
      <c r="A21" s="1"/>
      <c r="B21" s="24" t="s">
        <v>18</v>
      </c>
      <c r="C21" s="25" t="s">
        <v>16</v>
      </c>
      <c r="D21" s="25" t="s">
        <v>16</v>
      </c>
      <c r="E21" s="26"/>
      <c r="F21" s="16"/>
      <c r="G21" s="11"/>
      <c r="H21" s="11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" customHeight="1">
      <c r="A22" s="1"/>
      <c r="B22" s="19"/>
      <c r="C22" s="20"/>
      <c r="D22" s="20"/>
      <c r="E22" s="20"/>
      <c r="F22" s="16"/>
      <c r="G22" s="11"/>
      <c r="H22" s="11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" customHeight="1">
      <c r="A23" s="1"/>
      <c r="B23" s="17" t="s">
        <v>19</v>
      </c>
      <c r="C23" s="1"/>
      <c r="D23" s="11"/>
      <c r="E23" s="11"/>
      <c r="F23" s="11"/>
      <c r="G23" s="11"/>
      <c r="H23" s="1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6.75" customHeight="1">
      <c r="A24" s="1"/>
      <c r="B24" s="17"/>
      <c r="C24" s="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" customHeight="1">
      <c r="A25" s="28" t="s">
        <v>20</v>
      </c>
      <c r="B25" s="27" t="s">
        <v>21</v>
      </c>
      <c r="C25" s="1"/>
      <c r="D25" s="11"/>
      <c r="E25" s="11"/>
      <c r="F25" s="11"/>
      <c r="G25" s="11"/>
      <c r="H25" s="11"/>
      <c r="I25" s="11"/>
      <c r="J25" s="1"/>
      <c r="K25" s="1"/>
      <c r="L25" s="1"/>
      <c r="M25" s="1"/>
      <c r="N25" s="1"/>
      <c r="O25" s="29"/>
      <c r="P25" s="29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" customHeight="1">
      <c r="A26" s="28" t="s">
        <v>22</v>
      </c>
      <c r="B26" s="27" t="s">
        <v>23</v>
      </c>
      <c r="C26" s="1"/>
      <c r="D26" s="11"/>
      <c r="E26" s="11"/>
      <c r="F26" s="11"/>
      <c r="G26" s="11"/>
      <c r="H26" s="11"/>
      <c r="I26" s="11"/>
      <c r="J26" s="1"/>
      <c r="K26" s="1"/>
      <c r="L26" s="1"/>
      <c r="M26" s="1"/>
      <c r="N26" s="1"/>
      <c r="O26" s="29"/>
      <c r="P26" s="29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" customHeight="1">
      <c r="A27" s="28" t="s">
        <v>24</v>
      </c>
      <c r="B27" s="27" t="s">
        <v>81</v>
      </c>
      <c r="C27" s="1"/>
      <c r="D27" s="11"/>
      <c r="E27" s="11"/>
      <c r="F27" s="11"/>
      <c r="G27" s="11"/>
      <c r="H27" s="11"/>
      <c r="I27" s="11"/>
      <c r="J27" s="1"/>
      <c r="K27" s="1"/>
      <c r="L27" s="1"/>
      <c r="M27" s="1"/>
      <c r="N27" s="1"/>
      <c r="O27" s="29"/>
      <c r="P27" s="29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" customHeight="1">
      <c r="A28" s="28" t="s">
        <v>25</v>
      </c>
      <c r="B28" s="27" t="s">
        <v>26</v>
      </c>
      <c r="C28" s="1"/>
      <c r="D28" s="11"/>
      <c r="E28" s="11"/>
      <c r="F28" s="11"/>
      <c r="G28" s="11"/>
      <c r="H28" s="11"/>
      <c r="I28" s="11"/>
      <c r="J28" s="1"/>
      <c r="K28" s="1"/>
      <c r="L28" s="1"/>
      <c r="M28" s="1"/>
      <c r="N28" s="1"/>
      <c r="O28" s="1"/>
      <c r="P28" s="1"/>
      <c r="Q28" s="30"/>
      <c r="R28" s="1"/>
      <c r="S28" s="1"/>
      <c r="T28" s="112" t="s">
        <v>74</v>
      </c>
      <c r="U28" s="113"/>
      <c r="V28" s="113"/>
      <c r="W28" s="1"/>
      <c r="X28" s="1"/>
      <c r="Y28" s="1"/>
      <c r="Z28" s="1"/>
      <c r="AA28" s="1"/>
      <c r="AB28" s="1"/>
    </row>
    <row r="29" spans="1:28" ht="12" customHeight="1">
      <c r="A29" s="28" t="s">
        <v>27</v>
      </c>
      <c r="B29" s="27" t="s">
        <v>28</v>
      </c>
      <c r="C29" s="1"/>
      <c r="D29" s="11"/>
      <c r="E29" s="11"/>
      <c r="F29" s="11"/>
      <c r="G29" s="11"/>
      <c r="H29" s="11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" customHeight="1">
      <c r="A30" s="1"/>
      <c r="B30" s="27"/>
      <c r="C30" s="1"/>
      <c r="D30" s="11"/>
      <c r="E30" s="11"/>
      <c r="F30" s="11"/>
      <c r="G30" s="11"/>
      <c r="H30" s="11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" customHeight="1">
      <c r="A31" s="1"/>
      <c r="B31" s="17" t="s">
        <v>29</v>
      </c>
      <c r="C31" s="1"/>
      <c r="D31" s="11"/>
      <c r="E31" s="11"/>
      <c r="F31" s="11"/>
      <c r="G31" s="11"/>
      <c r="H31" s="11"/>
      <c r="I31" s="11"/>
      <c r="J31" s="1"/>
      <c r="K31" s="1"/>
      <c r="L31" s="1"/>
      <c r="M31" s="1"/>
      <c r="N31" s="1"/>
      <c r="O31" s="32"/>
      <c r="P31" s="32"/>
      <c r="Q31" s="3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6.75" customHeight="1">
      <c r="A32" s="1"/>
      <c r="B32" s="17"/>
      <c r="C32" s="1"/>
      <c r="D32" s="11"/>
      <c r="E32" s="11"/>
      <c r="F32" s="11"/>
      <c r="G32" s="11"/>
      <c r="H32" s="11"/>
      <c r="I32" s="11"/>
      <c r="J32" s="1"/>
      <c r="K32" s="1"/>
      <c r="L32" s="1"/>
      <c r="M32" s="1"/>
      <c r="N32" s="1"/>
      <c r="O32" s="32"/>
      <c r="P32" s="32"/>
      <c r="Q32" s="3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8" customHeight="1">
      <c r="A33" s="1"/>
      <c r="B33" s="17"/>
      <c r="C33" s="1"/>
      <c r="D33" s="33" t="s">
        <v>77</v>
      </c>
      <c r="E33" s="11"/>
      <c r="F33" s="11"/>
      <c r="G33" s="11"/>
      <c r="H33" s="11"/>
      <c r="I33" s="11"/>
      <c r="J33" s="1"/>
      <c r="K33" s="1"/>
      <c r="L33" s="1"/>
      <c r="M33" s="1"/>
      <c r="N33" s="1"/>
      <c r="O33" s="32"/>
      <c r="P33" s="32"/>
      <c r="Q33" s="3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8" customHeight="1">
      <c r="A34" s="1"/>
      <c r="B34" s="17"/>
      <c r="C34" s="1"/>
      <c r="D34" s="11"/>
      <c r="E34" s="11"/>
      <c r="F34" s="11"/>
      <c r="G34" s="11"/>
      <c r="H34" s="11"/>
      <c r="I34" s="11"/>
      <c r="J34" s="1"/>
      <c r="K34" s="1"/>
      <c r="L34" s="1"/>
      <c r="M34" s="1"/>
      <c r="N34" s="1"/>
      <c r="O34" s="32"/>
      <c r="P34" s="32"/>
      <c r="Q34" s="3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" customHeight="1">
      <c r="A35" s="1"/>
      <c r="B35" s="17"/>
      <c r="C35" s="1"/>
      <c r="D35" s="11"/>
      <c r="E35" s="11"/>
      <c r="F35" s="11"/>
      <c r="G35" s="11"/>
      <c r="H35" s="11"/>
      <c r="I35" s="11"/>
      <c r="J35" s="1"/>
      <c r="K35" s="1"/>
      <c r="L35" s="1"/>
      <c r="M35" s="1"/>
      <c r="N35" s="1"/>
      <c r="O35" s="34" t="s">
        <v>30</v>
      </c>
      <c r="P35" s="32"/>
      <c r="Q35" s="32"/>
      <c r="R35" s="1"/>
      <c r="S35" s="1"/>
      <c r="T35" s="1"/>
      <c r="U35" s="1"/>
      <c r="V35" s="1"/>
      <c r="W35" s="1"/>
      <c r="X35" s="1"/>
      <c r="Y35" s="1"/>
      <c r="AB35" s="1"/>
    </row>
    <row r="36" spans="1:28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32"/>
      <c r="L36" s="35"/>
      <c r="M36" s="7"/>
      <c r="N36" s="36"/>
      <c r="O36" s="1"/>
      <c r="P36" s="32"/>
      <c r="Q36" s="32"/>
      <c r="R36" s="32"/>
      <c r="S36" s="1"/>
      <c r="T36" s="137" t="s">
        <v>31</v>
      </c>
      <c r="U36" s="138"/>
      <c r="V36" s="139"/>
      <c r="W36" s="1"/>
      <c r="X36" s="1"/>
      <c r="Y36" s="1"/>
      <c r="Z36" s="1"/>
      <c r="AA36" s="1"/>
      <c r="AB36" s="1"/>
    </row>
    <row r="37" spans="1:28" ht="25">
      <c r="A37" s="1"/>
      <c r="B37" s="37" t="s">
        <v>32</v>
      </c>
      <c r="C37" s="37" t="s">
        <v>33</v>
      </c>
      <c r="D37" s="37" t="s">
        <v>34</v>
      </c>
      <c r="E37" s="37" t="s">
        <v>35</v>
      </c>
      <c r="F37" s="38" t="s">
        <v>36</v>
      </c>
      <c r="G37" s="39" t="s">
        <v>37</v>
      </c>
      <c r="H37" s="40" t="s">
        <v>38</v>
      </c>
      <c r="I37" s="40" t="s">
        <v>39</v>
      </c>
      <c r="J37" s="40" t="s">
        <v>40</v>
      </c>
      <c r="K37" s="40" t="s">
        <v>41</v>
      </c>
      <c r="L37" s="41" t="s">
        <v>42</v>
      </c>
      <c r="M37" s="42" t="s">
        <v>43</v>
      </c>
      <c r="N37" s="43" t="s">
        <v>44</v>
      </c>
      <c r="O37" s="40" t="s">
        <v>45</v>
      </c>
      <c r="P37" s="40" t="s">
        <v>46</v>
      </c>
      <c r="Q37" s="40" t="s">
        <v>40</v>
      </c>
      <c r="R37" s="40" t="s">
        <v>47</v>
      </c>
      <c r="S37" s="43" t="s">
        <v>42</v>
      </c>
      <c r="T37" s="3" t="s">
        <v>48</v>
      </c>
      <c r="U37" s="44" t="s">
        <v>49</v>
      </c>
      <c r="V37" s="45" t="s">
        <v>50</v>
      </c>
      <c r="W37" s="1"/>
      <c r="X37" s="1"/>
      <c r="Y37" s="1"/>
    </row>
    <row r="38" spans="1:28" ht="12" customHeight="1">
      <c r="A38" s="1"/>
      <c r="B38" s="25"/>
      <c r="C38" s="31"/>
      <c r="D38" s="31"/>
      <c r="E38" s="31"/>
      <c r="F38" s="31"/>
      <c r="G38" s="131"/>
      <c r="H38" s="46">
        <v>0</v>
      </c>
      <c r="I38" s="46">
        <v>0</v>
      </c>
      <c r="J38" s="46">
        <v>0</v>
      </c>
      <c r="K38" s="46">
        <v>0</v>
      </c>
      <c r="L38" s="35"/>
      <c r="M38" s="46">
        <f t="shared" ref="M38:M52" si="0">+H38-K38</f>
        <v>0</v>
      </c>
      <c r="N38" s="1"/>
      <c r="O38" s="46" t="e">
        <f t="shared" ref="O38:O47" si="1">+(H38-I38)/F38</f>
        <v>#DIV/0!</v>
      </c>
      <c r="P38" s="46" t="e">
        <f t="shared" ref="P38:P52" si="2">+Q38*12</f>
        <v>#DIV/0!</v>
      </c>
      <c r="Q38" s="46" t="e">
        <f t="shared" ref="Q38:Q52" si="3">+O38/12</f>
        <v>#DIV/0!</v>
      </c>
      <c r="R38" s="31" t="e">
        <f t="shared" ref="R38:R52" si="4">+(($O$35-G38)/365)*O38</f>
        <v>#VALUE!</v>
      </c>
      <c r="S38" s="78"/>
      <c r="T38" s="46">
        <v>0</v>
      </c>
      <c r="U38" s="25" t="s">
        <v>51</v>
      </c>
      <c r="V38" s="31"/>
      <c r="W38" s="1"/>
      <c r="X38" s="1"/>
      <c r="Y38" s="1"/>
    </row>
    <row r="39" spans="1:28" ht="12" customHeight="1">
      <c r="A39" s="1"/>
      <c r="B39" s="25"/>
      <c r="C39" s="31"/>
      <c r="D39" s="31"/>
      <c r="E39" s="31"/>
      <c r="F39" s="31"/>
      <c r="G39" s="131"/>
      <c r="H39" s="46">
        <v>0</v>
      </c>
      <c r="I39" s="46">
        <v>0</v>
      </c>
      <c r="J39" s="46">
        <v>0</v>
      </c>
      <c r="K39" s="46">
        <v>0</v>
      </c>
      <c r="L39" s="35"/>
      <c r="M39" s="46">
        <f t="shared" si="0"/>
        <v>0</v>
      </c>
      <c r="N39" s="35"/>
      <c r="O39" s="46" t="e">
        <f t="shared" si="1"/>
        <v>#DIV/0!</v>
      </c>
      <c r="P39" s="46" t="e">
        <f t="shared" si="2"/>
        <v>#DIV/0!</v>
      </c>
      <c r="Q39" s="46" t="e">
        <f t="shared" si="3"/>
        <v>#DIV/0!</v>
      </c>
      <c r="R39" s="31" t="e">
        <f t="shared" si="4"/>
        <v>#VALUE!</v>
      </c>
      <c r="S39" s="78"/>
      <c r="T39" s="46">
        <v>0</v>
      </c>
      <c r="U39" s="25" t="s">
        <v>51</v>
      </c>
      <c r="V39" s="31"/>
      <c r="W39" s="1"/>
      <c r="X39" s="1"/>
      <c r="Y39" s="1"/>
    </row>
    <row r="40" spans="1:28" ht="12" customHeight="1">
      <c r="A40" s="1"/>
      <c r="B40" s="25"/>
      <c r="C40" s="31"/>
      <c r="D40" s="31"/>
      <c r="E40" s="31"/>
      <c r="F40" s="31"/>
      <c r="G40" s="131"/>
      <c r="H40" s="46">
        <v>0</v>
      </c>
      <c r="I40" s="46">
        <v>0</v>
      </c>
      <c r="J40" s="46">
        <v>0</v>
      </c>
      <c r="K40" s="46">
        <v>0</v>
      </c>
      <c r="L40" s="35"/>
      <c r="M40" s="46">
        <f t="shared" si="0"/>
        <v>0</v>
      </c>
      <c r="N40" s="35"/>
      <c r="O40" s="46" t="e">
        <f t="shared" si="1"/>
        <v>#DIV/0!</v>
      </c>
      <c r="P40" s="46" t="e">
        <f t="shared" si="2"/>
        <v>#DIV/0!</v>
      </c>
      <c r="Q40" s="46" t="e">
        <f t="shared" si="3"/>
        <v>#DIV/0!</v>
      </c>
      <c r="R40" s="31" t="e">
        <f t="shared" si="4"/>
        <v>#VALUE!</v>
      </c>
      <c r="S40" s="78"/>
      <c r="T40" s="46">
        <v>0</v>
      </c>
      <c r="U40" s="25" t="s">
        <v>75</v>
      </c>
      <c r="V40" s="31"/>
      <c r="W40" s="1"/>
      <c r="X40" s="1"/>
      <c r="Y40" s="1"/>
    </row>
    <row r="41" spans="1:28" ht="12" customHeight="1">
      <c r="A41" s="1"/>
      <c r="B41" s="25"/>
      <c r="C41" s="31"/>
      <c r="D41" s="31"/>
      <c r="E41" s="31"/>
      <c r="F41" s="31"/>
      <c r="G41" s="131"/>
      <c r="H41" s="46">
        <v>0</v>
      </c>
      <c r="I41" s="46">
        <v>0</v>
      </c>
      <c r="J41" s="46">
        <v>0</v>
      </c>
      <c r="K41" s="46">
        <v>0</v>
      </c>
      <c r="L41" s="35"/>
      <c r="M41" s="46">
        <f t="shared" si="0"/>
        <v>0</v>
      </c>
      <c r="N41" s="35"/>
      <c r="O41" s="46" t="e">
        <f t="shared" si="1"/>
        <v>#DIV/0!</v>
      </c>
      <c r="P41" s="46" t="e">
        <f t="shared" si="2"/>
        <v>#DIV/0!</v>
      </c>
      <c r="Q41" s="46" t="e">
        <f t="shared" si="3"/>
        <v>#DIV/0!</v>
      </c>
      <c r="R41" s="31" t="e">
        <f t="shared" si="4"/>
        <v>#VALUE!</v>
      </c>
      <c r="S41" s="78"/>
      <c r="T41" s="46">
        <v>0</v>
      </c>
      <c r="U41" s="25" t="s">
        <v>51</v>
      </c>
      <c r="V41" s="31"/>
      <c r="W41" s="1"/>
      <c r="X41" s="1"/>
      <c r="Y41" s="1"/>
    </row>
    <row r="42" spans="1:28" ht="12" customHeight="1">
      <c r="A42" s="1"/>
      <c r="B42" s="25"/>
      <c r="C42" s="31"/>
      <c r="D42" s="31"/>
      <c r="E42" s="31"/>
      <c r="F42" s="31"/>
      <c r="G42" s="131"/>
      <c r="H42" s="46">
        <v>0</v>
      </c>
      <c r="I42" s="46">
        <v>0</v>
      </c>
      <c r="J42" s="46">
        <v>0</v>
      </c>
      <c r="K42" s="46">
        <v>0</v>
      </c>
      <c r="L42" s="35"/>
      <c r="M42" s="46">
        <f t="shared" si="0"/>
        <v>0</v>
      </c>
      <c r="N42" s="35"/>
      <c r="O42" s="46" t="e">
        <f t="shared" si="1"/>
        <v>#DIV/0!</v>
      </c>
      <c r="P42" s="46" t="e">
        <f t="shared" si="2"/>
        <v>#DIV/0!</v>
      </c>
      <c r="Q42" s="46" t="e">
        <f t="shared" si="3"/>
        <v>#DIV/0!</v>
      </c>
      <c r="R42" s="31" t="e">
        <f t="shared" si="4"/>
        <v>#VALUE!</v>
      </c>
      <c r="S42" s="78"/>
      <c r="T42" s="46">
        <v>0</v>
      </c>
      <c r="U42" s="25" t="s">
        <v>51</v>
      </c>
      <c r="V42" s="31"/>
      <c r="W42" s="1"/>
      <c r="X42" s="1"/>
      <c r="Y42" s="1"/>
    </row>
    <row r="43" spans="1:28" ht="12" customHeight="1">
      <c r="A43" s="1"/>
      <c r="B43" s="47"/>
      <c r="C43" s="48"/>
      <c r="D43" s="49"/>
      <c r="E43" s="49"/>
      <c r="F43" s="50"/>
      <c r="G43" s="131"/>
      <c r="H43" s="46">
        <v>0</v>
      </c>
      <c r="I43" s="46">
        <v>0</v>
      </c>
      <c r="J43" s="46">
        <v>0</v>
      </c>
      <c r="K43" s="46">
        <v>0</v>
      </c>
      <c r="L43" s="51"/>
      <c r="M43" s="46">
        <f t="shared" si="0"/>
        <v>0</v>
      </c>
      <c r="N43" s="52"/>
      <c r="O43" s="46" t="e">
        <f t="shared" si="1"/>
        <v>#DIV/0!</v>
      </c>
      <c r="P43" s="46" t="e">
        <f t="shared" si="2"/>
        <v>#DIV/0!</v>
      </c>
      <c r="Q43" s="46" t="e">
        <f t="shared" si="3"/>
        <v>#DIV/0!</v>
      </c>
      <c r="R43" s="31" t="e">
        <f t="shared" si="4"/>
        <v>#VALUE!</v>
      </c>
      <c r="S43" s="64"/>
      <c r="T43" s="46">
        <v>0</v>
      </c>
      <c r="U43" s="25" t="s">
        <v>51</v>
      </c>
      <c r="V43" s="31"/>
      <c r="W43" s="1"/>
      <c r="X43" s="1"/>
      <c r="Y43" s="1"/>
    </row>
    <row r="44" spans="1:28" ht="12" customHeight="1">
      <c r="A44" s="1"/>
      <c r="B44" s="53"/>
      <c r="C44" s="48"/>
      <c r="D44" s="54"/>
      <c r="E44" s="31"/>
      <c r="F44" s="50"/>
      <c r="G44" s="131"/>
      <c r="H44" s="46">
        <v>0</v>
      </c>
      <c r="I44" s="46">
        <v>0</v>
      </c>
      <c r="J44" s="46">
        <v>0</v>
      </c>
      <c r="K44" s="46">
        <v>0</v>
      </c>
      <c r="L44" s="55"/>
      <c r="M44" s="46">
        <f t="shared" si="0"/>
        <v>0</v>
      </c>
      <c r="N44" s="56"/>
      <c r="O44" s="46" t="e">
        <f t="shared" si="1"/>
        <v>#DIV/0!</v>
      </c>
      <c r="P44" s="46" t="e">
        <f t="shared" si="2"/>
        <v>#DIV/0!</v>
      </c>
      <c r="Q44" s="46" t="e">
        <f t="shared" si="3"/>
        <v>#DIV/0!</v>
      </c>
      <c r="R44" s="46" t="e">
        <f t="shared" si="4"/>
        <v>#VALUE!</v>
      </c>
      <c r="S44" s="64"/>
      <c r="T44" s="46">
        <v>0</v>
      </c>
      <c r="U44" s="25" t="s">
        <v>51</v>
      </c>
      <c r="V44" s="31"/>
      <c r="W44" s="1"/>
      <c r="X44" s="1"/>
      <c r="Y44" s="1"/>
    </row>
    <row r="45" spans="1:28" ht="12" customHeight="1">
      <c r="A45" s="1"/>
      <c r="B45" s="53"/>
      <c r="C45" s="48"/>
      <c r="D45" s="54"/>
      <c r="E45" s="31"/>
      <c r="F45" s="50"/>
      <c r="G45" s="131"/>
      <c r="H45" s="46">
        <v>0</v>
      </c>
      <c r="I45" s="46">
        <v>0</v>
      </c>
      <c r="J45" s="46">
        <v>0</v>
      </c>
      <c r="K45" s="46">
        <v>0</v>
      </c>
      <c r="L45" s="55"/>
      <c r="M45" s="46">
        <f t="shared" si="0"/>
        <v>0</v>
      </c>
      <c r="N45" s="56"/>
      <c r="O45" s="46" t="e">
        <f t="shared" si="1"/>
        <v>#DIV/0!</v>
      </c>
      <c r="P45" s="46" t="e">
        <f t="shared" si="2"/>
        <v>#DIV/0!</v>
      </c>
      <c r="Q45" s="46" t="e">
        <f t="shared" si="3"/>
        <v>#DIV/0!</v>
      </c>
      <c r="R45" s="46" t="e">
        <f t="shared" si="4"/>
        <v>#VALUE!</v>
      </c>
      <c r="S45" s="64"/>
      <c r="T45" s="46">
        <v>0</v>
      </c>
      <c r="U45" s="25" t="s">
        <v>51</v>
      </c>
      <c r="V45" s="31"/>
      <c r="W45" s="1"/>
      <c r="X45" s="1"/>
      <c r="Y45" s="1"/>
    </row>
    <row r="46" spans="1:28" ht="12" customHeight="1">
      <c r="A46" s="1"/>
      <c r="B46" s="53"/>
      <c r="C46" s="48"/>
      <c r="D46" s="54"/>
      <c r="E46" s="31"/>
      <c r="F46" s="50"/>
      <c r="G46" s="131"/>
      <c r="H46" s="46">
        <v>0</v>
      </c>
      <c r="I46" s="46">
        <v>0</v>
      </c>
      <c r="J46" s="46">
        <v>0</v>
      </c>
      <c r="K46" s="46">
        <v>0</v>
      </c>
      <c r="L46" s="55"/>
      <c r="M46" s="46">
        <f t="shared" si="0"/>
        <v>0</v>
      </c>
      <c r="N46" s="56"/>
      <c r="O46" s="46" t="e">
        <f t="shared" si="1"/>
        <v>#DIV/0!</v>
      </c>
      <c r="P46" s="46" t="e">
        <f t="shared" si="2"/>
        <v>#DIV/0!</v>
      </c>
      <c r="Q46" s="46" t="e">
        <f t="shared" si="3"/>
        <v>#DIV/0!</v>
      </c>
      <c r="R46" s="46" t="e">
        <f t="shared" si="4"/>
        <v>#VALUE!</v>
      </c>
      <c r="S46" s="64"/>
      <c r="T46" s="46">
        <v>0</v>
      </c>
      <c r="U46" s="25" t="s">
        <v>51</v>
      </c>
      <c r="V46" s="31"/>
      <c r="W46" s="1"/>
      <c r="X46" s="1"/>
      <c r="Y46" s="1"/>
    </row>
    <row r="47" spans="1:28" ht="12" customHeight="1">
      <c r="A47" s="1"/>
      <c r="B47" s="53"/>
      <c r="C47" s="48"/>
      <c r="D47" s="54"/>
      <c r="E47" s="31"/>
      <c r="F47" s="50"/>
      <c r="G47" s="131"/>
      <c r="H47" s="46">
        <v>0</v>
      </c>
      <c r="I47" s="46">
        <v>0</v>
      </c>
      <c r="J47" s="46">
        <v>0</v>
      </c>
      <c r="K47" s="46">
        <v>0</v>
      </c>
      <c r="L47" s="55"/>
      <c r="M47" s="46">
        <f t="shared" si="0"/>
        <v>0</v>
      </c>
      <c r="N47" s="56"/>
      <c r="O47" s="46" t="e">
        <f t="shared" si="1"/>
        <v>#DIV/0!</v>
      </c>
      <c r="P47" s="46" t="e">
        <f t="shared" si="2"/>
        <v>#DIV/0!</v>
      </c>
      <c r="Q47" s="46" t="e">
        <f t="shared" si="3"/>
        <v>#DIV/0!</v>
      </c>
      <c r="R47" s="46" t="e">
        <f t="shared" si="4"/>
        <v>#VALUE!</v>
      </c>
      <c r="S47" s="64"/>
      <c r="T47" s="46">
        <v>0</v>
      </c>
      <c r="U47" s="25" t="s">
        <v>51</v>
      </c>
      <c r="V47" s="31"/>
      <c r="W47" s="1"/>
      <c r="X47" s="1"/>
      <c r="Y47" s="1"/>
    </row>
    <row r="48" spans="1:28" ht="12" customHeight="1">
      <c r="A48" s="1"/>
      <c r="B48" s="53"/>
      <c r="C48" s="48"/>
      <c r="D48" s="54"/>
      <c r="E48" s="49"/>
      <c r="F48" s="50"/>
      <c r="G48" s="131"/>
      <c r="H48" s="46">
        <v>0</v>
      </c>
      <c r="I48" s="46">
        <v>0</v>
      </c>
      <c r="J48" s="46">
        <v>0</v>
      </c>
      <c r="K48" s="46">
        <v>0</v>
      </c>
      <c r="L48" s="55"/>
      <c r="M48" s="46">
        <f t="shared" si="0"/>
        <v>0</v>
      </c>
      <c r="N48" s="56"/>
      <c r="O48" s="46" t="e">
        <f>+((H48-I48)/F48)</f>
        <v>#DIV/0!</v>
      </c>
      <c r="P48" s="46" t="e">
        <f t="shared" si="2"/>
        <v>#DIV/0!</v>
      </c>
      <c r="Q48" s="46" t="e">
        <f t="shared" si="3"/>
        <v>#DIV/0!</v>
      </c>
      <c r="R48" s="46" t="e">
        <f t="shared" si="4"/>
        <v>#VALUE!</v>
      </c>
      <c r="S48" s="64"/>
      <c r="T48" s="46">
        <v>0</v>
      </c>
      <c r="U48" s="25" t="s">
        <v>51</v>
      </c>
      <c r="V48" s="31"/>
      <c r="W48" s="1"/>
      <c r="X48" s="1"/>
      <c r="Y48" s="1"/>
    </row>
    <row r="49" spans="1:25" ht="12" customHeight="1">
      <c r="A49" s="1"/>
      <c r="B49" s="53"/>
      <c r="C49" s="48"/>
      <c r="D49" s="54"/>
      <c r="E49" s="49"/>
      <c r="F49" s="50"/>
      <c r="G49" s="131"/>
      <c r="H49" s="46">
        <v>0</v>
      </c>
      <c r="I49" s="46">
        <v>0</v>
      </c>
      <c r="J49" s="46">
        <v>0</v>
      </c>
      <c r="K49" s="46">
        <v>0</v>
      </c>
      <c r="L49" s="57"/>
      <c r="M49" s="46">
        <f t="shared" si="0"/>
        <v>0</v>
      </c>
      <c r="N49" s="57"/>
      <c r="O49" s="46" t="e">
        <f t="shared" ref="O49:O52" si="5">+H49/F49</f>
        <v>#DIV/0!</v>
      </c>
      <c r="P49" s="46" t="e">
        <f t="shared" si="2"/>
        <v>#DIV/0!</v>
      </c>
      <c r="Q49" s="46" t="e">
        <f t="shared" si="3"/>
        <v>#DIV/0!</v>
      </c>
      <c r="R49" s="46" t="e">
        <f t="shared" si="4"/>
        <v>#VALUE!</v>
      </c>
      <c r="S49" s="64"/>
      <c r="T49" s="46">
        <v>0</v>
      </c>
      <c r="U49" s="25" t="s">
        <v>51</v>
      </c>
      <c r="V49" s="31"/>
      <c r="W49" s="1"/>
      <c r="X49" s="1"/>
      <c r="Y49" s="1"/>
    </row>
    <row r="50" spans="1:25" ht="12" customHeight="1">
      <c r="A50" s="1"/>
      <c r="B50" s="53"/>
      <c r="C50" s="48"/>
      <c r="D50" s="54"/>
      <c r="E50" s="49"/>
      <c r="F50" s="50"/>
      <c r="G50" s="131"/>
      <c r="H50" s="46">
        <v>0</v>
      </c>
      <c r="I50" s="46">
        <v>0</v>
      </c>
      <c r="J50" s="46">
        <v>0</v>
      </c>
      <c r="K50" s="46">
        <v>0</v>
      </c>
      <c r="L50" s="57"/>
      <c r="M50" s="46">
        <f t="shared" si="0"/>
        <v>0</v>
      </c>
      <c r="N50" s="57"/>
      <c r="O50" s="46" t="e">
        <f t="shared" si="5"/>
        <v>#DIV/0!</v>
      </c>
      <c r="P50" s="46" t="e">
        <f t="shared" si="2"/>
        <v>#DIV/0!</v>
      </c>
      <c r="Q50" s="46" t="e">
        <f t="shared" si="3"/>
        <v>#DIV/0!</v>
      </c>
      <c r="R50" s="46" t="e">
        <f t="shared" si="4"/>
        <v>#VALUE!</v>
      </c>
      <c r="S50" s="64"/>
      <c r="T50" s="46">
        <v>0</v>
      </c>
      <c r="U50" s="25" t="s">
        <v>51</v>
      </c>
      <c r="V50" s="31"/>
      <c r="W50" s="1"/>
      <c r="X50" s="1"/>
      <c r="Y50" s="1"/>
    </row>
    <row r="51" spans="1:25" ht="12" customHeight="1">
      <c r="A51" s="1"/>
      <c r="B51" s="53"/>
      <c r="C51" s="48"/>
      <c r="D51" s="54"/>
      <c r="E51" s="49"/>
      <c r="F51" s="50"/>
      <c r="G51" s="131"/>
      <c r="H51" s="46">
        <v>0</v>
      </c>
      <c r="I51" s="46">
        <v>0</v>
      </c>
      <c r="J51" s="46">
        <v>0</v>
      </c>
      <c r="K51" s="46">
        <v>0</v>
      </c>
      <c r="L51" s="57"/>
      <c r="M51" s="46">
        <f t="shared" si="0"/>
        <v>0</v>
      </c>
      <c r="N51" s="57"/>
      <c r="O51" s="46" t="e">
        <f t="shared" si="5"/>
        <v>#DIV/0!</v>
      </c>
      <c r="P51" s="46" t="e">
        <f t="shared" si="2"/>
        <v>#DIV/0!</v>
      </c>
      <c r="Q51" s="46" t="e">
        <f t="shared" si="3"/>
        <v>#DIV/0!</v>
      </c>
      <c r="R51" s="46" t="e">
        <f t="shared" si="4"/>
        <v>#VALUE!</v>
      </c>
      <c r="S51" s="64"/>
      <c r="T51" s="46">
        <v>0</v>
      </c>
      <c r="U51" s="25" t="s">
        <v>51</v>
      </c>
      <c r="V51" s="31"/>
      <c r="W51" s="1"/>
      <c r="X51" s="1"/>
      <c r="Y51" s="1"/>
    </row>
    <row r="52" spans="1:25" ht="12" customHeight="1">
      <c r="A52" s="1"/>
      <c r="B52" s="53"/>
      <c r="C52" s="48"/>
      <c r="D52" s="54"/>
      <c r="E52" s="54"/>
      <c r="F52" s="50"/>
      <c r="G52" s="131"/>
      <c r="H52" s="46">
        <v>0</v>
      </c>
      <c r="I52" s="46">
        <v>0</v>
      </c>
      <c r="J52" s="46">
        <v>0</v>
      </c>
      <c r="K52" s="46">
        <v>0</v>
      </c>
      <c r="L52" s="57"/>
      <c r="M52" s="46">
        <f t="shared" si="0"/>
        <v>0</v>
      </c>
      <c r="N52" s="57"/>
      <c r="O52" s="46" t="e">
        <f t="shared" si="5"/>
        <v>#DIV/0!</v>
      </c>
      <c r="P52" s="46" t="e">
        <f t="shared" si="2"/>
        <v>#DIV/0!</v>
      </c>
      <c r="Q52" s="46" t="e">
        <f t="shared" si="3"/>
        <v>#DIV/0!</v>
      </c>
      <c r="R52" s="46" t="e">
        <f t="shared" si="4"/>
        <v>#VALUE!</v>
      </c>
      <c r="S52" s="64"/>
      <c r="T52" s="46">
        <v>0</v>
      </c>
      <c r="U52" s="25" t="s">
        <v>51</v>
      </c>
      <c r="V52" s="31"/>
      <c r="W52" s="1"/>
      <c r="X52" s="1"/>
      <c r="Y52" s="1"/>
    </row>
    <row r="53" spans="1:25" ht="7" customHeight="1">
      <c r="A53" s="1"/>
      <c r="B53" s="58"/>
      <c r="C53" s="59"/>
      <c r="D53" s="20"/>
      <c r="E53" s="20"/>
      <c r="F53" s="60"/>
      <c r="G53" s="61"/>
      <c r="H53" s="62"/>
      <c r="I53" s="62"/>
      <c r="J53" s="55"/>
      <c r="K53" s="56"/>
      <c r="L53" s="57"/>
      <c r="M53" s="57"/>
      <c r="N53" s="63"/>
      <c r="O53" s="30"/>
      <c r="P53" s="30"/>
      <c r="Q53" s="30"/>
      <c r="R53" s="30"/>
      <c r="S53" s="64"/>
      <c r="T53" s="1"/>
      <c r="U53" s="1"/>
      <c r="V53" s="1"/>
      <c r="W53" s="1"/>
      <c r="X53" s="1"/>
      <c r="Y53" s="1"/>
    </row>
    <row r="54" spans="1:25" ht="12" customHeight="1" thickBot="1">
      <c r="A54" s="1"/>
      <c r="B54" s="1"/>
      <c r="C54" s="1"/>
      <c r="D54" s="1"/>
      <c r="E54" s="1"/>
      <c r="F54" s="1"/>
      <c r="G54" s="1"/>
      <c r="H54" s="65">
        <f t="shared" ref="H54:K54" si="6">SUM(H38:H52)</f>
        <v>0</v>
      </c>
      <c r="I54" s="65">
        <f t="shared" si="6"/>
        <v>0</v>
      </c>
      <c r="J54" s="65">
        <f t="shared" si="6"/>
        <v>0</v>
      </c>
      <c r="K54" s="65">
        <f t="shared" si="6"/>
        <v>0</v>
      </c>
      <c r="L54" s="55"/>
      <c r="M54" s="65">
        <f>SUM(M38:M52)</f>
        <v>0</v>
      </c>
      <c r="N54" s="56"/>
      <c r="O54" s="136"/>
      <c r="P54" s="66" t="e">
        <f>SUM(P38:P52)</f>
        <v>#DIV/0!</v>
      </c>
      <c r="Q54" s="66" t="e">
        <f t="shared" ref="Q54:R54" si="7">SUM(Q38:Q52)</f>
        <v>#DIV/0!</v>
      </c>
      <c r="R54" s="66" t="e">
        <f t="shared" si="7"/>
        <v>#VALUE!</v>
      </c>
      <c r="S54" s="30"/>
      <c r="T54" s="1"/>
      <c r="U54" s="1"/>
      <c r="V54" s="1"/>
      <c r="W54" s="1"/>
      <c r="X54" s="1"/>
      <c r="Y54" s="1"/>
    </row>
    <row r="55" spans="1:25" ht="12" customHeight="1" thickTop="1">
      <c r="A55" s="1"/>
      <c r="B55" s="58"/>
      <c r="C55" s="59"/>
      <c r="D55" s="20"/>
      <c r="E55" s="20"/>
      <c r="F55" s="60"/>
      <c r="G55" s="61"/>
      <c r="H55" s="67"/>
      <c r="I55" s="62"/>
      <c r="J55" s="62"/>
      <c r="K55" s="67"/>
      <c r="L55" s="55"/>
      <c r="M55" s="56"/>
      <c r="N55" s="56"/>
      <c r="O55" s="30"/>
      <c r="P55" s="134" t="s">
        <v>86</v>
      </c>
      <c r="Q55" s="30"/>
      <c r="R55" s="30"/>
      <c r="S55" s="30"/>
      <c r="T55" s="1"/>
      <c r="U55" s="1"/>
      <c r="V55" s="1"/>
      <c r="W55" s="1"/>
      <c r="X55" s="1"/>
      <c r="Y55" s="1"/>
    </row>
    <row r="56" spans="1:25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68"/>
      <c r="Q56" s="1"/>
      <c r="R56" s="69"/>
      <c r="S56" s="1"/>
      <c r="T56" s="115"/>
      <c r="U56" s="115"/>
      <c r="V56" s="115"/>
      <c r="W56" s="1"/>
      <c r="X56" s="1"/>
      <c r="Y56" s="1"/>
    </row>
    <row r="57" spans="1:25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68"/>
      <c r="Q57" s="1"/>
      <c r="R57" s="70"/>
      <c r="S57" s="1"/>
      <c r="T57" s="1"/>
      <c r="U57" s="1"/>
      <c r="V57" s="1"/>
      <c r="W57" s="1"/>
      <c r="X57" s="1"/>
      <c r="Y57" s="1"/>
    </row>
    <row r="58" spans="1:25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68"/>
      <c r="Q58" s="1"/>
      <c r="R58" s="70"/>
      <c r="S58" s="1"/>
      <c r="T58" s="1"/>
      <c r="U58" s="1"/>
      <c r="V58" s="1"/>
      <c r="W58" s="1"/>
      <c r="X58" s="1"/>
      <c r="Y58" s="1"/>
    </row>
    <row r="59" spans="1:25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68"/>
      <c r="Q59" s="1"/>
      <c r="R59" s="70"/>
      <c r="S59" s="1"/>
      <c r="T59" s="1"/>
      <c r="U59" s="1"/>
      <c r="V59" s="1"/>
      <c r="W59" s="1"/>
      <c r="X59" s="1"/>
      <c r="Y59" s="1"/>
    </row>
    <row r="60" spans="1:25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68"/>
      <c r="Q60" s="1"/>
      <c r="R60" s="70"/>
      <c r="S60" s="1"/>
      <c r="T60" s="1"/>
      <c r="U60" s="1"/>
      <c r="V60" s="1"/>
      <c r="W60" s="1"/>
      <c r="X60" s="1"/>
      <c r="Y60" s="1"/>
    </row>
    <row r="61" spans="1:25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68"/>
      <c r="Q61" s="1"/>
      <c r="R61" s="70"/>
      <c r="S61" s="1"/>
      <c r="T61" s="1"/>
      <c r="U61" s="1"/>
      <c r="V61" s="1"/>
      <c r="W61" s="1"/>
      <c r="X61" s="1"/>
      <c r="Y61" s="1"/>
    </row>
    <row r="62" spans="1:25" ht="12" customHeight="1">
      <c r="A62" s="1"/>
      <c r="B62" s="140" t="s">
        <v>78</v>
      </c>
      <c r="C62" s="141"/>
      <c r="D62" s="141"/>
      <c r="E62" s="141"/>
      <c r="F62" s="141"/>
      <c r="G62" s="142"/>
      <c r="H62" s="1"/>
      <c r="I62" s="1"/>
      <c r="J62" s="1"/>
      <c r="K62" s="1"/>
      <c r="L62" s="1"/>
      <c r="M62" s="1"/>
      <c r="N62" s="1"/>
      <c r="O62" s="1"/>
      <c r="P62" s="68"/>
      <c r="Q62" s="1"/>
      <c r="R62" s="70"/>
      <c r="S62" s="1"/>
      <c r="T62" s="1"/>
      <c r="U62" s="1"/>
      <c r="V62" s="1"/>
      <c r="W62" s="1"/>
      <c r="X62" s="1"/>
      <c r="Y62" s="1"/>
    </row>
    <row r="63" spans="1:25" ht="12" customHeight="1">
      <c r="A63" s="16"/>
      <c r="B63" s="71"/>
      <c r="C63" s="71"/>
      <c r="D63" s="71"/>
      <c r="E63" s="71"/>
      <c r="F63" s="16"/>
      <c r="G63" s="16"/>
      <c r="H63" s="16"/>
      <c r="I63" s="16"/>
      <c r="J63" s="16"/>
      <c r="K63" s="16"/>
      <c r="L63" s="1"/>
      <c r="M63" s="16"/>
      <c r="N63" s="16"/>
      <c r="O63" s="16"/>
      <c r="P63" s="68"/>
      <c r="Q63" s="16"/>
      <c r="R63" s="72"/>
      <c r="S63" s="16"/>
      <c r="T63" s="16"/>
      <c r="U63" s="16"/>
      <c r="V63" s="16"/>
      <c r="W63" s="16"/>
      <c r="X63" s="16"/>
      <c r="Y63" s="16"/>
    </row>
    <row r="64" spans="1:25" ht="12" customHeight="1">
      <c r="A64" s="16"/>
      <c r="B64" s="73" t="s">
        <v>84</v>
      </c>
      <c r="C64" s="74"/>
      <c r="D64" s="71"/>
      <c r="E64" s="71"/>
      <c r="F64" s="16"/>
      <c r="G64" s="16"/>
      <c r="H64" s="16"/>
      <c r="I64" s="16"/>
      <c r="J64" s="16"/>
      <c r="K64" s="16"/>
      <c r="L64" s="1"/>
      <c r="M64" s="16"/>
      <c r="N64" s="16"/>
      <c r="O64" s="16"/>
      <c r="P64" s="68"/>
      <c r="Q64" s="16"/>
      <c r="R64" s="72"/>
      <c r="S64" s="16"/>
      <c r="T64" s="16"/>
      <c r="U64" s="16"/>
      <c r="V64" s="16"/>
      <c r="W64" s="16"/>
      <c r="X64" s="16"/>
      <c r="Y64" s="16"/>
    </row>
    <row r="65" spans="1:28" ht="12" customHeight="1">
      <c r="A65" s="16"/>
      <c r="B65" s="71"/>
      <c r="C65" s="71" t="s">
        <v>12</v>
      </c>
      <c r="D65" s="71"/>
      <c r="E65" s="71"/>
      <c r="F65" s="16"/>
      <c r="G65" s="16"/>
      <c r="H65" s="16"/>
      <c r="I65" s="16"/>
      <c r="J65" s="16"/>
      <c r="K65" s="16"/>
      <c r="L65" s="1"/>
      <c r="M65" s="16"/>
      <c r="N65" s="16"/>
      <c r="O65" s="16"/>
      <c r="P65" s="68"/>
      <c r="Q65" s="16"/>
      <c r="R65" s="72"/>
      <c r="S65" s="16"/>
      <c r="T65" s="16"/>
      <c r="U65" s="16"/>
      <c r="V65" s="16"/>
      <c r="W65" s="16"/>
      <c r="X65" s="16"/>
      <c r="Y65" s="16"/>
    </row>
    <row r="66" spans="1:28" s="126" customFormat="1" ht="25">
      <c r="A66" s="123"/>
      <c r="B66" s="42" t="s">
        <v>32</v>
      </c>
      <c r="C66" s="42" t="s">
        <v>33</v>
      </c>
      <c r="D66" s="42" t="s">
        <v>52</v>
      </c>
      <c r="E66" s="42" t="s">
        <v>53</v>
      </c>
      <c r="F66" s="42" t="s">
        <v>54</v>
      </c>
      <c r="G66" s="123"/>
      <c r="I66" s="123"/>
      <c r="J66" s="123"/>
      <c r="K66" s="123"/>
      <c r="L66" s="123"/>
      <c r="M66" s="123"/>
      <c r="N66" s="123"/>
      <c r="O66" s="123"/>
      <c r="P66" s="124"/>
      <c r="Q66" s="123"/>
      <c r="R66" s="125"/>
      <c r="S66" s="123"/>
      <c r="T66" s="123"/>
      <c r="U66" s="123"/>
      <c r="V66" s="123"/>
      <c r="W66" s="123"/>
      <c r="X66" s="123"/>
      <c r="Y66" s="123"/>
    </row>
    <row r="67" spans="1:28" ht="12" customHeight="1">
      <c r="A67" s="1"/>
      <c r="B67" s="75">
        <v>0</v>
      </c>
      <c r="C67" s="75">
        <v>0</v>
      </c>
      <c r="D67" s="75">
        <f>+K54</f>
        <v>0</v>
      </c>
      <c r="E67" s="76">
        <f>+K54</f>
        <v>0</v>
      </c>
      <c r="F67" s="77">
        <f>+D67-E67</f>
        <v>0</v>
      </c>
      <c r="G67" s="9" t="s">
        <v>85</v>
      </c>
      <c r="I67" s="1"/>
      <c r="J67" s="1"/>
      <c r="K67" s="1"/>
      <c r="L67" s="1"/>
      <c r="M67" s="1"/>
      <c r="N67" s="1"/>
      <c r="O67" s="1"/>
      <c r="P67" s="68"/>
      <c r="Q67" s="1"/>
      <c r="R67" s="70"/>
      <c r="S67" s="1"/>
      <c r="T67" s="1"/>
      <c r="U67" s="1"/>
      <c r="V67" s="1"/>
      <c r="W67" s="1"/>
      <c r="X67" s="1"/>
      <c r="Y67" s="1"/>
    </row>
    <row r="68" spans="1:28" ht="12" customHeight="1">
      <c r="A68" s="1"/>
      <c r="B68" s="75">
        <v>0</v>
      </c>
      <c r="C68" s="75">
        <v>0</v>
      </c>
      <c r="D68" s="75">
        <v>0</v>
      </c>
      <c r="E68" s="75">
        <f>+H54</f>
        <v>0</v>
      </c>
      <c r="F68" s="77">
        <f>+D68-E68</f>
        <v>0</v>
      </c>
      <c r="G68" s="9" t="s">
        <v>85</v>
      </c>
      <c r="I68" s="1"/>
      <c r="J68" s="1"/>
      <c r="K68" s="1"/>
      <c r="L68" s="1"/>
      <c r="M68" s="1"/>
      <c r="N68" s="1"/>
      <c r="O68" s="1"/>
      <c r="P68" s="68"/>
      <c r="Q68" s="1"/>
      <c r="R68" s="70"/>
      <c r="S68" s="1"/>
      <c r="T68" s="1"/>
      <c r="U68" s="1"/>
      <c r="V68" s="1"/>
      <c r="W68" s="1"/>
      <c r="X68" s="1"/>
      <c r="Y68" s="1"/>
    </row>
    <row r="69" spans="1:28" ht="7" customHeight="1">
      <c r="A69" s="1"/>
      <c r="B69" s="16"/>
      <c r="C69" s="16"/>
      <c r="D69" s="70"/>
      <c r="E69" s="1"/>
      <c r="F69" s="1"/>
      <c r="G69" s="1"/>
      <c r="I69" s="1"/>
      <c r="J69" s="1"/>
      <c r="K69" s="1"/>
      <c r="L69" s="1"/>
      <c r="M69" s="1"/>
      <c r="N69" s="1"/>
      <c r="O69" s="1"/>
      <c r="P69" s="68"/>
      <c r="Q69" s="1"/>
      <c r="R69" s="70"/>
      <c r="S69" s="1"/>
      <c r="T69" s="1"/>
      <c r="U69" s="1"/>
      <c r="V69" s="1"/>
      <c r="W69" s="1"/>
      <c r="X69" s="1"/>
      <c r="Y69" s="1"/>
    </row>
    <row r="70" spans="1:28" ht="12" customHeight="1" thickBot="1">
      <c r="A70" s="1"/>
      <c r="B70" s="16"/>
      <c r="C70" s="16"/>
      <c r="D70" s="1"/>
      <c r="E70" s="1"/>
      <c r="F70" s="79">
        <f>SUM(F67:F68)</f>
        <v>0</v>
      </c>
      <c r="G70" s="1"/>
      <c r="I70" s="1"/>
      <c r="J70" s="1"/>
      <c r="K70" s="1"/>
      <c r="L70" s="1"/>
      <c r="M70" s="1"/>
      <c r="N70" s="1"/>
      <c r="O70" s="1"/>
      <c r="P70" s="68"/>
      <c r="Q70" s="1"/>
      <c r="R70" s="70"/>
      <c r="S70" s="1"/>
      <c r="T70" s="1"/>
      <c r="U70" s="1"/>
      <c r="V70" s="1"/>
      <c r="W70" s="1"/>
      <c r="X70" s="1"/>
      <c r="Y70" s="1"/>
    </row>
    <row r="71" spans="1:28" ht="12" customHeight="1" thickTop="1">
      <c r="A71" s="1"/>
      <c r="B71" s="16"/>
      <c r="C71" s="16"/>
      <c r="D71" s="1"/>
      <c r="E71" s="1"/>
      <c r="F71" s="80"/>
      <c r="G71" s="1"/>
      <c r="I71" s="1"/>
      <c r="J71" s="1"/>
      <c r="K71" s="1"/>
      <c r="L71" s="1"/>
      <c r="M71" s="1"/>
      <c r="N71" s="1"/>
      <c r="O71" s="1"/>
      <c r="P71" s="68"/>
      <c r="Q71" s="1"/>
      <c r="R71" s="70"/>
      <c r="S71" s="1"/>
      <c r="T71" s="1"/>
      <c r="U71" s="1"/>
      <c r="V71" s="1"/>
      <c r="W71" s="1"/>
      <c r="X71" s="1"/>
      <c r="Y71" s="1"/>
    </row>
    <row r="72" spans="1:28" ht="12" customHeight="1">
      <c r="A72" s="1"/>
      <c r="B72" s="16"/>
      <c r="C72" s="16"/>
      <c r="D72" s="1"/>
      <c r="E72" s="1"/>
      <c r="F72" s="1"/>
      <c r="G72" s="80"/>
      <c r="H72" s="1"/>
      <c r="I72" s="1"/>
      <c r="J72" s="1"/>
      <c r="K72" s="1"/>
      <c r="L72" s="1"/>
      <c r="M72" s="1"/>
      <c r="N72" s="1"/>
      <c r="O72" s="1"/>
      <c r="P72" s="68"/>
      <c r="Q72" s="1"/>
      <c r="R72" s="70"/>
      <c r="S72" s="1"/>
      <c r="T72" s="1"/>
      <c r="U72" s="1"/>
      <c r="V72" s="1"/>
      <c r="W72" s="1"/>
      <c r="X72" s="1"/>
      <c r="Y72" s="1"/>
    </row>
    <row r="73" spans="1:28" ht="12" customHeight="1">
      <c r="A73" s="1"/>
      <c r="B73" s="16"/>
      <c r="C73" s="16"/>
      <c r="D73" s="1"/>
      <c r="E73" s="1"/>
      <c r="F73" s="1"/>
      <c r="G73" s="80"/>
      <c r="H73" s="1"/>
      <c r="I73" s="1"/>
      <c r="J73" s="1"/>
      <c r="K73" s="1"/>
      <c r="L73" s="1"/>
      <c r="M73" s="1"/>
      <c r="N73" s="1"/>
      <c r="O73" s="1"/>
      <c r="P73" s="68"/>
      <c r="Q73" s="1"/>
      <c r="R73" s="70"/>
      <c r="S73" s="1"/>
      <c r="T73" s="1"/>
      <c r="U73" s="1"/>
      <c r="V73" s="1"/>
      <c r="W73" s="1"/>
      <c r="X73" s="1"/>
      <c r="Y73" s="1"/>
    </row>
    <row r="74" spans="1:28" ht="12" customHeight="1">
      <c r="A74" s="1"/>
      <c r="B74" s="73" t="s">
        <v>80</v>
      </c>
      <c r="C74" s="1"/>
      <c r="D74" s="1"/>
      <c r="E74" s="1"/>
      <c r="F74" s="1"/>
      <c r="G74" s="16"/>
      <c r="H74" s="1"/>
      <c r="I74" s="1"/>
      <c r="J74" s="1"/>
      <c r="K74" s="1"/>
      <c r="L74" s="1"/>
      <c r="M74" s="1"/>
      <c r="N74" s="1"/>
      <c r="O74" s="1"/>
      <c r="P74" s="68"/>
      <c r="Q74" s="1"/>
      <c r="R74" s="70"/>
      <c r="S74" s="1"/>
      <c r="T74" s="1"/>
      <c r="U74" s="1"/>
      <c r="V74" s="1"/>
      <c r="W74" s="1"/>
      <c r="X74" s="1"/>
      <c r="Y74" s="1"/>
    </row>
    <row r="75" spans="1:28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68"/>
      <c r="Q75" s="1"/>
      <c r="R75" s="70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s="122" customFormat="1" ht="25.5">
      <c r="A76" s="118"/>
      <c r="B76" s="119" t="s">
        <v>32</v>
      </c>
      <c r="C76" s="119" t="s">
        <v>33</v>
      </c>
      <c r="D76" s="119" t="s">
        <v>52</v>
      </c>
      <c r="E76" s="127"/>
      <c r="G76" s="127"/>
      <c r="H76" s="118"/>
      <c r="I76" s="118"/>
      <c r="J76" s="118"/>
      <c r="K76" s="118"/>
      <c r="L76" s="118"/>
      <c r="M76" s="118"/>
      <c r="N76" s="118"/>
      <c r="O76" s="118"/>
      <c r="P76" s="120"/>
      <c r="Q76" s="118"/>
      <c r="R76" s="121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</row>
    <row r="77" spans="1:28" ht="12" customHeight="1">
      <c r="A77" s="1"/>
      <c r="B77" s="75">
        <v>0</v>
      </c>
      <c r="C77" s="75">
        <v>0</v>
      </c>
      <c r="D77" s="75">
        <v>0</v>
      </c>
      <c r="E77" s="81" t="s">
        <v>55</v>
      </c>
      <c r="G77" s="74"/>
      <c r="H77" s="1"/>
      <c r="I77" s="1"/>
      <c r="J77" s="1"/>
      <c r="K77" s="1"/>
      <c r="L77" s="1"/>
      <c r="M77" s="1"/>
      <c r="N77" s="1"/>
      <c r="O77" s="1"/>
      <c r="P77" s="68"/>
      <c r="Q77" s="1"/>
      <c r="R77" s="70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7" customHeight="1">
      <c r="A78" s="1"/>
      <c r="B78" s="16"/>
      <c r="C78" s="16"/>
      <c r="D78" s="70"/>
      <c r="E78" s="1"/>
      <c r="G78" s="1"/>
      <c r="H78" s="1"/>
      <c r="I78" s="1"/>
      <c r="J78" s="1"/>
      <c r="K78" s="1"/>
      <c r="L78" s="1"/>
      <c r="M78" s="1"/>
      <c r="N78" s="1"/>
      <c r="O78" s="1"/>
      <c r="P78" s="68"/>
      <c r="Q78" s="1"/>
      <c r="R78" s="70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" customHeight="1" thickBot="1">
      <c r="A79" s="1"/>
      <c r="B79" s="16"/>
      <c r="C79" s="16"/>
      <c r="D79" s="79">
        <f>SUM(D77)</f>
        <v>0</v>
      </c>
      <c r="E79" s="1"/>
      <c r="G79" s="82"/>
      <c r="H79" s="1"/>
      <c r="I79" s="1"/>
      <c r="J79" s="1"/>
      <c r="K79" s="1"/>
      <c r="L79" s="1"/>
      <c r="M79" s="1"/>
      <c r="N79" s="1"/>
      <c r="O79" s="1"/>
      <c r="P79" s="68"/>
      <c r="Q79" s="1"/>
      <c r="R79" s="70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" customHeight="1" thickTop="1">
      <c r="A80" s="1"/>
      <c r="B80" s="1"/>
      <c r="C80" s="16"/>
      <c r="D80" s="16"/>
      <c r="E80" s="1"/>
      <c r="G80" s="1"/>
      <c r="H80" s="1"/>
      <c r="I80" s="1"/>
      <c r="J80" s="1"/>
      <c r="K80" s="1"/>
      <c r="L80" s="1"/>
      <c r="M80" s="1"/>
      <c r="N80" s="1"/>
      <c r="O80" s="1"/>
      <c r="P80" s="68"/>
      <c r="Q80" s="1"/>
      <c r="R80" s="70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" customHeight="1">
      <c r="A81" s="1"/>
      <c r="B81" s="1"/>
      <c r="C81" s="83" t="s">
        <v>56</v>
      </c>
      <c r="D81" s="84" t="e">
        <f>+P54</f>
        <v>#DIV/0!</v>
      </c>
      <c r="E81" s="135" t="s">
        <v>86</v>
      </c>
      <c r="G81" s="1"/>
      <c r="H81" s="1"/>
      <c r="I81" s="1"/>
      <c r="J81" s="1"/>
      <c r="K81" s="1"/>
      <c r="L81" s="1"/>
      <c r="M81" s="1"/>
      <c r="N81" s="1"/>
      <c r="O81" s="1"/>
      <c r="P81" s="68"/>
      <c r="Q81" s="1"/>
      <c r="R81" s="70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" customHeight="1" thickBot="1">
      <c r="A82" s="1"/>
      <c r="B82" s="1"/>
      <c r="C82" s="132" t="s">
        <v>54</v>
      </c>
      <c r="D82" s="133" t="e">
        <f>+D79-D81</f>
        <v>#DIV/0!</v>
      </c>
      <c r="E82" s="1"/>
      <c r="G82" s="1"/>
      <c r="H82" s="1"/>
      <c r="I82" s="1"/>
      <c r="J82" s="1"/>
      <c r="K82" s="1"/>
      <c r="L82" s="1"/>
      <c r="M82" s="1"/>
      <c r="N82" s="1"/>
      <c r="O82" s="1"/>
      <c r="P82" s="68"/>
      <c r="Q82" s="1"/>
      <c r="R82" s="70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" customHeight="1" thickTop="1">
      <c r="A83" s="1"/>
      <c r="B83" s="1"/>
      <c r="C83" s="1"/>
      <c r="D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68"/>
      <c r="Q83" s="1"/>
      <c r="R83" s="70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68"/>
      <c r="Q84" s="1"/>
      <c r="R84" s="70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68"/>
      <c r="Q85" s="1"/>
      <c r="R85" s="70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68"/>
      <c r="Q86" s="1"/>
      <c r="R86" s="70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" customHeight="1">
      <c r="A87" s="1"/>
      <c r="B87" s="73" t="s">
        <v>82</v>
      </c>
      <c r="C87" s="71"/>
      <c r="D87" s="74"/>
      <c r="E87" s="1"/>
      <c r="F87" s="1"/>
      <c r="G87" s="16"/>
      <c r="H87" s="1"/>
      <c r="I87" s="1"/>
      <c r="J87" s="1"/>
      <c r="K87" s="1"/>
      <c r="L87" s="1"/>
      <c r="M87" s="1"/>
      <c r="N87" s="1"/>
      <c r="O87" s="1"/>
      <c r="P87" s="68"/>
      <c r="Q87" s="1"/>
      <c r="R87" s="70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" customHeight="1">
      <c r="A88" s="1"/>
      <c r="B88" s="73"/>
      <c r="C88" s="71"/>
      <c r="D88" s="74"/>
      <c r="E88" s="1"/>
      <c r="F88" s="1"/>
      <c r="G88" s="16"/>
      <c r="H88" s="1"/>
      <c r="I88" s="1"/>
      <c r="J88" s="1"/>
      <c r="K88" s="1"/>
      <c r="L88" s="1"/>
      <c r="M88" s="1"/>
      <c r="N88" s="1"/>
      <c r="O88" s="1"/>
      <c r="P88" s="68"/>
      <c r="Q88" s="1"/>
      <c r="R88" s="70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" customHeight="1">
      <c r="A89" s="1"/>
      <c r="B89" s="73"/>
      <c r="C89" s="71"/>
      <c r="D89" s="128" t="s">
        <v>57</v>
      </c>
      <c r="E89" s="16"/>
      <c r="F89" s="113"/>
      <c r="G89" s="16"/>
      <c r="H89" s="113"/>
      <c r="I89" s="113"/>
      <c r="J89" s="1"/>
      <c r="K89" s="1"/>
      <c r="L89" s="1"/>
      <c r="M89" s="1"/>
      <c r="N89" s="1"/>
      <c r="O89" s="1"/>
      <c r="P89" s="68"/>
      <c r="Q89" s="1"/>
      <c r="R89" s="70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" customHeight="1">
      <c r="A90" s="1"/>
      <c r="B90" s="73"/>
      <c r="C90" s="1"/>
      <c r="D90" s="74"/>
      <c r="E90" s="16"/>
      <c r="F90" s="1"/>
      <c r="G90" s="16"/>
      <c r="H90" s="1"/>
      <c r="I90" s="1"/>
      <c r="J90" s="1"/>
      <c r="K90" s="1"/>
      <c r="L90" s="1"/>
      <c r="M90" s="1"/>
      <c r="N90" s="1"/>
      <c r="O90" s="1"/>
      <c r="P90" s="68"/>
      <c r="Q90" s="1"/>
      <c r="R90" s="70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" customHeight="1">
      <c r="A91" s="1"/>
      <c r="B91" s="73"/>
      <c r="C91" s="71"/>
      <c r="D91" s="74"/>
      <c r="E91" s="16"/>
      <c r="F91" s="1"/>
      <c r="G91" s="16"/>
      <c r="H91" s="1"/>
      <c r="I91" s="1"/>
      <c r="J91" s="1"/>
      <c r="K91" s="1"/>
      <c r="L91" s="1"/>
      <c r="M91" s="1"/>
      <c r="N91" s="1"/>
      <c r="O91" s="1"/>
      <c r="P91" s="68"/>
      <c r="Q91" s="1"/>
      <c r="R91" s="70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" customHeight="1">
      <c r="A92" s="1"/>
      <c r="B92" s="71"/>
      <c r="C92" s="71"/>
      <c r="D92" s="71"/>
      <c r="E92" s="71"/>
      <c r="F92" s="16"/>
      <c r="G92" s="16"/>
      <c r="H92" s="1"/>
      <c r="I92" s="1"/>
      <c r="J92" s="1"/>
      <c r="K92" s="1"/>
      <c r="L92" s="1"/>
      <c r="M92" s="1"/>
      <c r="N92" s="1"/>
      <c r="O92" s="1"/>
      <c r="P92" s="68"/>
      <c r="Q92" s="1"/>
      <c r="R92" s="70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s="126" customFormat="1" ht="25">
      <c r="A93" s="129"/>
      <c r="B93" s="42" t="s">
        <v>32</v>
      </c>
      <c r="C93" s="42" t="s">
        <v>33</v>
      </c>
      <c r="D93" s="42" t="s">
        <v>35</v>
      </c>
      <c r="E93" s="42" t="s">
        <v>52</v>
      </c>
      <c r="F93" s="42" t="s">
        <v>56</v>
      </c>
      <c r="G93" s="42" t="s">
        <v>54</v>
      </c>
      <c r="H93" s="123"/>
      <c r="I93" s="123"/>
      <c r="J93" s="123"/>
      <c r="K93" s="123"/>
      <c r="L93" s="123"/>
      <c r="M93" s="123"/>
      <c r="N93" s="123"/>
      <c r="O93" s="123"/>
      <c r="P93" s="124"/>
      <c r="Q93" s="123"/>
      <c r="R93" s="125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1:28" ht="12" customHeight="1">
      <c r="A94" s="87"/>
      <c r="B94" s="75">
        <v>0</v>
      </c>
      <c r="C94" s="75">
        <v>0</v>
      </c>
      <c r="D94" s="75">
        <v>0</v>
      </c>
      <c r="E94" s="75">
        <v>0</v>
      </c>
      <c r="F94" s="88">
        <v>0</v>
      </c>
      <c r="G94" s="89">
        <f t="shared" ref="G94:G100" si="8">+D94-F94</f>
        <v>0</v>
      </c>
      <c r="H94" s="1"/>
      <c r="I94" s="1"/>
      <c r="J94" s="1"/>
      <c r="K94" s="1"/>
      <c r="L94" s="1"/>
      <c r="M94" s="1"/>
      <c r="N94" s="1"/>
      <c r="O94" s="1"/>
      <c r="P94" s="68"/>
      <c r="Q94" s="1"/>
      <c r="R94" s="70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" customHeight="1">
      <c r="A95" s="87"/>
      <c r="B95" s="75">
        <v>0</v>
      </c>
      <c r="C95" s="75">
        <v>0</v>
      </c>
      <c r="D95" s="75">
        <v>0</v>
      </c>
      <c r="E95" s="75">
        <v>0</v>
      </c>
      <c r="F95" s="88">
        <v>0</v>
      </c>
      <c r="G95" s="89">
        <f t="shared" si="8"/>
        <v>0</v>
      </c>
      <c r="H95" s="1"/>
      <c r="I95" s="1"/>
      <c r="J95" s="1"/>
      <c r="K95" s="1"/>
      <c r="L95" s="1"/>
      <c r="M95" s="1"/>
      <c r="N95" s="1"/>
      <c r="O95" s="1"/>
      <c r="P95" s="68"/>
      <c r="Q95" s="1"/>
      <c r="R95" s="70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" customHeight="1">
      <c r="A96" s="90"/>
      <c r="B96" s="75">
        <v>0</v>
      </c>
      <c r="C96" s="75">
        <v>0</v>
      </c>
      <c r="D96" s="75">
        <v>0</v>
      </c>
      <c r="E96" s="75">
        <v>0</v>
      </c>
      <c r="F96" s="88">
        <v>0</v>
      </c>
      <c r="G96" s="89">
        <f t="shared" si="8"/>
        <v>0</v>
      </c>
      <c r="H96" s="1"/>
      <c r="I96" s="1"/>
      <c r="J96" s="1"/>
      <c r="K96" s="1"/>
      <c r="L96" s="1"/>
      <c r="M96" s="1"/>
      <c r="N96" s="1"/>
      <c r="O96" s="1"/>
      <c r="P96" s="68"/>
      <c r="Q96" s="1"/>
      <c r="R96" s="70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" customHeight="1">
      <c r="A97" s="90"/>
      <c r="B97" s="75">
        <v>0</v>
      </c>
      <c r="C97" s="75">
        <v>0</v>
      </c>
      <c r="D97" s="75">
        <v>0</v>
      </c>
      <c r="E97" s="75">
        <v>0</v>
      </c>
      <c r="F97" s="88">
        <v>0</v>
      </c>
      <c r="G97" s="89">
        <f t="shared" si="8"/>
        <v>0</v>
      </c>
      <c r="H97" s="1"/>
      <c r="I97" s="1"/>
      <c r="J97" s="1"/>
      <c r="K97" s="1"/>
      <c r="L97" s="1"/>
      <c r="M97" s="1"/>
      <c r="N97" s="1"/>
      <c r="O97" s="1"/>
      <c r="P97" s="68"/>
      <c r="Q97" s="1"/>
      <c r="R97" s="70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" customHeight="1">
      <c r="A98" s="90"/>
      <c r="B98" s="75">
        <v>0</v>
      </c>
      <c r="C98" s="75">
        <v>0</v>
      </c>
      <c r="D98" s="75">
        <v>0</v>
      </c>
      <c r="E98" s="75">
        <v>0</v>
      </c>
      <c r="F98" s="88">
        <v>0</v>
      </c>
      <c r="G98" s="89">
        <f t="shared" si="8"/>
        <v>0</v>
      </c>
      <c r="H98" s="1"/>
      <c r="I98" s="1"/>
      <c r="J98" s="1"/>
      <c r="K98" s="1"/>
      <c r="L98" s="1"/>
      <c r="M98" s="1"/>
      <c r="N98" s="1"/>
      <c r="O98" s="1"/>
      <c r="P98" s="68"/>
      <c r="Q98" s="1"/>
      <c r="R98" s="70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" customHeight="1">
      <c r="A99" s="90"/>
      <c r="B99" s="75">
        <v>0</v>
      </c>
      <c r="C99" s="75">
        <v>0</v>
      </c>
      <c r="D99" s="75">
        <v>0</v>
      </c>
      <c r="E99" s="75">
        <v>0</v>
      </c>
      <c r="F99" s="88">
        <v>0</v>
      </c>
      <c r="G99" s="89">
        <f t="shared" si="8"/>
        <v>0</v>
      </c>
      <c r="H99" s="1"/>
      <c r="I99" s="1"/>
      <c r="J99" s="1"/>
      <c r="K99" s="1"/>
      <c r="L99" s="1"/>
      <c r="M99" s="1"/>
      <c r="N99" s="1"/>
      <c r="O99" s="1"/>
      <c r="P99" s="68"/>
      <c r="Q99" s="1"/>
      <c r="R99" s="70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" customHeight="1">
      <c r="A100" s="90"/>
      <c r="B100" s="75">
        <v>0</v>
      </c>
      <c r="C100" s="75">
        <v>0</v>
      </c>
      <c r="D100" s="75">
        <v>0</v>
      </c>
      <c r="E100" s="75">
        <v>0</v>
      </c>
      <c r="F100" s="88">
        <v>0</v>
      </c>
      <c r="G100" s="89">
        <f t="shared" si="8"/>
        <v>0</v>
      </c>
      <c r="H100" s="1"/>
      <c r="I100" s="1"/>
      <c r="J100" s="1"/>
      <c r="K100" s="1"/>
      <c r="L100" s="1"/>
      <c r="M100" s="1"/>
      <c r="N100" s="1"/>
      <c r="O100" s="1"/>
      <c r="P100" s="68"/>
      <c r="Q100" s="1"/>
      <c r="R100" s="70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7" customHeight="1">
      <c r="A101" s="91"/>
      <c r="B101" s="80"/>
      <c r="C101" s="80"/>
      <c r="D101" s="92"/>
      <c r="E101" s="92"/>
      <c r="F101" s="93"/>
      <c r="G101" s="94"/>
      <c r="H101" s="1"/>
      <c r="I101" s="1"/>
      <c r="J101" s="1"/>
      <c r="K101" s="1"/>
      <c r="L101" s="1"/>
      <c r="M101" s="1"/>
      <c r="N101" s="1"/>
      <c r="O101" s="1"/>
      <c r="P101" s="68"/>
      <c r="Q101" s="1"/>
      <c r="R101" s="70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" customHeight="1">
      <c r="A102" s="1"/>
      <c r="B102" s="1"/>
      <c r="C102" s="1"/>
      <c r="D102" s="1"/>
      <c r="E102" s="1"/>
      <c r="F102" s="1"/>
      <c r="G102" s="79">
        <f>SUM(D100)</f>
        <v>0</v>
      </c>
      <c r="H102" s="1"/>
      <c r="I102" s="1"/>
      <c r="J102" s="1"/>
      <c r="K102" s="1"/>
      <c r="L102" s="1"/>
      <c r="M102" s="1"/>
      <c r="N102" s="1"/>
      <c r="O102" s="1"/>
      <c r="P102" s="1"/>
      <c r="Q102" s="30"/>
      <c r="R102" s="70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" customHeight="1" thickTop="1">
      <c r="A103" s="1"/>
      <c r="B103" s="1"/>
      <c r="C103" s="28"/>
      <c r="D103" s="95"/>
      <c r="E103" s="95"/>
      <c r="F103" s="96"/>
      <c r="G103" s="1"/>
      <c r="H103" s="1"/>
      <c r="I103" s="1"/>
      <c r="J103" s="1"/>
      <c r="K103" s="1"/>
      <c r="L103" s="1"/>
      <c r="M103" s="1"/>
      <c r="N103" s="1"/>
      <c r="O103" s="97"/>
      <c r="P103" s="9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" customHeight="1">
      <c r="A104" s="1"/>
      <c r="B104" s="1"/>
      <c r="C104" s="1"/>
      <c r="D104" s="98" t="s">
        <v>12</v>
      </c>
      <c r="E104" s="9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70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" customHeight="1">
      <c r="A105" s="99"/>
      <c r="B105" s="17" t="s">
        <v>58</v>
      </c>
      <c r="C105" s="1"/>
      <c r="D105" s="98"/>
      <c r="E105" s="9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70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7" customHeight="1">
      <c r="A106" s="99"/>
      <c r="B106" s="17"/>
      <c r="C106" s="1"/>
      <c r="D106" s="98"/>
      <c r="E106" s="9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70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" customHeight="1">
      <c r="A107" s="100"/>
      <c r="B107" s="1" t="s">
        <v>59</v>
      </c>
      <c r="C107" s="1"/>
      <c r="D107" s="98"/>
      <c r="E107" s="9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70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" customHeight="1">
      <c r="A108" s="32"/>
      <c r="B108" s="101" t="s">
        <v>60</v>
      </c>
      <c r="C108" s="1"/>
      <c r="D108" s="98"/>
      <c r="E108" s="9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70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" customHeight="1">
      <c r="A109" s="32"/>
      <c r="B109" s="101" t="s">
        <v>61</v>
      </c>
      <c r="C109" s="1"/>
      <c r="D109" s="98"/>
      <c r="E109" s="9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70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" customHeight="1">
      <c r="A110" s="1"/>
      <c r="B110" s="1"/>
      <c r="C110" s="1"/>
      <c r="D110" s="98"/>
      <c r="E110" s="9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70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" customHeight="1">
      <c r="A111" s="102"/>
      <c r="B111" s="117" t="s">
        <v>83</v>
      </c>
      <c r="C111" s="1"/>
      <c r="D111" s="16"/>
      <c r="E111" s="1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70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7" customHeight="1">
      <c r="A112" s="102"/>
      <c r="B112" s="117"/>
      <c r="C112" s="1"/>
      <c r="D112" s="16"/>
      <c r="E112" s="1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70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" customHeight="1">
      <c r="A113" s="70" t="s">
        <v>62</v>
      </c>
      <c r="B113" s="117"/>
      <c r="C113" s="1"/>
      <c r="D113" s="20"/>
      <c r="E113" s="2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70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" customHeight="1">
      <c r="A114" s="70" t="s">
        <v>63</v>
      </c>
      <c r="B114" s="11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70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" customHeight="1">
      <c r="A115" s="70" t="s">
        <v>64</v>
      </c>
      <c r="B115" s="11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70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" customHeight="1">
      <c r="A116" s="7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70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" customHeight="1">
      <c r="A117" s="26" t="s">
        <v>12</v>
      </c>
      <c r="B117" s="117" t="s">
        <v>65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70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7" customHeight="1">
      <c r="A118" s="26"/>
      <c r="B118" s="11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70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" customHeight="1">
      <c r="A119" s="70" t="s">
        <v>66</v>
      </c>
      <c r="B119" s="1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70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" customHeight="1">
      <c r="A120" s="70" t="s">
        <v>67</v>
      </c>
      <c r="B120" s="1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70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" customHeight="1">
      <c r="A121" s="70" t="s">
        <v>68</v>
      </c>
      <c r="B121" s="1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70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" customHeight="1">
      <c r="A122" s="7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70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" customHeight="1">
      <c r="A123" s="1"/>
      <c r="B123" s="117" t="s">
        <v>69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70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7" customHeight="1">
      <c r="A124" s="1"/>
      <c r="B124" s="1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70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" customHeight="1">
      <c r="A125" s="70" t="s">
        <v>70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70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" customHeight="1">
      <c r="A126" s="70" t="s">
        <v>71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70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" customHeight="1">
      <c r="A127" s="70" t="s">
        <v>72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70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70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" customHeight="1">
      <c r="A129" s="1"/>
      <c r="B129" s="117" t="s">
        <v>73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70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7" customHeight="1">
      <c r="A130" s="1"/>
      <c r="B130" s="1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70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" customHeight="1">
      <c r="A131" s="1"/>
      <c r="B131" s="130" t="s">
        <v>79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70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6"/>
      <c r="P132" s="16"/>
      <c r="Q132" s="103"/>
      <c r="R132" s="83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4"/>
      <c r="P133" s="104"/>
      <c r="Q133" s="16"/>
      <c r="R133" s="16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05"/>
      <c r="P134" s="105"/>
      <c r="Q134" s="16"/>
      <c r="R134" s="16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6"/>
      <c r="P135" s="106"/>
      <c r="Q135" s="106"/>
      <c r="R135" s="106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07"/>
      <c r="P136" s="107"/>
      <c r="Q136" s="108"/>
      <c r="R136" s="109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07"/>
      <c r="P137" s="107"/>
      <c r="Q137" s="108"/>
      <c r="R137" s="109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07"/>
      <c r="P138" s="107"/>
      <c r="Q138" s="108"/>
      <c r="R138" s="109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07"/>
      <c r="P139" s="107"/>
      <c r="Q139" s="108"/>
      <c r="R139" s="109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" customHeight="1">
      <c r="A140" s="1"/>
      <c r="B140" s="1"/>
      <c r="C140" s="1"/>
      <c r="D140" s="1"/>
      <c r="E140" s="1"/>
      <c r="F140" s="16"/>
      <c r="G140" s="1"/>
      <c r="H140" s="1"/>
      <c r="I140" s="1"/>
      <c r="J140" s="1"/>
      <c r="K140" s="1"/>
      <c r="L140" s="1"/>
      <c r="M140" s="1"/>
      <c r="N140" s="1"/>
      <c r="O140" s="107"/>
      <c r="P140" s="107"/>
      <c r="Q140" s="108"/>
      <c r="R140" s="109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" customHeight="1">
      <c r="A141" s="1"/>
      <c r="B141" s="1"/>
      <c r="C141" s="1"/>
      <c r="D141" s="1"/>
      <c r="E141" s="1"/>
      <c r="F141" s="110"/>
      <c r="G141" s="1"/>
      <c r="H141" s="1"/>
      <c r="I141" s="1"/>
      <c r="J141" s="1"/>
      <c r="K141" s="1"/>
      <c r="L141" s="1"/>
      <c r="M141" s="1"/>
      <c r="N141" s="1"/>
      <c r="O141" s="107"/>
      <c r="P141" s="107"/>
      <c r="Q141" s="108"/>
      <c r="R141" s="109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" customHeight="1">
      <c r="A142" s="1"/>
      <c r="B142" s="1"/>
      <c r="C142" s="1"/>
      <c r="D142" s="1"/>
      <c r="E142" s="1"/>
      <c r="F142" s="16"/>
      <c r="G142" s="1"/>
      <c r="H142" s="1"/>
      <c r="I142" s="1"/>
      <c r="J142" s="1"/>
      <c r="K142" s="1"/>
      <c r="L142" s="1"/>
      <c r="M142" s="1"/>
      <c r="N142" s="1"/>
      <c r="O142" s="107"/>
      <c r="P142" s="107"/>
      <c r="Q142" s="108"/>
      <c r="R142" s="109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" customHeight="1">
      <c r="A143" s="1"/>
      <c r="B143" s="1"/>
      <c r="C143" s="1"/>
      <c r="D143" s="1"/>
      <c r="E143" s="1"/>
      <c r="F143" s="16"/>
      <c r="G143" s="1"/>
      <c r="H143" s="1"/>
      <c r="I143" s="1"/>
      <c r="J143" s="1"/>
      <c r="K143" s="1"/>
      <c r="L143" s="1"/>
      <c r="M143" s="1"/>
      <c r="N143" s="1"/>
      <c r="O143" s="107"/>
      <c r="P143" s="107"/>
      <c r="Q143" s="83"/>
      <c r="R143" s="84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6"/>
      <c r="P144" s="16"/>
      <c r="Q144" s="83"/>
      <c r="R144" s="84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6"/>
      <c r="P145" s="16"/>
      <c r="Q145" s="85"/>
      <c r="R145" s="11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6"/>
      <c r="P146" s="16"/>
      <c r="Q146" s="16"/>
      <c r="R146" s="16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</sheetData>
  <mergeCells count="2">
    <mergeCell ref="T36:V36"/>
    <mergeCell ref="B62:G62"/>
  </mergeCells>
  <dataValidations count="1">
    <dataValidation type="list" allowBlank="1" showInputMessage="1" showErrorMessage="1" sqref="U38:U52" xr:uid="{B4DCCDC6-90F0-47BF-AB35-56DC9D87BEA4}">
      <formula1>$U$15:$U$16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2023-01-22T05:04:59Z</dcterms:created>
  <dcterms:modified xsi:type="dcterms:W3CDTF">2026-04-17T00:58:25Z</dcterms:modified>
</cp:coreProperties>
</file>