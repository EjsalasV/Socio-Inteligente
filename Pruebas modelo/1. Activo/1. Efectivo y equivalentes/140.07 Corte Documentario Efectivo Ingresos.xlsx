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66925"/>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1. Activo\1. Efectivo y equivalentes\"/>
    </mc:Choice>
  </mc:AlternateContent>
  <xr:revisionPtr revIDLastSave="0" documentId="13_ncr:1_{24EC63FF-10D8-41D9-B45B-F313D6409631}" xr6:coauthVersionLast="47" xr6:coauthVersionMax="47" xr10:uidLastSave="{00000000-0000-0000-0000-000000000000}"/>
  <bookViews>
    <workbookView xWindow="-110" yWindow="-110" windowWidth="19420" windowHeight="10300" xr2:uid="{00000000-000D-0000-FFFF-FFFF00000000}"/>
  </bookViews>
  <sheets>
    <sheet name="140.07 " sheetId="8" r:id="rId1"/>
    <sheet name="A.03.01-2" sheetId="1" state="hidden" r:id="rId2"/>
    <sheet name="A.03.01-3" sheetId="4" state="hidden" r:id="rId3"/>
    <sheet name="A.03.01-4" sheetId="5" state="hidden" r:id="rId4"/>
  </sheets>
  <definedNames>
    <definedName name="_xlnm._FilterDatabase" localSheetId="3" hidden="1">'A.03.01-4'!$B$25:$M$29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5" i="8" l="1"/>
  <c r="P40" i="8"/>
  <c r="P41" i="8"/>
  <c r="P42" i="8"/>
  <c r="P43" i="8"/>
  <c r="P52" i="8" l="1"/>
  <c r="F58" i="8" l="1"/>
  <c r="P56" i="8"/>
  <c r="P55" i="8"/>
  <c r="P54" i="8"/>
  <c r="P53" i="8"/>
  <c r="P39" i="8" l="1"/>
  <c r="AE49" i="5" l="1"/>
  <c r="AE29" i="5"/>
  <c r="AE27" i="5"/>
  <c r="L42" i="5"/>
  <c r="L41" i="5"/>
  <c r="L43" i="5"/>
  <c r="J43" i="5"/>
  <c r="J42" i="5"/>
  <c r="J41" i="5"/>
  <c r="L40" i="5"/>
  <c r="J40" i="5"/>
  <c r="Y55" i="5"/>
  <c r="M55" i="5"/>
  <c r="G55" i="5"/>
  <c r="Y45" i="5"/>
  <c r="G45" i="5"/>
  <c r="L39" i="5"/>
  <c r="J39" i="5"/>
  <c r="J15" i="5"/>
  <c r="Y31" i="5"/>
  <c r="Y21" i="5"/>
  <c r="AE51" i="5" l="1"/>
  <c r="AE52" i="5"/>
  <c r="AE53" i="5"/>
  <c r="AE50" i="5"/>
  <c r="AE28" i="5"/>
  <c r="AE25" i="5"/>
  <c r="AE26" i="5"/>
  <c r="AE43" i="5"/>
  <c r="AE40" i="5"/>
  <c r="AE39" i="5"/>
  <c r="AE42" i="5"/>
  <c r="AE41" i="5"/>
  <c r="M43" i="5"/>
  <c r="M42" i="5"/>
  <c r="M41" i="5"/>
  <c r="M40" i="5"/>
  <c r="M39" i="5"/>
  <c r="AE16" i="5"/>
  <c r="AE18" i="5"/>
  <c r="AE15" i="5"/>
  <c r="AE17" i="5"/>
  <c r="AE19" i="5"/>
  <c r="J26" i="1"/>
  <c r="K26" i="1" s="1"/>
  <c r="J25" i="1"/>
  <c r="K25" i="1" s="1"/>
  <c r="J24" i="1"/>
  <c r="K24" i="1" s="1"/>
  <c r="J23" i="1"/>
  <c r="K23" i="1" s="1"/>
  <c r="J22" i="1"/>
  <c r="K22" i="1" s="1"/>
  <c r="J17" i="1"/>
  <c r="K17" i="1" s="1"/>
  <c r="J16" i="1"/>
  <c r="K16" i="1" s="1"/>
  <c r="J15" i="1"/>
  <c r="K15" i="1" s="1"/>
  <c r="J14" i="1"/>
  <c r="K14" i="1" s="1"/>
  <c r="AE55" i="5" l="1"/>
  <c r="AE31" i="5"/>
  <c r="AE45" i="5"/>
  <c r="M45" i="5"/>
  <c r="AE21" i="5"/>
  <c r="M31" i="5"/>
  <c r="G21" i="5"/>
  <c r="G31" i="5"/>
  <c r="C4" i="4" l="1"/>
  <c r="C4" i="5" l="1"/>
  <c r="G19" i="4"/>
  <c r="I15" i="4"/>
  <c r="J15" i="4" s="1"/>
  <c r="I17" i="4"/>
  <c r="J17" i="4" s="1"/>
  <c r="I16" i="4"/>
  <c r="J16" i="4" s="1"/>
  <c r="I14" i="4"/>
  <c r="J14" i="4" s="1"/>
  <c r="I13" i="4"/>
  <c r="J13" i="4" s="1"/>
  <c r="J19" i="4" l="1"/>
  <c r="L15" i="5" l="1"/>
  <c r="M15" i="5" l="1"/>
  <c r="M21" i="5" s="1"/>
  <c r="H28" i="1" l="1"/>
  <c r="H19" i="1"/>
  <c r="J13" i="1"/>
  <c r="K13" i="1" l="1"/>
  <c r="K19" i="1" s="1"/>
  <c r="K28" i="1"/>
  <c r="J29" i="4"/>
  <c r="G29" i="4"/>
  <c r="F29" i="4"/>
</calcChain>
</file>

<file path=xl/sharedStrings.xml><?xml version="1.0" encoding="utf-8"?>
<sst xmlns="http://schemas.openxmlformats.org/spreadsheetml/2006/main" count="658" uniqueCount="148">
  <si>
    <t>BDO ECUADOR Cía. Ltda.</t>
  </si>
  <si>
    <t>Cliente:</t>
  </si>
  <si>
    <t>Período:</t>
  </si>
  <si>
    <t>Documento:</t>
  </si>
  <si>
    <t>Dcto. #:</t>
  </si>
  <si>
    <t>C</t>
  </si>
  <si>
    <t>Fecha de Emisión</t>
  </si>
  <si>
    <t>Valor</t>
  </si>
  <si>
    <t>IVA</t>
  </si>
  <si>
    <t>Total</t>
  </si>
  <si>
    <t>Verificacíon</t>
  </si>
  <si>
    <t>a</t>
  </si>
  <si>
    <t>Verificaciones</t>
  </si>
  <si>
    <t>A</t>
  </si>
  <si>
    <t>B</t>
  </si>
  <si>
    <t>Secuencia</t>
  </si>
  <si>
    <t>Cliente</t>
  </si>
  <si>
    <t>Descripción</t>
  </si>
  <si>
    <t>%</t>
  </si>
  <si>
    <t xml:space="preserve">(***) </t>
  </si>
  <si>
    <t>(*)</t>
  </si>
  <si>
    <t>Primeras Facturas Enero</t>
  </si>
  <si>
    <t>DOCUMENTACIÓN DEL PROCEDIMIENTO REALIZADO (párrafo 25.6 Manual de Auditoría de BDO).</t>
  </si>
  <si>
    <t>Marcas de auditoría:</t>
  </si>
  <si>
    <t>Objetivo del OPS (FSA y aseveraciones abordadas):</t>
  </si>
  <si>
    <t>Nivel de aseguramiento que se va a obtener:</t>
  </si>
  <si>
    <t>El nivel de aseguramiento será el determinado en la parte 3 de APT "Planes Otros" FSA "K".</t>
  </si>
  <si>
    <t>Detalles sobre el procedimiento realizado:</t>
  </si>
  <si>
    <t>Datos sobre las muestras (si fueren aplicables):</t>
  </si>
  <si>
    <t>Tamaño: N/A.</t>
  </si>
  <si>
    <t>Metodo para seleccionar las partidas: N/A.</t>
  </si>
  <si>
    <t>Partidas seleccionadas para el muestreo: N/A.</t>
  </si>
  <si>
    <t>Resultados del procedimiento:</t>
  </si>
  <si>
    <t>Conclusiones (sobre si se cumplio el objetivo y el nivel de aseguramiento obtenido)</t>
  </si>
  <si>
    <t>Porcentajes cálculados por auditoría.</t>
  </si>
  <si>
    <t>Datos y valores tomados de los comprobantes de retención</t>
  </si>
  <si>
    <t>Preparador Por:</t>
  </si>
  <si>
    <t>Revisado Por</t>
  </si>
  <si>
    <t>D.A</t>
  </si>
  <si>
    <t>Primeras Liquidaciones de compras Enero</t>
  </si>
  <si>
    <t>Ultimas Retenciones Diciembre</t>
  </si>
  <si>
    <t>Primeras Retenciones Enero</t>
  </si>
  <si>
    <t>Proveedor</t>
  </si>
  <si>
    <t>Ret.</t>
  </si>
  <si>
    <t>El objetivo del análisis no se cumplió por lo mencionado en el punto anterior</t>
  </si>
  <si>
    <t>RENTA</t>
  </si>
  <si>
    <t>Valor RTA.</t>
  </si>
  <si>
    <t>Valor IVA</t>
  </si>
  <si>
    <t>GATEGOURMET DEL ECUADOR CIA. LTDA</t>
  </si>
  <si>
    <t>Otros cargos</t>
  </si>
  <si>
    <t>Verificaciones:</t>
  </si>
  <si>
    <t>Verificación existencia física</t>
  </si>
  <si>
    <t>Verificación de secuencia</t>
  </si>
  <si>
    <t>Verificación de fecha</t>
  </si>
  <si>
    <t>HERDOÍZA CRESPO CONTRUCCIONES S.A.</t>
  </si>
  <si>
    <t>Ultimas facturas Diciembre secuencia 002</t>
  </si>
  <si>
    <t>Ultimas Notas de Crédito de compra Diciembre</t>
  </si>
  <si>
    <t>Serie 001</t>
  </si>
  <si>
    <t>001-001000152352</t>
  </si>
  <si>
    <t>001-001000152353</t>
  </si>
  <si>
    <t>001-001000152354</t>
  </si>
  <si>
    <t>001-001000152355</t>
  </si>
  <si>
    <t>001-001000152356</t>
  </si>
  <si>
    <t>001-001000152357</t>
  </si>
  <si>
    <t>Serie 007</t>
  </si>
  <si>
    <t>Serie 008</t>
  </si>
  <si>
    <t>Serie 009</t>
  </si>
  <si>
    <t>FACT. 001-001-00000428</t>
  </si>
  <si>
    <t>1.-</t>
  </si>
  <si>
    <t>2.-</t>
  </si>
  <si>
    <t>3.-</t>
  </si>
  <si>
    <t>4.-</t>
  </si>
  <si>
    <t>Solicitamos al área de contabilidad los últimos 5 comprobantes del 2017 y los primeros 5 del año 2018</t>
  </si>
  <si>
    <t>Verificacamos que los datos sean los correctos</t>
  </si>
  <si>
    <t>Verificacmos los porcentajes de retención</t>
  </si>
  <si>
    <t>En caso de existir novedades conversamos con la persona encargada.</t>
  </si>
  <si>
    <t>(**)</t>
  </si>
  <si>
    <t>Como resultado de la prueba pudimos validar que la compañía no mantiene un control adecuado de los documentos, este control deficiente no nos permitió validar la secuencia de las liquidaciones al final del 2017</t>
  </si>
  <si>
    <t xml:space="preserve"> e inicio del 2018. Este punto será incluido en la carta de control interno</t>
  </si>
  <si>
    <t>Determinar la razonabilidad de la cuenta "Corte Documentario" (T, E, A y V) al 31 de diciembre de 2018</t>
  </si>
  <si>
    <t>Notas Aclaratorias</t>
  </si>
  <si>
    <t>Se verificó en la base de facturación que la última factura que se emitió en el año 2017 fue la factura # 001-002-0001628</t>
  </si>
  <si>
    <t>Solo se generó un comprobante de retención de la serie 001 en el año 2017</t>
  </si>
  <si>
    <t>b</t>
  </si>
  <si>
    <t>Se verificó con los comproantes fisicos que se encuentren en blanco</t>
  </si>
  <si>
    <t>J.LL</t>
  </si>
  <si>
    <t>Prueba de Corte Documentario - Facturación</t>
  </si>
  <si>
    <t>Prueba de Corte Documentario - Notas de crédito emitidas</t>
  </si>
  <si>
    <t>Prueba de Corte Documentario - Retenciones emitidas</t>
  </si>
  <si>
    <t>A.03.01 -2</t>
  </si>
  <si>
    <t>A.03.01 -3</t>
  </si>
  <si>
    <t>A.03.01 -4</t>
  </si>
  <si>
    <t>Fecha en  la que se cumple la obligación de desempeño</t>
  </si>
  <si>
    <t xml:space="preserve">Diferencias </t>
  </si>
  <si>
    <t>Mes</t>
  </si>
  <si>
    <t xml:space="preserve">Monto </t>
  </si>
  <si>
    <t>Detalle</t>
  </si>
  <si>
    <t>Revisado por:</t>
  </si>
  <si>
    <t>Ref.</t>
  </si>
  <si>
    <t>Objetivo:</t>
  </si>
  <si>
    <t>Base de decisión: Materialidad</t>
  </si>
  <si>
    <t xml:space="preserve">Desarrollo: </t>
  </si>
  <si>
    <t>Preparado por:</t>
  </si>
  <si>
    <t>Procedimientos:</t>
  </si>
  <si>
    <t>General</t>
  </si>
  <si>
    <t>XXX.XXX</t>
  </si>
  <si>
    <t>Desempeño</t>
  </si>
  <si>
    <t>Errores Triviales</t>
  </si>
  <si>
    <t>Sumatoria</t>
  </si>
  <si>
    <t xml:space="preserve">Documentación de sustento </t>
  </si>
  <si>
    <t xml:space="preserve">PRUEBA DE CORTE DOCUMENTARIO INGRESOS - BANCOS </t>
  </si>
  <si>
    <t>COMPAÑÍA MODELO S.A.</t>
  </si>
  <si>
    <t>XX</t>
  </si>
  <si>
    <t>Banco XXXX</t>
  </si>
  <si>
    <r>
      <t xml:space="preserve">Tipo </t>
    </r>
    <r>
      <rPr>
        <b/>
        <sz val="8"/>
        <color rgb="FFFF0000"/>
        <rFont val="Tahoma"/>
        <family val="2"/>
      </rPr>
      <t>***Puede ser transferencia, cheque, efectivo</t>
    </r>
  </si>
  <si>
    <t>Primeros comprobantes de ingresos de caja bancos enero 20XX</t>
  </si>
  <si>
    <t>Últimos comprobantes de ingresos de caja bancos diciembre 20XX</t>
  </si>
  <si>
    <t>AL 31 DE DICIEMBRE DE 20XX</t>
  </si>
  <si>
    <t>Notas aclaratorias:</t>
  </si>
  <si>
    <t>Observaciones:</t>
  </si>
  <si>
    <t>140.07</t>
  </si>
  <si>
    <t>Preliminar</t>
  </si>
  <si>
    <t xml:space="preserve">Final </t>
  </si>
  <si>
    <t>Documentación soporte</t>
  </si>
  <si>
    <t>a)</t>
  </si>
  <si>
    <t>b)</t>
  </si>
  <si>
    <t>c)</t>
  </si>
  <si>
    <t>Obs.1</t>
  </si>
  <si>
    <t>Obs.2</t>
  </si>
  <si>
    <t>Obs.3</t>
  </si>
  <si>
    <t>Conclusión:</t>
  </si>
  <si>
    <t>***Concluir en función al objetivo</t>
  </si>
  <si>
    <t>FECHA DE CORTE: _/_/20XX</t>
  </si>
  <si>
    <t>Solicitar los documentos soporte de las transacciones solicitadas.</t>
  </si>
  <si>
    <t>Nombre del banco</t>
  </si>
  <si>
    <t>Mes de emisión</t>
  </si>
  <si>
    <t xml:space="preserve">Tomado de mayores contables a la fecha de revisión </t>
  </si>
  <si>
    <t>Tomado de mayores contables al 31/xx/20xx (Año de revisión)</t>
  </si>
  <si>
    <t>Cálculos de Auditoría</t>
  </si>
  <si>
    <t xml:space="preserve">Año servicio </t>
  </si>
  <si>
    <t xml:space="preserve">Documentar el papel de trabajo y concluir en base al objetivo. </t>
  </si>
  <si>
    <t xml:space="preserve">Nro. comprobante </t>
  </si>
  <si>
    <r>
      <t xml:space="preserve">Nro. </t>
    </r>
    <r>
      <rPr>
        <b/>
        <sz val="8"/>
        <color rgb="FFFF0000"/>
        <rFont val="Tahoma"/>
        <family val="2"/>
      </rPr>
      <t xml:space="preserve">***de la transferencia, cheque, o comprobante de egreso </t>
    </r>
  </si>
  <si>
    <t>Validar que las transacciones solicitadas cuenten con los sustentos correspondientes.</t>
  </si>
  <si>
    <t>Validar la integridad del registro de las transacciones de la Compañía dentro del período respectivo a la fecha de nuestra revisión.</t>
  </si>
  <si>
    <t>Verificar que las transacciones se hayan registrado dentro del período que corresponde.</t>
  </si>
  <si>
    <r>
      <t>***</t>
    </r>
    <r>
      <rPr>
        <b/>
        <sz val="10"/>
        <color rgb="FFFF0000"/>
        <rFont val="Tahoma"/>
        <family val="2"/>
      </rPr>
      <t xml:space="preserve">Nota: </t>
    </r>
    <r>
      <rPr>
        <sz val="10"/>
        <color rgb="FFFF0000"/>
        <rFont val="Tahoma"/>
        <family val="2"/>
      </rPr>
      <t>Evaluar la secuencia con base a la realidad de la Compañía. Puede o no continuar con el secuencial, o caso contrario volver a iniciar el mismo.</t>
    </r>
  </si>
  <si>
    <t>Solicitar al área de contabilidad los últimos 5 comprobantes de ingreso del 20XX  y los primeros 5 comprobantes de ingreso del año 20XX+1.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</si>
</sst>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mmm\-yy;@"/>
    <numFmt numFmtId="166" formatCode="_(* #,##0_);_(* \(#,##0\);_(* &quot;-&quot;??_);_(@_)"/>
  </numFmts>
  <fonts count="36" x14ac:knownFonts="1">
    <font>
      <sz val="11"/>
      <color theme="1"/>
      <name val="Calibri"/>
      <family val="2"/>
      <scheme val="minor"/>
    </font>
    <font>
      <sz val="10"/>
      <color theme="1"/>
      <name val="Tahoma"/>
      <family val="2"/>
    </font>
    <font>
      <sz val="10"/>
      <color theme="1"/>
      <name val="Trebuchet MS"/>
      <family val="2"/>
    </font>
    <font>
      <sz val="11"/>
      <color theme="1"/>
      <name val="Calibri"/>
      <family val="2"/>
      <scheme val="minor"/>
    </font>
    <font>
      <sz val="10"/>
      <name val="Arial"/>
      <family val="2"/>
    </font>
    <font>
      <b/>
      <sz val="10"/>
      <color theme="3"/>
      <name val="Trebuchet MS"/>
      <family val="2"/>
    </font>
    <font>
      <sz val="10"/>
      <name val="Trebuchet MS"/>
      <family val="2"/>
    </font>
    <font>
      <sz val="10"/>
      <color theme="1"/>
      <name val="Trebuchet MS"/>
      <family val="2"/>
    </font>
    <font>
      <b/>
      <sz val="10"/>
      <color theme="1"/>
      <name val="Trebuchet MS"/>
      <family val="2"/>
    </font>
    <font>
      <b/>
      <sz val="10"/>
      <name val="Trebuchet MS"/>
      <family val="2"/>
    </font>
    <font>
      <b/>
      <sz val="10"/>
      <color rgb="FFFF0000"/>
      <name val="Trebuchet MS"/>
      <family val="2"/>
    </font>
    <font>
      <sz val="10"/>
      <color theme="1"/>
      <name val="Calibri"/>
      <family val="2"/>
      <scheme val="minor"/>
    </font>
    <font>
      <b/>
      <sz val="10"/>
      <color rgb="FFFF0000"/>
      <name val="Marlett"/>
      <charset val="2"/>
    </font>
    <font>
      <b/>
      <sz val="10"/>
      <color theme="1"/>
      <name val="Marlett"/>
      <charset val="2"/>
    </font>
    <font>
      <sz val="10"/>
      <color rgb="FFFF0000"/>
      <name val="Marlett"/>
      <charset val="2"/>
    </font>
    <font>
      <sz val="10"/>
      <color theme="1"/>
      <name val="Marlett"/>
      <charset val="2"/>
    </font>
    <font>
      <b/>
      <u/>
      <sz val="10"/>
      <color theme="3"/>
      <name val="Arial"/>
      <family val="2"/>
    </font>
    <font>
      <sz val="10"/>
      <color theme="1"/>
      <name val="Arial"/>
      <family val="2"/>
    </font>
    <font>
      <b/>
      <sz val="10"/>
      <color theme="3"/>
      <name val="Arial"/>
      <family val="2"/>
    </font>
    <font>
      <b/>
      <sz val="10"/>
      <color theme="1"/>
      <name val="Arial"/>
      <family val="2"/>
    </font>
    <font>
      <b/>
      <sz val="10"/>
      <color rgb="FFFF0000"/>
      <name val="Arial"/>
      <family val="2"/>
    </font>
    <font>
      <b/>
      <sz val="10"/>
      <color rgb="FFFF0000"/>
      <name val="Webdings"/>
      <family val="1"/>
      <charset val="2"/>
    </font>
    <font>
      <sz val="10"/>
      <color rgb="FFFF0000"/>
      <name val="Tahoma"/>
      <family val="2"/>
    </font>
    <font>
      <b/>
      <sz val="10"/>
      <color theme="1"/>
      <name val="Tahoma"/>
      <family val="2"/>
    </font>
    <font>
      <b/>
      <sz val="10"/>
      <color theme="3"/>
      <name val="Tahoma"/>
      <family val="2"/>
    </font>
    <font>
      <sz val="10"/>
      <name val="Tahoma"/>
      <family val="2"/>
    </font>
    <font>
      <b/>
      <sz val="10"/>
      <name val="Tahoma"/>
      <family val="2"/>
    </font>
    <font>
      <b/>
      <sz val="10"/>
      <color rgb="FFFF0000"/>
      <name val="Tahoma"/>
      <family val="2"/>
    </font>
    <font>
      <b/>
      <u/>
      <sz val="10"/>
      <color theme="3"/>
      <name val="Tahoma"/>
      <family val="2"/>
    </font>
    <font>
      <b/>
      <sz val="10"/>
      <color rgb="FF002060"/>
      <name val="Tahoma"/>
      <family val="2"/>
    </font>
    <font>
      <b/>
      <u/>
      <sz val="10"/>
      <color rgb="FF0000FF"/>
      <name val="Tahoma"/>
      <family val="2"/>
    </font>
    <font>
      <sz val="11"/>
      <color indexed="8"/>
      <name val="Calibri"/>
      <family val="2"/>
    </font>
    <font>
      <sz val="10"/>
      <color rgb="FF000000"/>
      <name val="Tahoma"/>
      <family val="2"/>
    </font>
    <font>
      <sz val="10"/>
      <color indexed="8"/>
      <name val="MS Sans Serif"/>
      <family val="2"/>
    </font>
    <font>
      <b/>
      <u/>
      <sz val="10"/>
      <color theme="1"/>
      <name val="Tahoma"/>
      <family val="2"/>
    </font>
    <font>
      <b/>
      <sz val="8"/>
      <color rgb="FFFF0000"/>
      <name val="Tahoma"/>
      <family val="2"/>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39997558519241921"/>
        <bgColor rgb="FFDEEAF6"/>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top/>
      <bottom style="thick">
        <color theme="4" tint="-0.499984740745262"/>
      </bottom>
      <diagonal/>
    </border>
    <border>
      <left style="thin">
        <color indexed="64"/>
      </left>
      <right/>
      <top style="thin">
        <color indexed="64"/>
      </top>
      <bottom style="thin">
        <color indexed="64"/>
      </bottom>
      <diagonal/>
    </border>
  </borders>
  <cellStyleXfs count="9">
    <xf numFmtId="0" fontId="0"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4" fillId="0" borderId="0"/>
    <xf numFmtId="0" fontId="4" fillId="0" borderId="0"/>
    <xf numFmtId="0" fontId="31" fillId="0" borderId="0"/>
    <xf numFmtId="0" fontId="33" fillId="0" borderId="0"/>
    <xf numFmtId="0" fontId="4" fillId="0" borderId="0"/>
  </cellStyleXfs>
  <cellXfs count="141">
    <xf numFmtId="0" fontId="0" fillId="0" borderId="0" xfId="0"/>
    <xf numFmtId="0" fontId="5" fillId="0" borderId="0" xfId="3" applyFont="1" applyAlignment="1">
      <alignment vertical="center"/>
    </xf>
    <xf numFmtId="0" fontId="6" fillId="0" borderId="0" xfId="3" applyFont="1"/>
    <xf numFmtId="0" fontId="7" fillId="0" borderId="0" xfId="3" applyFont="1"/>
    <xf numFmtId="0" fontId="7" fillId="0" borderId="0" xfId="0" applyFont="1"/>
    <xf numFmtId="0" fontId="8" fillId="0" borderId="0" xfId="0" applyFont="1"/>
    <xf numFmtId="0" fontId="5" fillId="0" borderId="0" xfId="3" applyFont="1" applyAlignment="1">
      <alignment vertical="center" wrapText="1"/>
    </xf>
    <xf numFmtId="15" fontId="6" fillId="0" borderId="0" xfId="3" applyNumberFormat="1" applyFont="1" applyAlignment="1">
      <alignment horizontal="center" vertical="center"/>
    </xf>
    <xf numFmtId="0" fontId="9" fillId="0" borderId="0" xfId="4" applyFont="1"/>
    <xf numFmtId="0" fontId="10" fillId="3" borderId="0" xfId="3" applyFont="1" applyFill="1" applyAlignment="1">
      <alignment horizontal="center" vertical="center"/>
    </xf>
    <xf numFmtId="0" fontId="7" fillId="0" borderId="0" xfId="0" applyFont="1" applyAlignment="1">
      <alignment horizontal="center"/>
    </xf>
    <xf numFmtId="0" fontId="8" fillId="2" borderId="3"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1" xfId="0" applyFont="1" applyFill="1" applyBorder="1"/>
    <xf numFmtId="0" fontId="8" fillId="0" borderId="0" xfId="0" applyFont="1" applyAlignment="1">
      <alignment horizontal="center"/>
    </xf>
    <xf numFmtId="0" fontId="11" fillId="0" borderId="0" xfId="0" applyFont="1" applyAlignment="1">
      <alignment horizontal="left"/>
    </xf>
    <xf numFmtId="0" fontId="12" fillId="0" borderId="0" xfId="0" applyFont="1"/>
    <xf numFmtId="165" fontId="7" fillId="0" borderId="0" xfId="0" applyNumberFormat="1" applyFont="1" applyAlignment="1">
      <alignment horizontal="center" vertical="center"/>
    </xf>
    <xf numFmtId="166" fontId="7" fillId="0" borderId="0" xfId="1" applyNumberFormat="1" applyFont="1"/>
    <xf numFmtId="9" fontId="7" fillId="0" borderId="0" xfId="2" applyFont="1"/>
    <xf numFmtId="0" fontId="12" fillId="0" borderId="0" xfId="0" applyFont="1" applyAlignment="1">
      <alignment horizontal="center"/>
    </xf>
    <xf numFmtId="0" fontId="13" fillId="0" borderId="0" xfId="0" applyFont="1"/>
    <xf numFmtId="0" fontId="11" fillId="0" borderId="0" xfId="0" applyFont="1"/>
    <xf numFmtId="165" fontId="7" fillId="0" borderId="0" xfId="0" applyNumberFormat="1" applyFont="1" applyAlignment="1">
      <alignment horizontal="center"/>
    </xf>
    <xf numFmtId="0" fontId="7" fillId="0" borderId="0" xfId="0" applyFont="1" applyAlignment="1">
      <alignment vertical="center"/>
    </xf>
    <xf numFmtId="166" fontId="7" fillId="0" borderId="0" xfId="1" applyNumberFormat="1" applyFont="1" applyFill="1"/>
    <xf numFmtId="0" fontId="14" fillId="0" borderId="0" xfId="0" applyFont="1"/>
    <xf numFmtId="165" fontId="7" fillId="0" borderId="0" xfId="0" applyNumberFormat="1" applyFont="1"/>
    <xf numFmtId="0" fontId="14" fillId="0" borderId="0" xfId="0" applyFont="1" applyAlignment="1">
      <alignment horizontal="center"/>
    </xf>
    <xf numFmtId="0" fontId="15" fillId="0" borderId="0" xfId="0" applyFont="1"/>
    <xf numFmtId="166" fontId="7" fillId="0" borderId="2" xfId="1" applyNumberFormat="1" applyFont="1" applyBorder="1"/>
    <xf numFmtId="164" fontId="7" fillId="0" borderId="2" xfId="1" applyFont="1" applyBorder="1"/>
    <xf numFmtId="0" fontId="17" fillId="0" borderId="0" xfId="0" applyFont="1"/>
    <xf numFmtId="0" fontId="18" fillId="0" borderId="0" xfId="0" applyFont="1" applyAlignment="1">
      <alignment horizontal="left"/>
    </xf>
    <xf numFmtId="0" fontId="16" fillId="0" borderId="0" xfId="5" applyFont="1"/>
    <xf numFmtId="0" fontId="17" fillId="0" borderId="0" xfId="0" applyFont="1" applyAlignment="1">
      <alignment horizontal="left" wrapText="1"/>
    </xf>
    <xf numFmtId="0" fontId="19" fillId="0" borderId="0" xfId="0" applyFont="1" applyAlignment="1">
      <alignment vertical="center"/>
    </xf>
    <xf numFmtId="0" fontId="7" fillId="3" borderId="0" xfId="0" applyFont="1" applyFill="1"/>
    <xf numFmtId="164" fontId="7" fillId="0" borderId="0" xfId="1" applyFont="1"/>
    <xf numFmtId="0" fontId="5" fillId="0" borderId="0" xfId="3" applyFont="1" applyAlignment="1">
      <alignment horizontal="left" vertical="center"/>
    </xf>
    <xf numFmtId="0" fontId="7" fillId="0" borderId="0" xfId="0" applyFont="1" applyAlignment="1">
      <alignment horizontal="left"/>
    </xf>
    <xf numFmtId="49" fontId="7" fillId="0" borderId="0" xfId="0" applyNumberFormat="1" applyFont="1" applyAlignment="1">
      <alignment horizontal="left" vertical="center"/>
    </xf>
    <xf numFmtId="166" fontId="7" fillId="0" borderId="2" xfId="1" applyNumberFormat="1" applyFont="1" applyBorder="1" applyAlignment="1">
      <alignment horizontal="left"/>
    </xf>
    <xf numFmtId="0" fontId="16" fillId="0" borderId="0" xfId="0" applyFont="1" applyAlignment="1">
      <alignment horizontal="left"/>
    </xf>
    <xf numFmtId="0" fontId="17" fillId="0" borderId="0" xfId="0" applyFont="1" applyAlignment="1">
      <alignment horizontal="left"/>
    </xf>
    <xf numFmtId="0" fontId="4" fillId="0" borderId="0" xfId="0" applyFont="1" applyAlignment="1">
      <alignment horizontal="left"/>
    </xf>
    <xf numFmtId="0" fontId="16" fillId="0" borderId="0" xfId="5" applyFont="1" applyAlignment="1">
      <alignment horizontal="left"/>
    </xf>
    <xf numFmtId="0" fontId="4" fillId="0" borderId="0" xfId="5" applyAlignment="1">
      <alignment horizontal="left"/>
    </xf>
    <xf numFmtId="0" fontId="19" fillId="0" borderId="0" xfId="0" applyFont="1" applyAlignment="1">
      <alignment horizontal="left" vertical="center"/>
    </xf>
    <xf numFmtId="0" fontId="8" fillId="0" borderId="0" xfId="0" applyFont="1" applyAlignment="1">
      <alignment horizontal="center" vertical="center" wrapText="1"/>
    </xf>
    <xf numFmtId="0" fontId="20" fillId="0" borderId="0" xfId="5" applyFont="1" applyAlignment="1">
      <alignment horizontal="center" vertical="center"/>
    </xf>
    <xf numFmtId="0" fontId="2" fillId="0" borderId="0" xfId="0" applyFont="1"/>
    <xf numFmtId="0" fontId="7" fillId="4" borderId="0" xfId="0" applyFont="1" applyFill="1"/>
    <xf numFmtId="0" fontId="14" fillId="4" borderId="0" xfId="0" applyFont="1" applyFill="1"/>
    <xf numFmtId="165" fontId="7" fillId="4" borderId="0" xfId="0" applyNumberFormat="1" applyFont="1" applyFill="1"/>
    <xf numFmtId="166" fontId="7" fillId="4" borderId="0" xfId="1" applyNumberFormat="1" applyFont="1" applyFill="1"/>
    <xf numFmtId="9" fontId="7" fillId="4" borderId="0" xfId="2" applyFont="1" applyFill="1"/>
    <xf numFmtId="0" fontId="14" fillId="4" borderId="0" xfId="0" applyFont="1" applyFill="1" applyAlignment="1">
      <alignment horizontal="center"/>
    </xf>
    <xf numFmtId="0" fontId="15" fillId="4" borderId="0" xfId="0" applyFont="1" applyFill="1"/>
    <xf numFmtId="0" fontId="21" fillId="0" borderId="0" xfId="0" applyFont="1"/>
    <xf numFmtId="49" fontId="2" fillId="0" borderId="0" xfId="0" applyNumberFormat="1" applyFont="1" applyAlignment="1">
      <alignment horizontal="left" vertical="center"/>
    </xf>
    <xf numFmtId="164" fontId="7" fillId="0" borderId="0" xfId="1" applyFont="1" applyAlignment="1"/>
    <xf numFmtId="0" fontId="2" fillId="3" borderId="0" xfId="0" applyFont="1" applyFill="1"/>
    <xf numFmtId="15" fontId="0" fillId="0" borderId="0" xfId="0" applyNumberFormat="1"/>
    <xf numFmtId="0" fontId="17" fillId="0" borderId="0" xfId="0" applyFont="1" applyAlignment="1">
      <alignment wrapText="1"/>
    </xf>
    <xf numFmtId="0" fontId="7" fillId="4" borderId="0" xfId="0" applyFont="1" applyFill="1" applyAlignment="1">
      <alignment horizontal="left"/>
    </xf>
    <xf numFmtId="0" fontId="10" fillId="0" borderId="0" xfId="0" applyFont="1"/>
    <xf numFmtId="0" fontId="22" fillId="0" borderId="0" xfId="0" applyFont="1" applyAlignment="1">
      <alignment horizontal="center"/>
    </xf>
    <xf numFmtId="0" fontId="24" fillId="0" borderId="0" xfId="3" applyFont="1" applyAlignment="1">
      <alignment vertical="center"/>
    </xf>
    <xf numFmtId="0" fontId="25" fillId="0" borderId="0" xfId="3" applyFont="1"/>
    <xf numFmtId="15" fontId="25" fillId="0" borderId="0" xfId="3" applyNumberFormat="1" applyFont="1" applyAlignment="1">
      <alignment horizontal="center" vertical="center"/>
    </xf>
    <xf numFmtId="0" fontId="23" fillId="0" borderId="0" xfId="0" applyFont="1" applyAlignment="1">
      <alignment horizontal="center"/>
    </xf>
    <xf numFmtId="0" fontId="26" fillId="0" borderId="0" xfId="0" applyFont="1" applyAlignment="1">
      <alignment vertical="center"/>
    </xf>
    <xf numFmtId="0" fontId="27" fillId="3" borderId="0" xfId="3" applyFont="1" applyFill="1" applyAlignment="1">
      <alignment horizontal="center" vertical="center"/>
    </xf>
    <xf numFmtId="0" fontId="26" fillId="0" borderId="0" xfId="4" applyFont="1"/>
    <xf numFmtId="0" fontId="27" fillId="0" borderId="0" xfId="0" applyFont="1" applyAlignment="1">
      <alignment horizontal="center"/>
    </xf>
    <xf numFmtId="0" fontId="23" fillId="0" borderId="0" xfId="0" applyFont="1" applyAlignment="1">
      <alignment horizontal="center" vertical="center" wrapText="1"/>
    </xf>
    <xf numFmtId="0" fontId="28" fillId="0" borderId="0" xfId="0" applyFont="1" applyAlignment="1">
      <alignment horizontal="left"/>
    </xf>
    <xf numFmtId="0" fontId="23" fillId="0" borderId="0" xfId="0" applyFont="1" applyAlignment="1">
      <alignment vertical="center"/>
    </xf>
    <xf numFmtId="0" fontId="1" fillId="0" borderId="0" xfId="0" applyFont="1"/>
    <xf numFmtId="0" fontId="1" fillId="0" borderId="0" xfId="0" applyFont="1" applyAlignment="1">
      <alignment horizontal="left"/>
    </xf>
    <xf numFmtId="0" fontId="22" fillId="0" borderId="0" xfId="0" applyFont="1" applyAlignment="1">
      <alignment horizontal="left"/>
    </xf>
    <xf numFmtId="0" fontId="23" fillId="0" borderId="0" xfId="0" applyFont="1" applyFill="1"/>
    <xf numFmtId="0" fontId="24" fillId="0" borderId="0" xfId="0" applyFont="1" applyAlignment="1">
      <alignment horizontal="right"/>
    </xf>
    <xf numFmtId="0" fontId="26" fillId="3" borderId="0" xfId="5" applyFont="1" applyFill="1" applyAlignment="1">
      <alignment horizontal="left" vertical="center" indent="1"/>
    </xf>
    <xf numFmtId="0" fontId="27" fillId="0" borderId="1" xfId="0" applyFont="1" applyBorder="1" applyAlignment="1">
      <alignment horizontal="center"/>
    </xf>
    <xf numFmtId="0" fontId="30" fillId="0" borderId="0" xfId="0" applyFont="1"/>
    <xf numFmtId="0" fontId="27" fillId="0" borderId="0" xfId="0" applyFont="1" applyAlignment="1">
      <alignment horizontal="right"/>
    </xf>
    <xf numFmtId="0" fontId="32" fillId="0" borderId="0" xfId="0" applyFont="1"/>
    <xf numFmtId="0" fontId="26" fillId="0" borderId="0" xfId="5" applyFont="1" applyFill="1" applyBorder="1" applyAlignment="1">
      <alignment horizontal="left" vertical="center" indent="1"/>
    </xf>
    <xf numFmtId="0" fontId="1" fillId="0" borderId="7" xfId="0" applyFont="1" applyBorder="1"/>
    <xf numFmtId="0" fontId="23" fillId="0" borderId="0" xfId="3" applyFont="1" applyAlignment="1">
      <alignment vertical="center"/>
    </xf>
    <xf numFmtId="0" fontId="1" fillId="0" borderId="1" xfId="0" applyFont="1" applyBorder="1" applyAlignment="1">
      <alignment horizontal="center"/>
    </xf>
    <xf numFmtId="0" fontId="1" fillId="0" borderId="0" xfId="0" applyFont="1" applyAlignment="1">
      <alignment vertical="center"/>
    </xf>
    <xf numFmtId="0" fontId="1" fillId="0" borderId="0" xfId="0" applyFont="1" applyAlignment="1">
      <alignment horizontal="right"/>
    </xf>
    <xf numFmtId="165" fontId="1" fillId="0" borderId="0" xfId="0" applyNumberFormat="1" applyFont="1"/>
    <xf numFmtId="166" fontId="1" fillId="0" borderId="0" xfId="1" applyNumberFormat="1" applyFont="1"/>
    <xf numFmtId="0" fontId="1" fillId="0" borderId="0" xfId="3" applyFont="1"/>
    <xf numFmtId="0" fontId="1" fillId="0" borderId="0" xfId="0" applyFont="1" applyAlignment="1">
      <alignment horizontal="center"/>
    </xf>
    <xf numFmtId="0" fontId="1" fillId="0" borderId="0" xfId="0" applyFont="1" applyAlignment="1">
      <alignment horizontal="center" vertical="center" wrapText="1"/>
    </xf>
    <xf numFmtId="164" fontId="1" fillId="0" borderId="0" xfId="1" applyFont="1"/>
    <xf numFmtId="164" fontId="1" fillId="0" borderId="2" xfId="1" applyFont="1" applyBorder="1"/>
    <xf numFmtId="0" fontId="34" fillId="0" borderId="0" xfId="0" applyFont="1"/>
    <xf numFmtId="166" fontId="1" fillId="0" borderId="0" xfId="1" applyNumberFormat="1" applyFont="1" applyBorder="1"/>
    <xf numFmtId="0" fontId="1" fillId="0" borderId="1" xfId="0" applyFont="1" applyBorder="1" applyAlignment="1">
      <alignment horizontal="left"/>
    </xf>
    <xf numFmtId="0" fontId="1" fillId="0" borderId="1" xfId="0" applyFont="1" applyBorder="1"/>
    <xf numFmtId="164" fontId="1" fillId="0" borderId="1" xfId="1" applyFont="1" applyFill="1" applyBorder="1"/>
    <xf numFmtId="164" fontId="1" fillId="0" borderId="1" xfId="1" applyFont="1" applyBorder="1" applyAlignment="1">
      <alignment horizontal="center"/>
    </xf>
    <xf numFmtId="164" fontId="1" fillId="0" borderId="1" xfId="1" applyFont="1" applyBorder="1"/>
    <xf numFmtId="166" fontId="23" fillId="0" borderId="0" xfId="1" applyNumberFormat="1" applyFont="1" applyFill="1" applyBorder="1"/>
    <xf numFmtId="1" fontId="1" fillId="0" borderId="1" xfId="0" applyNumberFormat="1" applyFont="1" applyBorder="1" applyAlignment="1">
      <alignment horizontal="center"/>
    </xf>
    <xf numFmtId="0" fontId="29" fillId="5" borderId="8" xfId="0" applyFont="1" applyFill="1" applyBorder="1" applyAlignment="1" applyProtection="1">
      <alignment horizontal="center" vertical="center" wrapText="1"/>
      <protection hidden="1"/>
    </xf>
    <xf numFmtId="0" fontId="29" fillId="5" borderId="1" xfId="0" applyFont="1" applyFill="1" applyBorder="1" applyAlignment="1">
      <alignment horizontal="center" vertical="center" wrapText="1"/>
    </xf>
    <xf numFmtId="0" fontId="29" fillId="0" borderId="0" xfId="3" applyFont="1" applyAlignment="1">
      <alignment vertical="center"/>
    </xf>
    <xf numFmtId="0" fontId="29" fillId="0" borderId="0" xfId="4" applyFont="1"/>
    <xf numFmtId="0" fontId="25" fillId="3" borderId="0" xfId="5" applyFont="1" applyFill="1" applyAlignment="1">
      <alignment horizontal="left" vertical="center"/>
    </xf>
    <xf numFmtId="0" fontId="29" fillId="3" borderId="0" xfId="0" applyFont="1" applyFill="1" applyAlignment="1">
      <alignment horizontal="left" vertical="top"/>
    </xf>
    <xf numFmtId="0" fontId="29" fillId="5" borderId="1" xfId="0" applyFont="1" applyFill="1" applyBorder="1" applyAlignment="1">
      <alignment horizontal="center" vertical="center" wrapText="1"/>
    </xf>
    <xf numFmtId="0" fontId="27" fillId="0" borderId="0" xfId="5" applyFont="1" applyAlignment="1">
      <alignment horizontal="center" vertical="center"/>
    </xf>
    <xf numFmtId="0" fontId="27" fillId="3" borderId="0" xfId="8" applyFont="1" applyFill="1" applyAlignment="1">
      <alignment horizontal="center"/>
    </xf>
    <xf numFmtId="0" fontId="22" fillId="0" borderId="0" xfId="0" applyFont="1"/>
    <xf numFmtId="0" fontId="25" fillId="0" borderId="0" xfId="0" applyFont="1" applyAlignment="1">
      <alignment horizontal="left"/>
    </xf>
    <xf numFmtId="0" fontId="29" fillId="5" borderId="1" xfId="0" applyFont="1" applyFill="1" applyBorder="1" applyAlignment="1">
      <alignment horizontal="center" vertical="center" wrapText="1"/>
    </xf>
    <xf numFmtId="0" fontId="34" fillId="3" borderId="0" xfId="6" applyFont="1" applyFill="1" applyAlignment="1">
      <alignment horizontal="left"/>
    </xf>
    <xf numFmtId="0" fontId="1" fillId="5" borderId="1" xfId="0" applyFont="1" applyFill="1" applyBorder="1" applyAlignment="1">
      <alignment horizontal="center"/>
    </xf>
    <xf numFmtId="0" fontId="1" fillId="5" borderId="1" xfId="0" applyFont="1" applyFill="1" applyBorder="1"/>
    <xf numFmtId="0" fontId="1" fillId="0" borderId="1" xfId="8" applyFont="1" applyBorder="1" applyAlignment="1">
      <alignment horizontal="center"/>
    </xf>
    <xf numFmtId="9" fontId="1" fillId="0" borderId="0" xfId="2" applyFont="1"/>
    <xf numFmtId="0" fontId="29" fillId="5" borderId="1"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29" fillId="6" borderId="1" xfId="0" applyFont="1" applyFill="1" applyBorder="1" applyAlignment="1">
      <alignment horizontal="center"/>
    </xf>
    <xf numFmtId="0" fontId="8" fillId="2" borderId="3" xfId="0" applyFont="1" applyFill="1" applyBorder="1" applyAlignment="1">
      <alignment horizontal="center" vertical="center" wrapText="1"/>
    </xf>
    <xf numFmtId="0" fontId="8" fillId="2" borderId="6" xfId="0" applyFont="1" applyFill="1" applyBorder="1" applyAlignment="1">
      <alignment horizontal="center" vertical="center" wrapText="1"/>
    </xf>
    <xf numFmtId="15" fontId="6" fillId="0" borderId="0" xfId="3" applyNumberFormat="1" applyFont="1" applyAlignment="1">
      <alignment horizontal="center" vertical="center"/>
    </xf>
    <xf numFmtId="0" fontId="10" fillId="3" borderId="0" xfId="3" applyFont="1" applyFill="1" applyAlignment="1">
      <alignment horizontal="center" vertical="center"/>
    </xf>
    <xf numFmtId="0" fontId="2" fillId="0" borderId="0" xfId="0" applyFont="1" applyAlignment="1">
      <alignment horizontal="center"/>
    </xf>
    <xf numFmtId="0" fontId="7" fillId="0" borderId="0" xfId="0" applyFont="1" applyAlignment="1">
      <alignment horizontal="center"/>
    </xf>
    <xf numFmtId="0" fontId="8" fillId="2" borderId="1" xfId="0" applyFont="1" applyFill="1" applyBorder="1" applyAlignment="1">
      <alignment horizontal="center"/>
    </xf>
    <xf numFmtId="0" fontId="8" fillId="0" borderId="3" xfId="0" applyFont="1" applyBorder="1" applyAlignment="1">
      <alignment horizontal="center"/>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cellXfs>
  <cellStyles count="9">
    <cellStyle name="Millares" xfId="1" builtinId="3"/>
    <cellStyle name="Normal" xfId="0" builtinId="0"/>
    <cellStyle name="Normal 2" xfId="3" xr:uid="{00000000-0005-0000-0000-000002000000}"/>
    <cellStyle name="Normal 2 10" xfId="8" xr:uid="{5768B159-0FB4-44F9-B245-A0CA7D2BF90D}"/>
    <cellStyle name="Normal 2 2" xfId="5" xr:uid="{00000000-0005-0000-0000-000003000000}"/>
    <cellStyle name="Normal 2 3" xfId="7" xr:uid="{24D405C5-E712-4456-B9B2-B76C13FF795F}"/>
    <cellStyle name="Normal 6" xfId="4" xr:uid="{00000000-0005-0000-0000-000004000000}"/>
    <cellStyle name="Normal_2102.1.1 Analisis de Partidas Conciliatorias" xfId="6" xr:uid="{278B482B-11AE-4552-8034-C9FC37C5FF3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4</xdr:col>
      <xdr:colOff>555634</xdr:colOff>
      <xdr:row>44</xdr:row>
      <xdr:rowOff>1</xdr:rowOff>
    </xdr:from>
    <xdr:ext cx="174625" cy="174625"/>
    <xdr:pic>
      <xdr:nvPicPr>
        <xdr:cNvPr id="35" name="Imagen 34">
          <a:extLst>
            <a:ext uri="{FF2B5EF4-FFF2-40B4-BE49-F238E27FC236}">
              <a16:creationId xmlns:a16="http://schemas.microsoft.com/office/drawing/2014/main" id="{10C47C53-8E52-4B90-9F82-A56374F467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9" y="7239001"/>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500067</xdr:colOff>
      <xdr:row>57</xdr:row>
      <xdr:rowOff>0</xdr:rowOff>
    </xdr:from>
    <xdr:ext cx="174625" cy="174625"/>
    <xdr:pic>
      <xdr:nvPicPr>
        <xdr:cNvPr id="36" name="Imagen 35">
          <a:extLst>
            <a:ext uri="{FF2B5EF4-FFF2-40B4-BE49-F238E27FC236}">
              <a16:creationId xmlns:a16="http://schemas.microsoft.com/office/drawing/2014/main" id="{1AF270A8-9B06-468D-99AD-408A9331F4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6442" y="9612313"/>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211699</xdr:colOff>
      <xdr:row>35</xdr:row>
      <xdr:rowOff>70305</xdr:rowOff>
    </xdr:from>
    <xdr:to>
      <xdr:col>5</xdr:col>
      <xdr:colOff>889000</xdr:colOff>
      <xdr:row>35</xdr:row>
      <xdr:rowOff>72571</xdr:rowOff>
    </xdr:to>
    <xdr:cxnSp macro="">
      <xdr:nvCxnSpPr>
        <xdr:cNvPr id="25" name="Conector recto de flecha 24">
          <a:extLst>
            <a:ext uri="{FF2B5EF4-FFF2-40B4-BE49-F238E27FC236}">
              <a16:creationId xmlns:a16="http://schemas.microsoft.com/office/drawing/2014/main" id="{ACBF9AE2-E271-4975-8889-53E52526DE43}"/>
            </a:ext>
          </a:extLst>
        </xdr:cNvPr>
        <xdr:cNvCxnSpPr>
          <a:cxnSpLocks/>
        </xdr:cNvCxnSpPr>
      </xdr:nvCxnSpPr>
      <xdr:spPr>
        <a:xfrm>
          <a:off x="759387" y="5904368"/>
          <a:ext cx="7479738" cy="226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18491</xdr:colOff>
      <xdr:row>34</xdr:row>
      <xdr:rowOff>137734</xdr:rowOff>
    </xdr:from>
    <xdr:to>
      <xdr:col>7</xdr:col>
      <xdr:colOff>210579</xdr:colOff>
      <xdr:row>36</xdr:row>
      <xdr:rowOff>1055</xdr:rowOff>
    </xdr:to>
    <xdr:pic>
      <xdr:nvPicPr>
        <xdr:cNvPr id="27" name="Imagen 26">
          <a:extLst>
            <a:ext uri="{FF2B5EF4-FFF2-40B4-BE49-F238E27FC236}">
              <a16:creationId xmlns:a16="http://schemas.microsoft.com/office/drawing/2014/main" id="{2DAE8B78-11C8-41A3-A69E-639CC50CB9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02091" y="5509834"/>
          <a:ext cx="192088" cy="180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210579</xdr:colOff>
      <xdr:row>35</xdr:row>
      <xdr:rowOff>63500</xdr:rowOff>
    </xdr:from>
    <xdr:to>
      <xdr:col>12</xdr:col>
      <xdr:colOff>852715</xdr:colOff>
      <xdr:row>35</xdr:row>
      <xdr:rowOff>69394</xdr:rowOff>
    </xdr:to>
    <xdr:cxnSp macro="">
      <xdr:nvCxnSpPr>
        <xdr:cNvPr id="28" name="Conector recto de flecha 27">
          <a:extLst>
            <a:ext uri="{FF2B5EF4-FFF2-40B4-BE49-F238E27FC236}">
              <a16:creationId xmlns:a16="http://schemas.microsoft.com/office/drawing/2014/main" id="{2113913F-C510-4193-9EED-C35A6E979BAC}"/>
            </a:ext>
          </a:extLst>
        </xdr:cNvPr>
        <xdr:cNvCxnSpPr>
          <a:stCxn id="27" idx="3"/>
        </xdr:cNvCxnSpPr>
      </xdr:nvCxnSpPr>
      <xdr:spPr>
        <a:xfrm flipV="1">
          <a:off x="8694179" y="5594350"/>
          <a:ext cx="7773186" cy="589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0</xdr:colOff>
      <xdr:row>34</xdr:row>
      <xdr:rowOff>127000</xdr:rowOff>
    </xdr:from>
    <xdr:to>
      <xdr:col>14</xdr:col>
      <xdr:colOff>158750</xdr:colOff>
      <xdr:row>35</xdr:row>
      <xdr:rowOff>120649</xdr:rowOff>
    </xdr:to>
    <xdr:pic>
      <xdr:nvPicPr>
        <xdr:cNvPr id="29" name="Imagen 28">
          <a:extLst>
            <a:ext uri="{FF2B5EF4-FFF2-40B4-BE49-F238E27FC236}">
              <a16:creationId xmlns:a16="http://schemas.microsoft.com/office/drawing/2014/main" id="{E4501C3E-8473-46B2-95D9-FC6668B4AC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4500" y="5499100"/>
          <a:ext cx="158750" cy="152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158750</xdr:colOff>
      <xdr:row>35</xdr:row>
      <xdr:rowOff>43089</xdr:rowOff>
    </xdr:from>
    <xdr:to>
      <xdr:col>15</xdr:col>
      <xdr:colOff>849312</xdr:colOff>
      <xdr:row>35</xdr:row>
      <xdr:rowOff>43089</xdr:rowOff>
    </xdr:to>
    <xdr:cxnSp macro="">
      <xdr:nvCxnSpPr>
        <xdr:cNvPr id="30" name="Conector recto de flecha 29">
          <a:extLst>
            <a:ext uri="{FF2B5EF4-FFF2-40B4-BE49-F238E27FC236}">
              <a16:creationId xmlns:a16="http://schemas.microsoft.com/office/drawing/2014/main" id="{04F85489-4B55-4A76-A2B5-BEFC9D4E003A}"/>
            </a:ext>
          </a:extLst>
        </xdr:cNvPr>
        <xdr:cNvCxnSpPr>
          <a:stCxn id="29" idx="3"/>
        </xdr:cNvCxnSpPr>
      </xdr:nvCxnSpPr>
      <xdr:spPr>
        <a:xfrm>
          <a:off x="17113250" y="5573939"/>
          <a:ext cx="2227262"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211699</xdr:colOff>
      <xdr:row>48</xdr:row>
      <xdr:rowOff>70305</xdr:rowOff>
    </xdr:from>
    <xdr:to>
      <xdr:col>5</xdr:col>
      <xdr:colOff>889000</xdr:colOff>
      <xdr:row>48</xdr:row>
      <xdr:rowOff>72571</xdr:rowOff>
    </xdr:to>
    <xdr:cxnSp macro="">
      <xdr:nvCxnSpPr>
        <xdr:cNvPr id="31" name="Conector recto de flecha 30">
          <a:extLst>
            <a:ext uri="{FF2B5EF4-FFF2-40B4-BE49-F238E27FC236}">
              <a16:creationId xmlns:a16="http://schemas.microsoft.com/office/drawing/2014/main" id="{548EF91B-0B23-40AE-AED5-CC533E7D34A8}"/>
            </a:ext>
          </a:extLst>
        </xdr:cNvPr>
        <xdr:cNvCxnSpPr>
          <a:stCxn id="32" idx="3"/>
        </xdr:cNvCxnSpPr>
      </xdr:nvCxnSpPr>
      <xdr:spPr>
        <a:xfrm>
          <a:off x="755985" y="6266091"/>
          <a:ext cx="7489944" cy="226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19611</xdr:colOff>
      <xdr:row>47</xdr:row>
      <xdr:rowOff>137548</xdr:rowOff>
    </xdr:from>
    <xdr:ext cx="192088" cy="192085"/>
    <xdr:pic>
      <xdr:nvPicPr>
        <xdr:cNvPr id="32" name="Imagen 31">
          <a:extLst>
            <a:ext uri="{FF2B5EF4-FFF2-40B4-BE49-F238E27FC236}">
              <a16:creationId xmlns:a16="http://schemas.microsoft.com/office/drawing/2014/main" id="{9B036BF9-DE98-44A5-9F9B-8665ABCE5CC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3897" y="6170048"/>
          <a:ext cx="192088" cy="1920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18491</xdr:colOff>
      <xdr:row>47</xdr:row>
      <xdr:rowOff>137734</xdr:rowOff>
    </xdr:from>
    <xdr:ext cx="192088" cy="189892"/>
    <xdr:pic>
      <xdr:nvPicPr>
        <xdr:cNvPr id="33" name="Imagen 32">
          <a:extLst>
            <a:ext uri="{FF2B5EF4-FFF2-40B4-BE49-F238E27FC236}">
              <a16:creationId xmlns:a16="http://schemas.microsoft.com/office/drawing/2014/main" id="{30D769C0-A054-40A4-A94B-5545EF1A8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45420" y="6170234"/>
          <a:ext cx="192088" cy="1898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210579</xdr:colOff>
      <xdr:row>48</xdr:row>
      <xdr:rowOff>63500</xdr:rowOff>
    </xdr:from>
    <xdr:to>
      <xdr:col>12</xdr:col>
      <xdr:colOff>852715</xdr:colOff>
      <xdr:row>48</xdr:row>
      <xdr:rowOff>69394</xdr:rowOff>
    </xdr:to>
    <xdr:cxnSp macro="">
      <xdr:nvCxnSpPr>
        <xdr:cNvPr id="47" name="Conector recto de flecha 46">
          <a:extLst>
            <a:ext uri="{FF2B5EF4-FFF2-40B4-BE49-F238E27FC236}">
              <a16:creationId xmlns:a16="http://schemas.microsoft.com/office/drawing/2014/main" id="{28837342-BF62-4C06-A1FB-3F365B6F47BF}"/>
            </a:ext>
          </a:extLst>
        </xdr:cNvPr>
        <xdr:cNvCxnSpPr>
          <a:stCxn id="33" idx="3"/>
        </xdr:cNvCxnSpPr>
      </xdr:nvCxnSpPr>
      <xdr:spPr>
        <a:xfrm flipV="1">
          <a:off x="8837508" y="6259286"/>
          <a:ext cx="7270628" cy="589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0</xdr:colOff>
      <xdr:row>47</xdr:row>
      <xdr:rowOff>127000</xdr:rowOff>
    </xdr:from>
    <xdr:ext cx="158750" cy="156935"/>
    <xdr:pic>
      <xdr:nvPicPr>
        <xdr:cNvPr id="48" name="Imagen 47">
          <a:extLst>
            <a:ext uri="{FF2B5EF4-FFF2-40B4-BE49-F238E27FC236}">
              <a16:creationId xmlns:a16="http://schemas.microsoft.com/office/drawing/2014/main" id="{AA756DE9-6DED-4844-BBC5-2426E62445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00929" y="6159500"/>
          <a:ext cx="158750" cy="1569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14</xdr:col>
      <xdr:colOff>158750</xdr:colOff>
      <xdr:row>48</xdr:row>
      <xdr:rowOff>43089</xdr:rowOff>
    </xdr:from>
    <xdr:to>
      <xdr:col>15</xdr:col>
      <xdr:colOff>849312</xdr:colOff>
      <xdr:row>48</xdr:row>
      <xdr:rowOff>43089</xdr:rowOff>
    </xdr:to>
    <xdr:cxnSp macro="">
      <xdr:nvCxnSpPr>
        <xdr:cNvPr id="49" name="Conector recto de flecha 48">
          <a:extLst>
            <a:ext uri="{FF2B5EF4-FFF2-40B4-BE49-F238E27FC236}">
              <a16:creationId xmlns:a16="http://schemas.microsoft.com/office/drawing/2014/main" id="{52B78D28-3894-4177-9D25-E18D4E4DE909}"/>
            </a:ext>
          </a:extLst>
        </xdr:cNvPr>
        <xdr:cNvCxnSpPr>
          <a:stCxn id="48" idx="3"/>
        </xdr:cNvCxnSpPr>
      </xdr:nvCxnSpPr>
      <xdr:spPr>
        <a:xfrm>
          <a:off x="16659679" y="6238875"/>
          <a:ext cx="2223633"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246066</xdr:colOff>
      <xdr:row>64</xdr:row>
      <xdr:rowOff>0</xdr:rowOff>
    </xdr:from>
    <xdr:to>
      <xdr:col>0</xdr:col>
      <xdr:colOff>411166</xdr:colOff>
      <xdr:row>65</xdr:row>
      <xdr:rowOff>1</xdr:rowOff>
    </xdr:to>
    <xdr:pic>
      <xdr:nvPicPr>
        <xdr:cNvPr id="22" name="Imagen 21">
          <a:extLst>
            <a:ext uri="{FF2B5EF4-FFF2-40B4-BE49-F238E27FC236}">
              <a16:creationId xmlns:a16="http://schemas.microsoft.com/office/drawing/2014/main" id="{46A0F226-EA6A-4443-9B3E-2C652D54BEA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6066" y="11023600"/>
          <a:ext cx="165100" cy="158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246065</xdr:colOff>
      <xdr:row>66</xdr:row>
      <xdr:rowOff>0</xdr:rowOff>
    </xdr:from>
    <xdr:ext cx="158750" cy="158750"/>
    <xdr:pic>
      <xdr:nvPicPr>
        <xdr:cNvPr id="23" name="Imagen 22">
          <a:extLst>
            <a:ext uri="{FF2B5EF4-FFF2-40B4-BE49-F238E27FC236}">
              <a16:creationId xmlns:a16="http://schemas.microsoft.com/office/drawing/2014/main" id="{9F76464F-76EF-4949-962F-8563EF3BD2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065" y="11341100"/>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239261</xdr:colOff>
      <xdr:row>67</xdr:row>
      <xdr:rowOff>0</xdr:rowOff>
    </xdr:from>
    <xdr:to>
      <xdr:col>0</xdr:col>
      <xdr:colOff>411618</xdr:colOff>
      <xdr:row>67</xdr:row>
      <xdr:rowOff>156935</xdr:rowOff>
    </xdr:to>
    <xdr:pic>
      <xdr:nvPicPr>
        <xdr:cNvPr id="24" name="Imagen 23">
          <a:extLst>
            <a:ext uri="{FF2B5EF4-FFF2-40B4-BE49-F238E27FC236}">
              <a16:creationId xmlns:a16="http://schemas.microsoft.com/office/drawing/2014/main" id="{EE0A569C-B005-4968-A98A-CC5DDE9193E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261" y="11738429"/>
          <a:ext cx="172357" cy="156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246068</xdr:colOff>
      <xdr:row>65</xdr:row>
      <xdr:rowOff>0</xdr:rowOff>
    </xdr:from>
    <xdr:to>
      <xdr:col>0</xdr:col>
      <xdr:colOff>406405</xdr:colOff>
      <xdr:row>66</xdr:row>
      <xdr:rowOff>0</xdr:rowOff>
    </xdr:to>
    <xdr:pic>
      <xdr:nvPicPr>
        <xdr:cNvPr id="37" name="Imagen 36">
          <a:extLst>
            <a:ext uri="{FF2B5EF4-FFF2-40B4-BE49-F238E27FC236}">
              <a16:creationId xmlns:a16="http://schemas.microsoft.com/office/drawing/2014/main" id="{75A48381-D4D2-476E-9FE8-50978CC934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6068" y="11182350"/>
          <a:ext cx="160337"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244929</xdr:colOff>
      <xdr:row>68</xdr:row>
      <xdr:rowOff>0</xdr:rowOff>
    </xdr:from>
    <xdr:ext cx="158750" cy="158750"/>
    <xdr:pic>
      <xdr:nvPicPr>
        <xdr:cNvPr id="38" name="Imagen 37">
          <a:extLst>
            <a:ext uri="{FF2B5EF4-FFF2-40B4-BE49-F238E27FC236}">
              <a16:creationId xmlns:a16="http://schemas.microsoft.com/office/drawing/2014/main" id="{244C1581-D1FA-461E-8A1C-D54A71BBDF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929" y="11901714"/>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530852</xdr:colOff>
      <xdr:row>34</xdr:row>
      <xdr:rowOff>118267</xdr:rowOff>
    </xdr:from>
    <xdr:to>
      <xdr:col>1</xdr:col>
      <xdr:colOff>177172</xdr:colOff>
      <xdr:row>35</xdr:row>
      <xdr:rowOff>151605</xdr:rowOff>
    </xdr:to>
    <xdr:pic>
      <xdr:nvPicPr>
        <xdr:cNvPr id="34" name="Imagen 33">
          <a:extLst>
            <a:ext uri="{FF2B5EF4-FFF2-40B4-BE49-F238E27FC236}">
              <a16:creationId xmlns:a16="http://schemas.microsoft.com/office/drawing/2014/main" id="{DCEE82ED-14FD-4E42-8DCB-9C5C3AD226A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30852" y="5793580"/>
          <a:ext cx="194008" cy="192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11</xdr:row>
      <xdr:rowOff>85725</xdr:rowOff>
    </xdr:from>
    <xdr:to>
      <xdr:col>2</xdr:col>
      <xdr:colOff>723900</xdr:colOff>
      <xdr:row>11</xdr:row>
      <xdr:rowOff>85725</xdr:rowOff>
    </xdr:to>
    <xdr:cxnSp macro="">
      <xdr:nvCxnSpPr>
        <xdr:cNvPr id="3" name="2 Conector recto">
          <a:extLst>
            <a:ext uri="{FF2B5EF4-FFF2-40B4-BE49-F238E27FC236}">
              <a16:creationId xmlns:a16="http://schemas.microsoft.com/office/drawing/2014/main" id="{00000000-0008-0000-0200-000003000000}"/>
            </a:ext>
          </a:extLst>
        </xdr:cNvPr>
        <xdr:cNvCxnSpPr/>
      </xdr:nvCxnSpPr>
      <xdr:spPr>
        <a:xfrm>
          <a:off x="247650" y="1419225"/>
          <a:ext cx="1495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2035967</xdr:colOff>
      <xdr:row>11</xdr:row>
      <xdr:rowOff>95250</xdr:rowOff>
    </xdr:from>
    <xdr:to>
      <xdr:col>4</xdr:col>
      <xdr:colOff>40479</xdr:colOff>
      <xdr:row>11</xdr:row>
      <xdr:rowOff>95250</xdr:rowOff>
    </xdr:to>
    <xdr:cxnSp macro="">
      <xdr:nvCxnSpPr>
        <xdr:cNvPr id="9" name="8 Conector recto">
          <a:extLst>
            <a:ext uri="{FF2B5EF4-FFF2-40B4-BE49-F238E27FC236}">
              <a16:creationId xmlns:a16="http://schemas.microsoft.com/office/drawing/2014/main" id="{00000000-0008-0000-0200-000009000000}"/>
            </a:ext>
          </a:extLst>
        </xdr:cNvPr>
        <xdr:cNvCxnSpPr/>
      </xdr:nvCxnSpPr>
      <xdr:spPr>
        <a:xfrm>
          <a:off x="3286123" y="2321719"/>
          <a:ext cx="235029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11</xdr:row>
      <xdr:rowOff>95250</xdr:rowOff>
    </xdr:from>
    <xdr:to>
      <xdr:col>7</xdr:col>
      <xdr:colOff>676275</xdr:colOff>
      <xdr:row>11</xdr:row>
      <xdr:rowOff>95251</xdr:rowOff>
    </xdr:to>
    <xdr:cxnSp macro="">
      <xdr:nvCxnSpPr>
        <xdr:cNvPr id="10" name="9 Conector recto">
          <a:extLst>
            <a:ext uri="{FF2B5EF4-FFF2-40B4-BE49-F238E27FC236}">
              <a16:creationId xmlns:a16="http://schemas.microsoft.com/office/drawing/2014/main" id="{00000000-0008-0000-0200-00000A000000}"/>
            </a:ext>
          </a:extLst>
        </xdr:cNvPr>
        <xdr:cNvCxnSpPr/>
      </xdr:nvCxnSpPr>
      <xdr:spPr>
        <a:xfrm flipV="1">
          <a:off x="4829175" y="1428750"/>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85725</xdr:colOff>
      <xdr:row>11</xdr:row>
      <xdr:rowOff>95250</xdr:rowOff>
    </xdr:from>
    <xdr:to>
      <xdr:col>11</xdr:col>
      <xdr:colOff>723900</xdr:colOff>
      <xdr:row>11</xdr:row>
      <xdr:rowOff>95251</xdr:rowOff>
    </xdr:to>
    <xdr:cxnSp macro="">
      <xdr:nvCxnSpPr>
        <xdr:cNvPr id="14" name="13 Conector recto">
          <a:extLst>
            <a:ext uri="{FF2B5EF4-FFF2-40B4-BE49-F238E27FC236}">
              <a16:creationId xmlns:a16="http://schemas.microsoft.com/office/drawing/2014/main" id="{00000000-0008-0000-0200-00000E000000}"/>
            </a:ext>
          </a:extLst>
        </xdr:cNvPr>
        <xdr:cNvCxnSpPr/>
      </xdr:nvCxnSpPr>
      <xdr:spPr>
        <a:xfrm flipV="1">
          <a:off x="6762750" y="1428750"/>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23812</xdr:colOff>
      <xdr:row>0</xdr:row>
      <xdr:rowOff>59530</xdr:rowOff>
    </xdr:from>
    <xdr:to>
      <xdr:col>1</xdr:col>
      <xdr:colOff>888205</xdr:colOff>
      <xdr:row>2</xdr:row>
      <xdr:rowOff>15222</xdr:rowOff>
    </xdr:to>
    <xdr:pic>
      <xdr:nvPicPr>
        <xdr:cNvPr id="6" name="Imagen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23812" y="59530"/>
          <a:ext cx="864393" cy="360505"/>
        </a:xfrm>
        <a:prstGeom prst="rect">
          <a:avLst/>
        </a:prstGeom>
      </xdr:spPr>
    </xdr:pic>
    <xdr:clientData/>
  </xdr:twoCellAnchor>
  <xdr:twoCellAnchor>
    <xdr:from>
      <xdr:col>13</xdr:col>
      <xdr:colOff>0</xdr:colOff>
      <xdr:row>11</xdr:row>
      <xdr:rowOff>95250</xdr:rowOff>
    </xdr:from>
    <xdr:to>
      <xdr:col>13</xdr:col>
      <xdr:colOff>723900</xdr:colOff>
      <xdr:row>11</xdr:row>
      <xdr:rowOff>95251</xdr:rowOff>
    </xdr:to>
    <xdr:cxnSp macro="">
      <xdr:nvCxnSpPr>
        <xdr:cNvPr id="17" name="13 Conector recto">
          <a:extLst>
            <a:ext uri="{FF2B5EF4-FFF2-40B4-BE49-F238E27FC236}">
              <a16:creationId xmlns:a16="http://schemas.microsoft.com/office/drawing/2014/main" id="{00000000-0008-0000-0200-000011000000}"/>
            </a:ext>
          </a:extLst>
        </xdr:cNvPr>
        <xdr:cNvCxnSpPr/>
      </xdr:nvCxnSpPr>
      <xdr:spPr>
        <a:xfrm flipV="1">
          <a:off x="17409319" y="2321719"/>
          <a:ext cx="1519237"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247650</xdr:colOff>
      <xdr:row>11</xdr:row>
      <xdr:rowOff>85725</xdr:rowOff>
    </xdr:from>
    <xdr:to>
      <xdr:col>2</xdr:col>
      <xdr:colOff>723900</xdr:colOff>
      <xdr:row>11</xdr:row>
      <xdr:rowOff>85725</xdr:rowOff>
    </xdr:to>
    <xdr:cxnSp macro="">
      <xdr:nvCxnSpPr>
        <xdr:cNvPr id="2" name="2 Conector recto">
          <a:extLst>
            <a:ext uri="{FF2B5EF4-FFF2-40B4-BE49-F238E27FC236}">
              <a16:creationId xmlns:a16="http://schemas.microsoft.com/office/drawing/2014/main" id="{00000000-0008-0000-0300-000002000000}"/>
            </a:ext>
          </a:extLst>
        </xdr:cNvPr>
        <xdr:cNvCxnSpPr/>
      </xdr:nvCxnSpPr>
      <xdr:spPr>
        <a:xfrm>
          <a:off x="247650" y="1714500"/>
          <a:ext cx="1495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500063</xdr:colOff>
      <xdr:row>11</xdr:row>
      <xdr:rowOff>83344</xdr:rowOff>
    </xdr:from>
    <xdr:to>
      <xdr:col>3</xdr:col>
      <xdr:colOff>1993107</xdr:colOff>
      <xdr:row>11</xdr:row>
      <xdr:rowOff>83344</xdr:rowOff>
    </xdr:to>
    <xdr:cxnSp macro="">
      <xdr:nvCxnSpPr>
        <xdr:cNvPr id="3" name="8 Conector recto">
          <a:extLst>
            <a:ext uri="{FF2B5EF4-FFF2-40B4-BE49-F238E27FC236}">
              <a16:creationId xmlns:a16="http://schemas.microsoft.com/office/drawing/2014/main" id="{00000000-0008-0000-0300-000003000000}"/>
            </a:ext>
          </a:extLst>
        </xdr:cNvPr>
        <xdr:cNvCxnSpPr/>
      </xdr:nvCxnSpPr>
      <xdr:spPr>
        <a:xfrm>
          <a:off x="3810001" y="2119313"/>
          <a:ext cx="149304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11</xdr:row>
      <xdr:rowOff>95250</xdr:rowOff>
    </xdr:from>
    <xdr:to>
      <xdr:col>6</xdr:col>
      <xdr:colOff>676275</xdr:colOff>
      <xdr:row>11</xdr:row>
      <xdr:rowOff>95251</xdr:rowOff>
    </xdr:to>
    <xdr:cxnSp macro="">
      <xdr:nvCxnSpPr>
        <xdr:cNvPr id="4" name="9 Conector recto">
          <a:extLst>
            <a:ext uri="{FF2B5EF4-FFF2-40B4-BE49-F238E27FC236}">
              <a16:creationId xmlns:a16="http://schemas.microsoft.com/office/drawing/2014/main" id="{00000000-0008-0000-0300-000004000000}"/>
            </a:ext>
          </a:extLst>
        </xdr:cNvPr>
        <xdr:cNvCxnSpPr/>
      </xdr:nvCxnSpPr>
      <xdr:spPr>
        <a:xfrm flipV="1">
          <a:off x="4829175" y="1724025"/>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85725</xdr:colOff>
      <xdr:row>11</xdr:row>
      <xdr:rowOff>95250</xdr:rowOff>
    </xdr:from>
    <xdr:to>
      <xdr:col>10</xdr:col>
      <xdr:colOff>723900</xdr:colOff>
      <xdr:row>11</xdr:row>
      <xdr:rowOff>95251</xdr:rowOff>
    </xdr:to>
    <xdr:cxnSp macro="">
      <xdr:nvCxnSpPr>
        <xdr:cNvPr id="5" name="13 Conector recto">
          <a:extLst>
            <a:ext uri="{FF2B5EF4-FFF2-40B4-BE49-F238E27FC236}">
              <a16:creationId xmlns:a16="http://schemas.microsoft.com/office/drawing/2014/main" id="{00000000-0008-0000-0300-000005000000}"/>
            </a:ext>
          </a:extLst>
        </xdr:cNvPr>
        <xdr:cNvCxnSpPr/>
      </xdr:nvCxnSpPr>
      <xdr:spPr>
        <a:xfrm flipV="1">
          <a:off x="6762750" y="1724025"/>
          <a:ext cx="154305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390525</xdr:colOff>
      <xdr:row>12</xdr:row>
      <xdr:rowOff>52387</xdr:rowOff>
    </xdr:from>
    <xdr:ext cx="65" cy="172227"/>
    <xdr:sp macro="" textlink="">
      <xdr:nvSpPr>
        <xdr:cNvPr id="6" name="CuadroTexto 5">
          <a:extLst>
            <a:ext uri="{FF2B5EF4-FFF2-40B4-BE49-F238E27FC236}">
              <a16:creationId xmlns:a16="http://schemas.microsoft.com/office/drawing/2014/main" id="{00000000-0008-0000-0300-000006000000}"/>
            </a:ext>
          </a:extLst>
        </xdr:cNvPr>
        <xdr:cNvSpPr txBox="1"/>
      </xdr:nvSpPr>
      <xdr:spPr>
        <a:xfrm>
          <a:off x="5943600" y="18716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C" sz="1100"/>
        </a:p>
      </xdr:txBody>
    </xdr:sp>
    <xdr:clientData/>
  </xdr:oneCellAnchor>
  <xdr:oneCellAnchor>
    <xdr:from>
      <xdr:col>6</xdr:col>
      <xdr:colOff>390525</xdr:colOff>
      <xdr:row>14</xdr:row>
      <xdr:rowOff>52387</xdr:rowOff>
    </xdr:from>
    <xdr:ext cx="65" cy="172227"/>
    <xdr:sp macro="" textlink="">
      <xdr:nvSpPr>
        <xdr:cNvPr id="7" name="CuadroTexto 6">
          <a:extLst>
            <a:ext uri="{FF2B5EF4-FFF2-40B4-BE49-F238E27FC236}">
              <a16:creationId xmlns:a16="http://schemas.microsoft.com/office/drawing/2014/main" id="{00000000-0008-0000-0300-000007000000}"/>
            </a:ext>
          </a:extLst>
        </xdr:cNvPr>
        <xdr:cNvSpPr txBox="1"/>
      </xdr:nvSpPr>
      <xdr:spPr>
        <a:xfrm>
          <a:off x="5943600" y="18716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C" sz="1100"/>
        </a:p>
      </xdr:txBody>
    </xdr:sp>
    <xdr:clientData/>
  </xdr:oneCellAnchor>
  <xdr:oneCellAnchor>
    <xdr:from>
      <xdr:col>6</xdr:col>
      <xdr:colOff>390525</xdr:colOff>
      <xdr:row>13</xdr:row>
      <xdr:rowOff>52387</xdr:rowOff>
    </xdr:from>
    <xdr:ext cx="65" cy="172227"/>
    <xdr:sp macro="" textlink="">
      <xdr:nvSpPr>
        <xdr:cNvPr id="8" name="CuadroTexto 7">
          <a:extLst>
            <a:ext uri="{FF2B5EF4-FFF2-40B4-BE49-F238E27FC236}">
              <a16:creationId xmlns:a16="http://schemas.microsoft.com/office/drawing/2014/main" id="{00000000-0008-0000-0300-000008000000}"/>
            </a:ext>
          </a:extLst>
        </xdr:cNvPr>
        <xdr:cNvSpPr txBox="1"/>
      </xdr:nvSpPr>
      <xdr:spPr>
        <a:xfrm>
          <a:off x="5943600" y="18716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C" sz="1100"/>
        </a:p>
      </xdr:txBody>
    </xdr:sp>
    <xdr:clientData/>
  </xdr:oneCellAnchor>
  <xdr:twoCellAnchor editAs="oneCell">
    <xdr:from>
      <xdr:col>1</xdr:col>
      <xdr:colOff>47624</xdr:colOff>
      <xdr:row>0</xdr:row>
      <xdr:rowOff>35718</xdr:rowOff>
    </xdr:from>
    <xdr:to>
      <xdr:col>1</xdr:col>
      <xdr:colOff>912017</xdr:colOff>
      <xdr:row>1</xdr:row>
      <xdr:rowOff>181117</xdr:rowOff>
    </xdr:to>
    <xdr:pic>
      <xdr:nvPicPr>
        <xdr:cNvPr id="9" name="Imagen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47624" y="35718"/>
          <a:ext cx="864393" cy="3605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247650</xdr:colOff>
      <xdr:row>13</xdr:row>
      <xdr:rowOff>85725</xdr:rowOff>
    </xdr:from>
    <xdr:to>
      <xdr:col>2</xdr:col>
      <xdr:colOff>723900</xdr:colOff>
      <xdr:row>13</xdr:row>
      <xdr:rowOff>85725</xdr:rowOff>
    </xdr:to>
    <xdr:cxnSp macro="">
      <xdr:nvCxnSpPr>
        <xdr:cNvPr id="2" name="2 Conector recto">
          <a:extLst>
            <a:ext uri="{FF2B5EF4-FFF2-40B4-BE49-F238E27FC236}">
              <a16:creationId xmlns:a16="http://schemas.microsoft.com/office/drawing/2014/main" id="{00000000-0008-0000-0400-000002000000}"/>
            </a:ext>
          </a:extLst>
        </xdr:cNvPr>
        <xdr:cNvCxnSpPr/>
      </xdr:nvCxnSpPr>
      <xdr:spPr>
        <a:xfrm>
          <a:off x="247650" y="1714500"/>
          <a:ext cx="1495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1714500</xdr:colOff>
      <xdr:row>13</xdr:row>
      <xdr:rowOff>95250</xdr:rowOff>
    </xdr:from>
    <xdr:to>
      <xdr:col>3</xdr:col>
      <xdr:colOff>1171575</xdr:colOff>
      <xdr:row>13</xdr:row>
      <xdr:rowOff>95250</xdr:rowOff>
    </xdr:to>
    <xdr:cxnSp macro="">
      <xdr:nvCxnSpPr>
        <xdr:cNvPr id="3" name="8 Conector recto">
          <a:extLst>
            <a:ext uri="{FF2B5EF4-FFF2-40B4-BE49-F238E27FC236}">
              <a16:creationId xmlns:a16="http://schemas.microsoft.com/office/drawing/2014/main" id="{00000000-0008-0000-0400-000003000000}"/>
            </a:ext>
          </a:extLst>
        </xdr:cNvPr>
        <xdr:cNvCxnSpPr/>
      </xdr:nvCxnSpPr>
      <xdr:spPr>
        <a:xfrm>
          <a:off x="2733675" y="1724025"/>
          <a:ext cx="1495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13</xdr:row>
      <xdr:rowOff>95250</xdr:rowOff>
    </xdr:from>
    <xdr:to>
      <xdr:col>6</xdr:col>
      <xdr:colOff>676275</xdr:colOff>
      <xdr:row>13</xdr:row>
      <xdr:rowOff>95251</xdr:rowOff>
    </xdr:to>
    <xdr:cxnSp macro="">
      <xdr:nvCxnSpPr>
        <xdr:cNvPr id="4" name="9 Conector recto">
          <a:extLst>
            <a:ext uri="{FF2B5EF4-FFF2-40B4-BE49-F238E27FC236}">
              <a16:creationId xmlns:a16="http://schemas.microsoft.com/office/drawing/2014/main" id="{00000000-0008-0000-0400-000004000000}"/>
            </a:ext>
          </a:extLst>
        </xdr:cNvPr>
        <xdr:cNvCxnSpPr/>
      </xdr:nvCxnSpPr>
      <xdr:spPr>
        <a:xfrm flipV="1">
          <a:off x="4829175" y="1724025"/>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85725</xdr:colOff>
      <xdr:row>13</xdr:row>
      <xdr:rowOff>95250</xdr:rowOff>
    </xdr:from>
    <xdr:to>
      <xdr:col>13</xdr:col>
      <xdr:colOff>723900</xdr:colOff>
      <xdr:row>13</xdr:row>
      <xdr:rowOff>95251</xdr:rowOff>
    </xdr:to>
    <xdr:cxnSp macro="">
      <xdr:nvCxnSpPr>
        <xdr:cNvPr id="5" name="13 Conector recto">
          <a:extLst>
            <a:ext uri="{FF2B5EF4-FFF2-40B4-BE49-F238E27FC236}">
              <a16:creationId xmlns:a16="http://schemas.microsoft.com/office/drawing/2014/main" id="{00000000-0008-0000-0400-000005000000}"/>
            </a:ext>
          </a:extLst>
        </xdr:cNvPr>
        <xdr:cNvCxnSpPr/>
      </xdr:nvCxnSpPr>
      <xdr:spPr>
        <a:xfrm flipV="1">
          <a:off x="6762750" y="1724025"/>
          <a:ext cx="154305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35718</xdr:colOff>
      <xdr:row>0</xdr:row>
      <xdr:rowOff>35718</xdr:rowOff>
    </xdr:from>
    <xdr:to>
      <xdr:col>1</xdr:col>
      <xdr:colOff>900111</xdr:colOff>
      <xdr:row>1</xdr:row>
      <xdr:rowOff>181117</xdr:rowOff>
    </xdr:to>
    <xdr:pic>
      <xdr:nvPicPr>
        <xdr:cNvPr id="6" name="Imagen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5718" y="35718"/>
          <a:ext cx="864393" cy="360505"/>
        </a:xfrm>
        <a:prstGeom prst="rect">
          <a:avLst/>
        </a:prstGeom>
      </xdr:spPr>
    </xdr:pic>
    <xdr:clientData/>
  </xdr:twoCellAnchor>
  <xdr:twoCellAnchor>
    <xdr:from>
      <xdr:col>19</xdr:col>
      <xdr:colOff>247650</xdr:colOff>
      <xdr:row>13</xdr:row>
      <xdr:rowOff>85725</xdr:rowOff>
    </xdr:from>
    <xdr:to>
      <xdr:col>20</xdr:col>
      <xdr:colOff>723900</xdr:colOff>
      <xdr:row>13</xdr:row>
      <xdr:rowOff>85725</xdr:rowOff>
    </xdr:to>
    <xdr:cxnSp macro="">
      <xdr:nvCxnSpPr>
        <xdr:cNvPr id="7" name="2 Conector recto">
          <a:extLst>
            <a:ext uri="{FF2B5EF4-FFF2-40B4-BE49-F238E27FC236}">
              <a16:creationId xmlns:a16="http://schemas.microsoft.com/office/drawing/2014/main" id="{00000000-0008-0000-0400-000007000000}"/>
            </a:ext>
          </a:extLst>
        </xdr:cNvPr>
        <xdr:cNvCxnSpPr/>
      </xdr:nvCxnSpPr>
      <xdr:spPr>
        <a:xfrm>
          <a:off x="533400" y="2121694"/>
          <a:ext cx="1809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1714500</xdr:colOff>
      <xdr:row>13</xdr:row>
      <xdr:rowOff>95250</xdr:rowOff>
    </xdr:from>
    <xdr:to>
      <xdr:col>21</xdr:col>
      <xdr:colOff>1171575</xdr:colOff>
      <xdr:row>13</xdr:row>
      <xdr:rowOff>95250</xdr:rowOff>
    </xdr:to>
    <xdr:cxnSp macro="">
      <xdr:nvCxnSpPr>
        <xdr:cNvPr id="8" name="8 Conector recto">
          <a:extLst>
            <a:ext uri="{FF2B5EF4-FFF2-40B4-BE49-F238E27FC236}">
              <a16:creationId xmlns:a16="http://schemas.microsoft.com/office/drawing/2014/main" id="{00000000-0008-0000-0400-000008000000}"/>
            </a:ext>
          </a:extLst>
        </xdr:cNvPr>
        <xdr:cNvCxnSpPr/>
      </xdr:nvCxnSpPr>
      <xdr:spPr>
        <a:xfrm>
          <a:off x="3333750" y="2131219"/>
          <a:ext cx="19931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38100</xdr:colOff>
      <xdr:row>13</xdr:row>
      <xdr:rowOff>95250</xdr:rowOff>
    </xdr:from>
    <xdr:to>
      <xdr:col>24</xdr:col>
      <xdr:colOff>676275</xdr:colOff>
      <xdr:row>13</xdr:row>
      <xdr:rowOff>95251</xdr:rowOff>
    </xdr:to>
    <xdr:cxnSp macro="">
      <xdr:nvCxnSpPr>
        <xdr:cNvPr id="9" name="9 Conector recto">
          <a:extLst>
            <a:ext uri="{FF2B5EF4-FFF2-40B4-BE49-F238E27FC236}">
              <a16:creationId xmlns:a16="http://schemas.microsoft.com/office/drawing/2014/main" id="{00000000-0008-0000-0400-000009000000}"/>
            </a:ext>
          </a:extLst>
        </xdr:cNvPr>
        <xdr:cNvCxnSpPr/>
      </xdr:nvCxnSpPr>
      <xdr:spPr>
        <a:xfrm flipV="1">
          <a:off x="6217444" y="2131219"/>
          <a:ext cx="130492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85725</xdr:colOff>
      <xdr:row>13</xdr:row>
      <xdr:rowOff>95250</xdr:rowOff>
    </xdr:from>
    <xdr:to>
      <xdr:col>31</xdr:col>
      <xdr:colOff>723900</xdr:colOff>
      <xdr:row>13</xdr:row>
      <xdr:rowOff>95251</xdr:rowOff>
    </xdr:to>
    <xdr:cxnSp macro="">
      <xdr:nvCxnSpPr>
        <xdr:cNvPr id="10" name="13 Conector recto">
          <a:extLst>
            <a:ext uri="{FF2B5EF4-FFF2-40B4-BE49-F238E27FC236}">
              <a16:creationId xmlns:a16="http://schemas.microsoft.com/office/drawing/2014/main" id="{00000000-0008-0000-0400-00000A000000}"/>
            </a:ext>
          </a:extLst>
        </xdr:cNvPr>
        <xdr:cNvCxnSpPr/>
      </xdr:nvCxnSpPr>
      <xdr:spPr>
        <a:xfrm flipV="1">
          <a:off x="9753600" y="2131219"/>
          <a:ext cx="154305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247650</xdr:colOff>
      <xdr:row>37</xdr:row>
      <xdr:rowOff>85725</xdr:rowOff>
    </xdr:from>
    <xdr:to>
      <xdr:col>2</xdr:col>
      <xdr:colOff>723900</xdr:colOff>
      <xdr:row>37</xdr:row>
      <xdr:rowOff>85725</xdr:rowOff>
    </xdr:to>
    <xdr:cxnSp macro="">
      <xdr:nvCxnSpPr>
        <xdr:cNvPr id="11" name="2 Conector recto">
          <a:extLst>
            <a:ext uri="{FF2B5EF4-FFF2-40B4-BE49-F238E27FC236}">
              <a16:creationId xmlns:a16="http://schemas.microsoft.com/office/drawing/2014/main" id="{00000000-0008-0000-0400-00000B000000}"/>
            </a:ext>
          </a:extLst>
        </xdr:cNvPr>
        <xdr:cNvCxnSpPr/>
      </xdr:nvCxnSpPr>
      <xdr:spPr>
        <a:xfrm>
          <a:off x="533400" y="2502694"/>
          <a:ext cx="1809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1714500</xdr:colOff>
      <xdr:row>37</xdr:row>
      <xdr:rowOff>95250</xdr:rowOff>
    </xdr:from>
    <xdr:to>
      <xdr:col>3</xdr:col>
      <xdr:colOff>1171575</xdr:colOff>
      <xdr:row>37</xdr:row>
      <xdr:rowOff>95250</xdr:rowOff>
    </xdr:to>
    <xdr:cxnSp macro="">
      <xdr:nvCxnSpPr>
        <xdr:cNvPr id="12" name="8 Conector recto">
          <a:extLst>
            <a:ext uri="{FF2B5EF4-FFF2-40B4-BE49-F238E27FC236}">
              <a16:creationId xmlns:a16="http://schemas.microsoft.com/office/drawing/2014/main" id="{00000000-0008-0000-0400-00000C000000}"/>
            </a:ext>
          </a:extLst>
        </xdr:cNvPr>
        <xdr:cNvCxnSpPr/>
      </xdr:nvCxnSpPr>
      <xdr:spPr>
        <a:xfrm>
          <a:off x="3333750" y="2512219"/>
          <a:ext cx="19931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xdr:colOff>
      <xdr:row>37</xdr:row>
      <xdr:rowOff>95250</xdr:rowOff>
    </xdr:from>
    <xdr:to>
      <xdr:col>6</xdr:col>
      <xdr:colOff>676275</xdr:colOff>
      <xdr:row>37</xdr:row>
      <xdr:rowOff>95251</xdr:rowOff>
    </xdr:to>
    <xdr:cxnSp macro="">
      <xdr:nvCxnSpPr>
        <xdr:cNvPr id="13" name="9 Conector recto">
          <a:extLst>
            <a:ext uri="{FF2B5EF4-FFF2-40B4-BE49-F238E27FC236}">
              <a16:creationId xmlns:a16="http://schemas.microsoft.com/office/drawing/2014/main" id="{00000000-0008-0000-0400-00000D000000}"/>
            </a:ext>
          </a:extLst>
        </xdr:cNvPr>
        <xdr:cNvCxnSpPr/>
      </xdr:nvCxnSpPr>
      <xdr:spPr>
        <a:xfrm flipV="1">
          <a:off x="6217444" y="2512219"/>
          <a:ext cx="130492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85725</xdr:colOff>
      <xdr:row>37</xdr:row>
      <xdr:rowOff>95250</xdr:rowOff>
    </xdr:from>
    <xdr:to>
      <xdr:col>13</xdr:col>
      <xdr:colOff>723900</xdr:colOff>
      <xdr:row>37</xdr:row>
      <xdr:rowOff>95251</xdr:rowOff>
    </xdr:to>
    <xdr:cxnSp macro="">
      <xdr:nvCxnSpPr>
        <xdr:cNvPr id="14" name="13 Conector recto">
          <a:extLst>
            <a:ext uri="{FF2B5EF4-FFF2-40B4-BE49-F238E27FC236}">
              <a16:creationId xmlns:a16="http://schemas.microsoft.com/office/drawing/2014/main" id="{00000000-0008-0000-0400-00000E000000}"/>
            </a:ext>
          </a:extLst>
        </xdr:cNvPr>
        <xdr:cNvCxnSpPr/>
      </xdr:nvCxnSpPr>
      <xdr:spPr>
        <a:xfrm flipV="1">
          <a:off x="9908381" y="2512219"/>
          <a:ext cx="154305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247650</xdr:colOff>
      <xdr:row>37</xdr:row>
      <xdr:rowOff>85725</xdr:rowOff>
    </xdr:from>
    <xdr:to>
      <xdr:col>20</xdr:col>
      <xdr:colOff>723900</xdr:colOff>
      <xdr:row>37</xdr:row>
      <xdr:rowOff>85725</xdr:rowOff>
    </xdr:to>
    <xdr:cxnSp macro="">
      <xdr:nvCxnSpPr>
        <xdr:cNvPr id="15" name="2 Conector recto">
          <a:extLst>
            <a:ext uri="{FF2B5EF4-FFF2-40B4-BE49-F238E27FC236}">
              <a16:creationId xmlns:a16="http://schemas.microsoft.com/office/drawing/2014/main" id="{00000000-0008-0000-0400-00000F000000}"/>
            </a:ext>
          </a:extLst>
        </xdr:cNvPr>
        <xdr:cNvCxnSpPr/>
      </xdr:nvCxnSpPr>
      <xdr:spPr>
        <a:xfrm>
          <a:off x="13820775" y="2502694"/>
          <a:ext cx="240506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1714500</xdr:colOff>
      <xdr:row>37</xdr:row>
      <xdr:rowOff>95250</xdr:rowOff>
    </xdr:from>
    <xdr:to>
      <xdr:col>21</xdr:col>
      <xdr:colOff>1171575</xdr:colOff>
      <xdr:row>37</xdr:row>
      <xdr:rowOff>95250</xdr:rowOff>
    </xdr:to>
    <xdr:cxnSp macro="">
      <xdr:nvCxnSpPr>
        <xdr:cNvPr id="16" name="8 Conector recto">
          <a:extLst>
            <a:ext uri="{FF2B5EF4-FFF2-40B4-BE49-F238E27FC236}">
              <a16:creationId xmlns:a16="http://schemas.microsoft.com/office/drawing/2014/main" id="{00000000-0008-0000-0400-000010000000}"/>
            </a:ext>
          </a:extLst>
        </xdr:cNvPr>
        <xdr:cNvCxnSpPr/>
      </xdr:nvCxnSpPr>
      <xdr:spPr>
        <a:xfrm>
          <a:off x="17216438" y="2512219"/>
          <a:ext cx="2786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38100</xdr:colOff>
      <xdr:row>37</xdr:row>
      <xdr:rowOff>95250</xdr:rowOff>
    </xdr:from>
    <xdr:to>
      <xdr:col>24</xdr:col>
      <xdr:colOff>676275</xdr:colOff>
      <xdr:row>37</xdr:row>
      <xdr:rowOff>95251</xdr:rowOff>
    </xdr:to>
    <xdr:cxnSp macro="">
      <xdr:nvCxnSpPr>
        <xdr:cNvPr id="17" name="9 Conector recto">
          <a:extLst>
            <a:ext uri="{FF2B5EF4-FFF2-40B4-BE49-F238E27FC236}">
              <a16:creationId xmlns:a16="http://schemas.microsoft.com/office/drawing/2014/main" id="{00000000-0008-0000-0400-000011000000}"/>
            </a:ext>
          </a:extLst>
        </xdr:cNvPr>
        <xdr:cNvCxnSpPr/>
      </xdr:nvCxnSpPr>
      <xdr:spPr>
        <a:xfrm flipV="1">
          <a:off x="20802600" y="2512219"/>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85725</xdr:colOff>
      <xdr:row>37</xdr:row>
      <xdr:rowOff>95250</xdr:rowOff>
    </xdr:from>
    <xdr:to>
      <xdr:col>31</xdr:col>
      <xdr:colOff>723900</xdr:colOff>
      <xdr:row>37</xdr:row>
      <xdr:rowOff>95251</xdr:rowOff>
    </xdr:to>
    <xdr:cxnSp macro="">
      <xdr:nvCxnSpPr>
        <xdr:cNvPr id="18" name="13 Conector recto">
          <a:extLst>
            <a:ext uri="{FF2B5EF4-FFF2-40B4-BE49-F238E27FC236}">
              <a16:creationId xmlns:a16="http://schemas.microsoft.com/office/drawing/2014/main" id="{00000000-0008-0000-0400-000012000000}"/>
            </a:ext>
          </a:extLst>
        </xdr:cNvPr>
        <xdr:cNvCxnSpPr/>
      </xdr:nvCxnSpPr>
      <xdr:spPr>
        <a:xfrm flipV="1">
          <a:off x="26184225" y="2512219"/>
          <a:ext cx="1400175"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P91"/>
  <sheetViews>
    <sheetView showGridLines="0" tabSelected="1" zoomScale="80" zoomScaleNormal="80" workbookViewId="0">
      <selection activeCell="B70" sqref="B70"/>
    </sheetView>
  </sheetViews>
  <sheetFormatPr baseColWidth="10" defaultColWidth="11.36328125" defaultRowHeight="12.5" x14ac:dyDescent="0.25"/>
  <cols>
    <col min="1" max="1" width="7.81640625" style="94" customWidth="1"/>
    <col min="2" max="2" width="20" style="79" customWidth="1"/>
    <col min="3" max="3" width="28" style="79" customWidth="1"/>
    <col min="4" max="4" width="38.08984375" style="79" customWidth="1"/>
    <col min="5" max="5" width="11.36328125" style="95"/>
    <col min="6" max="6" width="13.36328125" style="96" bestFit="1" customWidth="1"/>
    <col min="7" max="7" width="4.81640625" style="67" customWidth="1"/>
    <col min="8" max="8" width="15.81640625" style="67" customWidth="1"/>
    <col min="9" max="9" width="25.08984375" style="67" customWidth="1"/>
    <col min="10" max="10" width="29.08984375" style="67" customWidth="1"/>
    <col min="11" max="12" width="12.81640625" style="67" customWidth="1"/>
    <col min="13" max="13" width="11.36328125" style="67" customWidth="1"/>
    <col min="14" max="14" width="15.1796875" style="67" customWidth="1"/>
    <col min="15" max="15" width="22" style="67" customWidth="1"/>
    <col min="16" max="16" width="13.7265625" style="67" bestFit="1" customWidth="1"/>
    <col min="17" max="18" width="11.81640625" style="79" customWidth="1"/>
    <col min="19" max="16384" width="11.36328125" style="79"/>
  </cols>
  <sheetData>
    <row r="5" spans="1:16" x14ac:dyDescent="0.25">
      <c r="B5" s="113" t="s">
        <v>111</v>
      </c>
      <c r="C5" s="68"/>
      <c r="D5" s="69"/>
      <c r="H5" s="70"/>
      <c r="N5" s="111" t="s">
        <v>102</v>
      </c>
      <c r="O5" s="111" t="s">
        <v>97</v>
      </c>
      <c r="P5" s="112" t="s">
        <v>98</v>
      </c>
    </row>
    <row r="6" spans="1:16" x14ac:dyDescent="0.25">
      <c r="B6" s="114" t="s">
        <v>110</v>
      </c>
      <c r="C6" s="72"/>
      <c r="D6" s="97"/>
      <c r="H6" s="73"/>
      <c r="N6" s="92" t="s">
        <v>112</v>
      </c>
      <c r="O6" s="92" t="s">
        <v>112</v>
      </c>
      <c r="P6" s="85" t="s">
        <v>120</v>
      </c>
    </row>
    <row r="7" spans="1:16" x14ac:dyDescent="0.25">
      <c r="B7" s="114" t="s">
        <v>117</v>
      </c>
      <c r="C7" s="74"/>
      <c r="D7" s="97"/>
      <c r="H7" s="71"/>
      <c r="I7" s="71"/>
      <c r="J7" s="71"/>
      <c r="K7" s="79"/>
      <c r="L7" s="79"/>
      <c r="M7" s="79"/>
      <c r="N7" s="71"/>
    </row>
    <row r="8" spans="1:16" x14ac:dyDescent="0.25">
      <c r="B8" s="116" t="s">
        <v>132</v>
      </c>
      <c r="C8" s="74"/>
      <c r="D8" s="97"/>
      <c r="H8" s="71"/>
      <c r="I8" s="71"/>
      <c r="J8" s="71"/>
      <c r="K8" s="79"/>
      <c r="L8" s="79"/>
      <c r="M8" s="79"/>
      <c r="N8" s="71"/>
    </row>
    <row r="9" spans="1:16" ht="6" customHeight="1" thickBot="1" x14ac:dyDescent="0.3">
      <c r="A9" s="89"/>
      <c r="B9" s="90"/>
      <c r="C9" s="90"/>
      <c r="D9" s="90"/>
      <c r="E9" s="90"/>
      <c r="F9" s="90"/>
      <c r="G9" s="90"/>
      <c r="H9" s="90"/>
      <c r="I9" s="90"/>
      <c r="J9" s="90"/>
      <c r="K9" s="90"/>
      <c r="L9" s="90"/>
      <c r="M9" s="90"/>
      <c r="N9" s="90"/>
      <c r="O9" s="90"/>
      <c r="P9" s="90"/>
    </row>
    <row r="10" spans="1:16" ht="15" customHeight="1" thickTop="1" x14ac:dyDescent="0.25">
      <c r="A10" s="84"/>
      <c r="E10" s="79"/>
      <c r="F10" s="79"/>
      <c r="G10" s="79"/>
      <c r="H10" s="79"/>
      <c r="I10" s="79"/>
      <c r="J10" s="79"/>
      <c r="K10" s="79"/>
      <c r="L10" s="79"/>
      <c r="M10" s="79"/>
      <c r="N10" s="79"/>
      <c r="O10" s="79"/>
      <c r="P10" s="79"/>
    </row>
    <row r="11" spans="1:16" ht="15" customHeight="1" x14ac:dyDescent="0.25">
      <c r="B11" s="86" t="s">
        <v>99</v>
      </c>
      <c r="H11" s="71"/>
      <c r="I11" s="71"/>
      <c r="J11" s="71"/>
      <c r="N11" s="71"/>
      <c r="O11" s="71"/>
      <c r="P11" s="71"/>
    </row>
    <row r="12" spans="1:16" ht="7" customHeight="1" x14ac:dyDescent="0.25">
      <c r="B12" s="86"/>
      <c r="H12" s="71"/>
      <c r="I12" s="71"/>
      <c r="J12" s="71"/>
      <c r="N12" s="71"/>
      <c r="O12" s="71"/>
      <c r="P12" s="71"/>
    </row>
    <row r="13" spans="1:16" ht="15" customHeight="1" x14ac:dyDescent="0.25">
      <c r="B13" s="88" t="s">
        <v>144</v>
      </c>
      <c r="H13" s="71"/>
      <c r="I13" s="71"/>
      <c r="J13" s="71"/>
      <c r="N13" s="71"/>
      <c r="O13" s="71"/>
      <c r="P13" s="71"/>
    </row>
    <row r="14" spans="1:16" ht="15" customHeight="1" x14ac:dyDescent="0.25">
      <c r="B14" s="115" t="s">
        <v>143</v>
      </c>
      <c r="H14" s="71"/>
      <c r="I14" s="71"/>
      <c r="J14" s="71"/>
      <c r="N14" s="71"/>
      <c r="O14" s="71"/>
      <c r="P14" s="71"/>
    </row>
    <row r="15" spans="1:16" ht="15" customHeight="1" x14ac:dyDescent="0.25">
      <c r="B15" s="80"/>
      <c r="H15" s="71"/>
      <c r="I15" s="71"/>
      <c r="J15" s="71"/>
      <c r="N15" s="71"/>
      <c r="O15" s="71"/>
      <c r="P15" s="71"/>
    </row>
    <row r="16" spans="1:16" ht="15" customHeight="1" x14ac:dyDescent="0.25">
      <c r="B16" s="86" t="s">
        <v>100</v>
      </c>
      <c r="H16" s="71"/>
      <c r="I16" s="71"/>
      <c r="J16" s="71"/>
      <c r="N16" s="71"/>
      <c r="O16" s="71"/>
      <c r="P16" s="71"/>
    </row>
    <row r="17" spans="1:16" ht="7" customHeight="1" x14ac:dyDescent="0.25">
      <c r="B17" s="86"/>
      <c r="H17" s="71"/>
      <c r="I17" s="71"/>
      <c r="J17" s="71"/>
      <c r="N17" s="71"/>
      <c r="O17" s="71"/>
      <c r="P17" s="71"/>
    </row>
    <row r="18" spans="1:16" ht="15" customHeight="1" x14ac:dyDescent="0.25">
      <c r="B18" s="123"/>
      <c r="C18" s="124" t="s">
        <v>121</v>
      </c>
      <c r="D18" s="124" t="s">
        <v>122</v>
      </c>
      <c r="H18" s="71"/>
      <c r="I18" s="71"/>
      <c r="J18" s="71"/>
      <c r="N18" s="71"/>
      <c r="O18" s="71"/>
      <c r="P18" s="71"/>
    </row>
    <row r="19" spans="1:16" ht="15" customHeight="1" x14ac:dyDescent="0.25">
      <c r="B19" s="125" t="s">
        <v>104</v>
      </c>
      <c r="C19" s="126" t="s">
        <v>105</v>
      </c>
      <c r="D19" s="126" t="s">
        <v>105</v>
      </c>
      <c r="H19" s="71"/>
      <c r="I19" s="71"/>
      <c r="J19" s="71"/>
      <c r="N19" s="71"/>
      <c r="O19" s="71"/>
      <c r="P19" s="71"/>
    </row>
    <row r="20" spans="1:16" ht="15" customHeight="1" x14ac:dyDescent="0.25">
      <c r="B20" s="125" t="s">
        <v>106</v>
      </c>
      <c r="C20" s="126" t="s">
        <v>105</v>
      </c>
      <c r="D20" s="126" t="s">
        <v>105</v>
      </c>
      <c r="H20" s="71"/>
      <c r="I20" s="71"/>
      <c r="J20" s="71"/>
      <c r="N20" s="71"/>
      <c r="O20" s="71"/>
      <c r="P20" s="71"/>
    </row>
    <row r="21" spans="1:16" ht="15" customHeight="1" x14ac:dyDescent="0.25">
      <c r="B21" s="125" t="s">
        <v>107</v>
      </c>
      <c r="C21" s="126" t="s">
        <v>105</v>
      </c>
      <c r="D21" s="126" t="s">
        <v>105</v>
      </c>
      <c r="H21" s="71"/>
      <c r="I21" s="71"/>
      <c r="J21" s="71"/>
      <c r="N21" s="71"/>
      <c r="O21" s="71"/>
      <c r="P21" s="71"/>
    </row>
    <row r="22" spans="1:16" ht="15" customHeight="1" x14ac:dyDescent="0.25">
      <c r="B22" s="80"/>
      <c r="H22" s="71"/>
      <c r="I22" s="71"/>
      <c r="J22" s="71"/>
      <c r="N22" s="71"/>
      <c r="O22" s="71"/>
      <c r="P22" s="71"/>
    </row>
    <row r="23" spans="1:16" ht="15" customHeight="1" x14ac:dyDescent="0.25">
      <c r="B23" s="86" t="s">
        <v>103</v>
      </c>
      <c r="H23" s="71"/>
      <c r="I23" s="71"/>
      <c r="J23" s="71"/>
      <c r="N23" s="71"/>
      <c r="O23" s="71"/>
      <c r="P23" s="71"/>
    </row>
    <row r="24" spans="1:16" ht="7" customHeight="1" x14ac:dyDescent="0.25">
      <c r="B24" s="86"/>
      <c r="H24" s="71"/>
      <c r="I24" s="71"/>
      <c r="J24" s="71"/>
      <c r="N24" s="71"/>
      <c r="O24" s="71"/>
      <c r="P24" s="71"/>
    </row>
    <row r="25" spans="1:16" ht="15" customHeight="1" x14ac:dyDescent="0.25">
      <c r="A25" s="94" t="s">
        <v>68</v>
      </c>
      <c r="B25" s="121" t="s">
        <v>147</v>
      </c>
      <c r="H25" s="71"/>
      <c r="I25" s="71"/>
      <c r="J25" s="71"/>
      <c r="N25" s="71"/>
      <c r="O25" s="71"/>
      <c r="P25" s="71"/>
    </row>
    <row r="26" spans="1:16" ht="15" customHeight="1" x14ac:dyDescent="0.25">
      <c r="A26" s="94" t="s">
        <v>69</v>
      </c>
      <c r="B26" s="121" t="s">
        <v>133</v>
      </c>
      <c r="H26" s="71"/>
      <c r="I26" s="71"/>
      <c r="J26" s="71"/>
      <c r="N26" s="71"/>
      <c r="O26" s="71"/>
      <c r="P26" s="71"/>
    </row>
    <row r="27" spans="1:16" ht="15" customHeight="1" x14ac:dyDescent="0.25">
      <c r="A27" s="94" t="s">
        <v>70</v>
      </c>
      <c r="B27" s="121" t="s">
        <v>145</v>
      </c>
      <c r="H27" s="71"/>
      <c r="I27" s="71"/>
      <c r="J27" s="71"/>
      <c r="N27" s="71"/>
      <c r="O27" s="71"/>
      <c r="P27" s="71"/>
    </row>
    <row r="28" spans="1:16" ht="15" customHeight="1" x14ac:dyDescent="0.25">
      <c r="A28" s="94" t="s">
        <v>71</v>
      </c>
      <c r="B28" s="79" t="s">
        <v>140</v>
      </c>
      <c r="H28" s="71"/>
      <c r="I28" s="71"/>
      <c r="J28" s="71"/>
      <c r="N28" s="71"/>
      <c r="O28" s="71"/>
      <c r="P28" s="71"/>
    </row>
    <row r="29" spans="1:16" ht="15" customHeight="1" x14ac:dyDescent="0.25">
      <c r="B29" s="93"/>
      <c r="H29" s="71"/>
      <c r="I29" s="71"/>
      <c r="J29" s="71"/>
      <c r="N29" s="71"/>
      <c r="O29" s="71"/>
      <c r="P29" s="71"/>
    </row>
    <row r="30" spans="1:16" ht="15" customHeight="1" x14ac:dyDescent="0.25">
      <c r="B30" s="86" t="s">
        <v>101</v>
      </c>
      <c r="H30" s="71"/>
      <c r="I30" s="71"/>
      <c r="J30" s="71"/>
      <c r="N30" s="71"/>
      <c r="O30" s="71"/>
      <c r="P30" s="71"/>
    </row>
    <row r="31" spans="1:16" x14ac:dyDescent="0.25">
      <c r="H31" s="71"/>
      <c r="I31" s="71"/>
      <c r="J31" s="71"/>
      <c r="N31" s="71"/>
      <c r="O31" s="71"/>
      <c r="P31" s="71"/>
    </row>
    <row r="32" spans="1:16" x14ac:dyDescent="0.25">
      <c r="B32" s="102" t="s">
        <v>113</v>
      </c>
      <c r="E32" s="79"/>
    </row>
    <row r="33" spans="2:16" x14ac:dyDescent="0.25">
      <c r="E33" s="79"/>
    </row>
    <row r="34" spans="2:16" x14ac:dyDescent="0.25">
      <c r="B34" s="91" t="s">
        <v>116</v>
      </c>
      <c r="E34" s="79"/>
      <c r="F34" s="79"/>
      <c r="G34" s="79"/>
      <c r="H34" s="79"/>
      <c r="I34" s="79"/>
      <c r="J34" s="79"/>
      <c r="K34" s="79"/>
      <c r="L34" s="79"/>
      <c r="M34" s="79"/>
      <c r="N34" s="79"/>
      <c r="O34" s="79"/>
      <c r="P34" s="79"/>
    </row>
    <row r="35" spans="2:16" x14ac:dyDescent="0.25">
      <c r="B35" s="91"/>
      <c r="E35" s="79"/>
      <c r="F35" s="79"/>
      <c r="G35" s="79"/>
      <c r="H35" s="79"/>
      <c r="I35" s="79"/>
      <c r="J35" s="79"/>
      <c r="K35" s="79"/>
      <c r="L35" s="79"/>
      <c r="M35" s="79"/>
      <c r="N35" s="79"/>
      <c r="O35" s="79"/>
      <c r="P35" s="79"/>
    </row>
    <row r="36" spans="2:16" x14ac:dyDescent="0.25">
      <c r="E36" s="79"/>
      <c r="F36" s="79"/>
      <c r="G36" s="79"/>
      <c r="H36" s="79"/>
      <c r="I36" s="79"/>
      <c r="J36" s="79"/>
      <c r="K36" s="79"/>
      <c r="L36" s="79"/>
      <c r="M36" s="79"/>
      <c r="N36" s="79"/>
      <c r="O36" s="79"/>
      <c r="P36" s="79"/>
    </row>
    <row r="37" spans="2:16" ht="15" customHeight="1" x14ac:dyDescent="0.25">
      <c r="B37" s="129" t="s">
        <v>141</v>
      </c>
      <c r="C37" s="129" t="s">
        <v>134</v>
      </c>
      <c r="D37" s="129" t="s">
        <v>17</v>
      </c>
      <c r="E37" s="129" t="s">
        <v>135</v>
      </c>
      <c r="F37" s="129" t="s">
        <v>7</v>
      </c>
      <c r="G37" s="76"/>
      <c r="H37" s="130" t="s">
        <v>123</v>
      </c>
      <c r="I37" s="130"/>
      <c r="J37" s="130"/>
      <c r="K37" s="130"/>
      <c r="L37" s="130"/>
      <c r="M37" s="130"/>
      <c r="N37" s="93"/>
      <c r="O37" s="129" t="s">
        <v>92</v>
      </c>
      <c r="P37" s="129" t="s">
        <v>93</v>
      </c>
    </row>
    <row r="38" spans="2:16" ht="39.75" customHeight="1" x14ac:dyDescent="0.25">
      <c r="B38" s="129"/>
      <c r="C38" s="129"/>
      <c r="D38" s="129"/>
      <c r="E38" s="129"/>
      <c r="F38" s="129"/>
      <c r="G38" s="76"/>
      <c r="H38" s="117" t="s">
        <v>114</v>
      </c>
      <c r="I38" s="117" t="s">
        <v>142</v>
      </c>
      <c r="J38" s="117" t="s">
        <v>96</v>
      </c>
      <c r="K38" s="128" t="s">
        <v>94</v>
      </c>
      <c r="L38" s="117" t="s">
        <v>139</v>
      </c>
      <c r="M38" s="117" t="s">
        <v>95</v>
      </c>
      <c r="N38" s="99"/>
      <c r="O38" s="129"/>
      <c r="P38" s="129"/>
    </row>
    <row r="39" spans="2:16" x14ac:dyDescent="0.25">
      <c r="B39" s="104"/>
      <c r="C39" s="105"/>
      <c r="D39" s="104"/>
      <c r="E39" s="105"/>
      <c r="F39" s="106"/>
      <c r="G39" s="75"/>
      <c r="H39" s="92"/>
      <c r="I39" s="92"/>
      <c r="J39" s="104"/>
      <c r="K39" s="92"/>
      <c r="L39" s="92"/>
      <c r="M39" s="107"/>
      <c r="N39" s="79"/>
      <c r="O39" s="92"/>
      <c r="P39" s="108">
        <f>+O39-L39</f>
        <v>0</v>
      </c>
    </row>
    <row r="40" spans="2:16" x14ac:dyDescent="0.25">
      <c r="B40" s="104"/>
      <c r="C40" s="105"/>
      <c r="D40" s="104"/>
      <c r="E40" s="105"/>
      <c r="F40" s="106"/>
      <c r="G40" s="75"/>
      <c r="H40" s="92"/>
      <c r="I40" s="92"/>
      <c r="J40" s="104"/>
      <c r="K40" s="92"/>
      <c r="L40" s="92"/>
      <c r="M40" s="107"/>
      <c r="N40" s="79"/>
      <c r="O40" s="92"/>
      <c r="P40" s="108">
        <f>+O40-L40</f>
        <v>0</v>
      </c>
    </row>
    <row r="41" spans="2:16" x14ac:dyDescent="0.25">
      <c r="B41" s="104"/>
      <c r="C41" s="105"/>
      <c r="D41" s="104"/>
      <c r="E41" s="105"/>
      <c r="F41" s="106"/>
      <c r="G41" s="75"/>
      <c r="H41" s="92"/>
      <c r="I41" s="92"/>
      <c r="J41" s="104"/>
      <c r="K41" s="92"/>
      <c r="L41" s="92"/>
      <c r="M41" s="107"/>
      <c r="N41" s="79"/>
      <c r="O41" s="92"/>
      <c r="P41" s="108">
        <f>+O41-L41</f>
        <v>0</v>
      </c>
    </row>
    <row r="42" spans="2:16" x14ac:dyDescent="0.25">
      <c r="B42" s="104"/>
      <c r="C42" s="105"/>
      <c r="D42" s="104"/>
      <c r="E42" s="105"/>
      <c r="F42" s="106"/>
      <c r="G42" s="75"/>
      <c r="H42" s="92"/>
      <c r="I42" s="92"/>
      <c r="J42" s="104"/>
      <c r="K42" s="92"/>
      <c r="L42" s="92"/>
      <c r="M42" s="107"/>
      <c r="N42" s="79"/>
      <c r="O42" s="92"/>
      <c r="P42" s="108">
        <f>+O42-L42</f>
        <v>0</v>
      </c>
    </row>
    <row r="43" spans="2:16" x14ac:dyDescent="0.25">
      <c r="B43" s="104"/>
      <c r="C43" s="105"/>
      <c r="D43" s="104"/>
      <c r="E43" s="105"/>
      <c r="F43" s="106"/>
      <c r="G43" s="75"/>
      <c r="H43" s="92"/>
      <c r="I43" s="92"/>
      <c r="J43" s="104"/>
      <c r="K43" s="92"/>
      <c r="L43" s="92"/>
      <c r="M43" s="107"/>
      <c r="N43" s="79"/>
      <c r="O43" s="92"/>
      <c r="P43" s="108">
        <f>+O43-L43</f>
        <v>0</v>
      </c>
    </row>
    <row r="44" spans="2:16" ht="6" customHeight="1" x14ac:dyDescent="0.25">
      <c r="F44" s="100"/>
      <c r="J44" s="81"/>
    </row>
    <row r="45" spans="2:16" ht="13" thickBot="1" x14ac:dyDescent="0.3">
      <c r="B45" s="103"/>
      <c r="C45" s="103"/>
      <c r="D45" s="103"/>
      <c r="E45" s="103"/>
      <c r="F45" s="101">
        <f>SUM(F39:F44)</f>
        <v>0</v>
      </c>
    </row>
    <row r="46" spans="2:16" ht="13" thickTop="1" x14ac:dyDescent="0.25"/>
    <row r="47" spans="2:16" x14ac:dyDescent="0.25">
      <c r="B47" s="91" t="s">
        <v>115</v>
      </c>
      <c r="E47" s="79"/>
      <c r="F47" s="79"/>
      <c r="G47" s="79"/>
      <c r="H47" s="79"/>
      <c r="I47" s="79"/>
      <c r="J47" s="79"/>
      <c r="K47" s="79"/>
      <c r="L47" s="79"/>
      <c r="M47" s="79"/>
      <c r="N47" s="79"/>
      <c r="O47" s="79"/>
      <c r="P47" s="79"/>
    </row>
    <row r="48" spans="2:16" x14ac:dyDescent="0.25">
      <c r="E48" s="79"/>
      <c r="F48" s="79"/>
      <c r="G48" s="79"/>
      <c r="H48" s="79"/>
      <c r="I48" s="79"/>
      <c r="J48" s="79"/>
      <c r="K48" s="79"/>
      <c r="L48" s="79"/>
      <c r="M48" s="79"/>
      <c r="N48" s="79"/>
      <c r="O48" s="79"/>
      <c r="P48" s="79"/>
    </row>
    <row r="49" spans="2:16" x14ac:dyDescent="0.25">
      <c r="E49" s="79"/>
      <c r="F49" s="79"/>
      <c r="G49" s="79"/>
      <c r="H49" s="79"/>
      <c r="I49" s="79"/>
      <c r="J49" s="79"/>
      <c r="K49" s="79"/>
      <c r="L49" s="79"/>
      <c r="M49" s="79"/>
      <c r="N49" s="79"/>
      <c r="O49" s="79"/>
      <c r="P49" s="79"/>
    </row>
    <row r="50" spans="2:16" ht="15" customHeight="1" x14ac:dyDescent="0.25">
      <c r="B50" s="129" t="s">
        <v>141</v>
      </c>
      <c r="C50" s="129" t="s">
        <v>134</v>
      </c>
      <c r="D50" s="129" t="s">
        <v>17</v>
      </c>
      <c r="E50" s="129" t="s">
        <v>135</v>
      </c>
      <c r="F50" s="129" t="s">
        <v>7</v>
      </c>
      <c r="G50" s="76"/>
      <c r="H50" s="130" t="s">
        <v>123</v>
      </c>
      <c r="I50" s="130"/>
      <c r="J50" s="130"/>
      <c r="K50" s="130"/>
      <c r="L50" s="130"/>
      <c r="M50" s="130"/>
      <c r="N50" s="93"/>
      <c r="O50" s="129" t="s">
        <v>92</v>
      </c>
      <c r="P50" s="129" t="s">
        <v>93</v>
      </c>
    </row>
    <row r="51" spans="2:16" ht="39.75" customHeight="1" x14ac:dyDescent="0.25">
      <c r="B51" s="129"/>
      <c r="C51" s="129"/>
      <c r="D51" s="129"/>
      <c r="E51" s="129"/>
      <c r="F51" s="129"/>
      <c r="G51" s="76"/>
      <c r="H51" s="117" t="s">
        <v>114</v>
      </c>
      <c r="I51" s="122" t="s">
        <v>142</v>
      </c>
      <c r="J51" s="117" t="s">
        <v>96</v>
      </c>
      <c r="K51" s="117" t="s">
        <v>94</v>
      </c>
      <c r="L51" s="117" t="s">
        <v>139</v>
      </c>
      <c r="M51" s="117" t="s">
        <v>95</v>
      </c>
      <c r="N51" s="99"/>
      <c r="O51" s="129"/>
      <c r="P51" s="129"/>
    </row>
    <row r="52" spans="2:16" x14ac:dyDescent="0.25">
      <c r="B52" s="104"/>
      <c r="C52" s="105"/>
      <c r="D52" s="105"/>
      <c r="E52" s="105"/>
      <c r="F52" s="106"/>
      <c r="G52" s="75"/>
      <c r="H52" s="92"/>
      <c r="I52" s="92"/>
      <c r="J52" s="104"/>
      <c r="K52" s="92"/>
      <c r="L52" s="92"/>
      <c r="M52" s="107"/>
      <c r="N52" s="79"/>
      <c r="O52" s="92"/>
      <c r="P52" s="108">
        <f>+O52-L52</f>
        <v>0</v>
      </c>
    </row>
    <row r="53" spans="2:16" x14ac:dyDescent="0.25">
      <c r="B53" s="104"/>
      <c r="C53" s="105"/>
      <c r="D53" s="105"/>
      <c r="E53" s="105"/>
      <c r="F53" s="106"/>
      <c r="G53" s="75"/>
      <c r="H53" s="92"/>
      <c r="I53" s="110"/>
      <c r="J53" s="104"/>
      <c r="K53" s="92"/>
      <c r="L53" s="92"/>
      <c r="M53" s="107"/>
      <c r="N53" s="79"/>
      <c r="O53" s="92"/>
      <c r="P53" s="108">
        <f>+O53-L53</f>
        <v>0</v>
      </c>
    </row>
    <row r="54" spans="2:16" x14ac:dyDescent="0.25">
      <c r="B54" s="104"/>
      <c r="C54" s="105"/>
      <c r="D54" s="105"/>
      <c r="E54" s="105"/>
      <c r="F54" s="106"/>
      <c r="G54" s="75"/>
      <c r="H54" s="92"/>
      <c r="I54" s="92"/>
      <c r="J54" s="104"/>
      <c r="K54" s="92"/>
      <c r="L54" s="92"/>
      <c r="M54" s="107"/>
      <c r="N54" s="79"/>
      <c r="O54" s="92"/>
      <c r="P54" s="108">
        <f>+O54-L54</f>
        <v>0</v>
      </c>
    </row>
    <row r="55" spans="2:16" x14ac:dyDescent="0.25">
      <c r="B55" s="104"/>
      <c r="C55" s="105"/>
      <c r="D55" s="104"/>
      <c r="E55" s="105"/>
      <c r="F55" s="106"/>
      <c r="G55" s="75"/>
      <c r="H55" s="92"/>
      <c r="I55" s="92"/>
      <c r="J55" s="104"/>
      <c r="K55" s="92"/>
      <c r="L55" s="92"/>
      <c r="M55" s="107"/>
      <c r="N55" s="79"/>
      <c r="O55" s="92"/>
      <c r="P55" s="108">
        <f>+O55-L55</f>
        <v>0</v>
      </c>
    </row>
    <row r="56" spans="2:16" x14ac:dyDescent="0.25">
      <c r="B56" s="104"/>
      <c r="C56" s="105"/>
      <c r="D56" s="105"/>
      <c r="E56" s="105"/>
      <c r="F56" s="106"/>
      <c r="G56" s="75"/>
      <c r="H56" s="92"/>
      <c r="I56" s="92"/>
      <c r="J56" s="104"/>
      <c r="K56" s="92"/>
      <c r="L56" s="92"/>
      <c r="M56" s="107"/>
      <c r="N56" s="79"/>
      <c r="O56" s="92"/>
      <c r="P56" s="108">
        <f>+O56-L56</f>
        <v>0</v>
      </c>
    </row>
    <row r="57" spans="2:16" ht="10.5" customHeight="1" x14ac:dyDescent="0.25">
      <c r="B57" s="82"/>
      <c r="F57" s="100"/>
    </row>
    <row r="58" spans="2:16" ht="13" thickBot="1" x14ac:dyDescent="0.3">
      <c r="B58" s="109"/>
      <c r="C58" s="103"/>
      <c r="D58" s="103"/>
      <c r="E58" s="103"/>
      <c r="F58" s="101">
        <f>SUM(F52:F57)</f>
        <v>0</v>
      </c>
    </row>
    <row r="59" spans="2:16" ht="13" thickTop="1" x14ac:dyDescent="0.25">
      <c r="B59" s="77"/>
      <c r="F59" s="79"/>
    </row>
    <row r="60" spans="2:16" x14ac:dyDescent="0.25">
      <c r="B60" s="120" t="s">
        <v>146</v>
      </c>
      <c r="F60" s="79"/>
    </row>
    <row r="61" spans="2:16" x14ac:dyDescent="0.25">
      <c r="B61" s="77"/>
      <c r="F61" s="79"/>
    </row>
    <row r="62" spans="2:16" x14ac:dyDescent="0.25">
      <c r="B62" s="77"/>
      <c r="F62" s="79"/>
    </row>
    <row r="63" spans="2:16" x14ac:dyDescent="0.25">
      <c r="B63" s="86" t="s">
        <v>23</v>
      </c>
    </row>
    <row r="64" spans="2:16" ht="7" customHeight="1" x14ac:dyDescent="0.25">
      <c r="B64" s="86"/>
    </row>
    <row r="65" spans="1:7" x14ac:dyDescent="0.25">
      <c r="A65" s="87"/>
      <c r="B65" s="79" t="s">
        <v>136</v>
      </c>
    </row>
    <row r="66" spans="1:7" x14ac:dyDescent="0.25">
      <c r="A66" s="87"/>
      <c r="B66" s="79" t="s">
        <v>137</v>
      </c>
      <c r="E66" s="79"/>
      <c r="F66" s="79"/>
      <c r="G66" s="79"/>
    </row>
    <row r="67" spans="1:7" x14ac:dyDescent="0.25">
      <c r="A67" s="87"/>
      <c r="B67" s="79" t="s">
        <v>109</v>
      </c>
      <c r="E67" s="79"/>
      <c r="F67" s="79"/>
      <c r="G67" s="127"/>
    </row>
    <row r="68" spans="1:7" x14ac:dyDescent="0.25">
      <c r="A68" s="83"/>
      <c r="B68" s="79" t="s">
        <v>138</v>
      </c>
      <c r="E68" s="79"/>
      <c r="F68" s="79"/>
      <c r="G68" s="79"/>
    </row>
    <row r="69" spans="1:7" x14ac:dyDescent="0.25">
      <c r="A69" s="83"/>
      <c r="B69" s="79" t="s">
        <v>108</v>
      </c>
      <c r="E69" s="79"/>
      <c r="F69" s="79"/>
      <c r="G69" s="79"/>
    </row>
    <row r="70" spans="1:7" x14ac:dyDescent="0.25">
      <c r="A70" s="83"/>
      <c r="E70" s="79"/>
      <c r="F70" s="79"/>
      <c r="G70" s="79"/>
    </row>
    <row r="71" spans="1:7" x14ac:dyDescent="0.25">
      <c r="B71" s="86" t="s">
        <v>50</v>
      </c>
      <c r="E71" s="79"/>
      <c r="F71" s="79"/>
      <c r="G71" s="79"/>
    </row>
    <row r="72" spans="1:7" ht="7" customHeight="1" x14ac:dyDescent="0.25">
      <c r="B72" s="86"/>
    </row>
    <row r="73" spans="1:7" x14ac:dyDescent="0.25">
      <c r="A73" s="118" t="s">
        <v>13</v>
      </c>
    </row>
    <row r="74" spans="1:7" x14ac:dyDescent="0.25">
      <c r="A74" s="118" t="s">
        <v>14</v>
      </c>
    </row>
    <row r="75" spans="1:7" x14ac:dyDescent="0.25">
      <c r="A75" s="118" t="s">
        <v>5</v>
      </c>
    </row>
    <row r="76" spans="1:7" x14ac:dyDescent="0.25">
      <c r="B76" s="80"/>
    </row>
    <row r="77" spans="1:7" x14ac:dyDescent="0.25">
      <c r="A77" s="118"/>
      <c r="B77" s="86" t="s">
        <v>118</v>
      </c>
    </row>
    <row r="78" spans="1:7" ht="7" customHeight="1" x14ac:dyDescent="0.25">
      <c r="A78" s="118"/>
      <c r="B78" s="86"/>
    </row>
    <row r="79" spans="1:7" x14ac:dyDescent="0.25">
      <c r="A79" s="119" t="s">
        <v>124</v>
      </c>
      <c r="B79" s="86"/>
    </row>
    <row r="80" spans="1:7" x14ac:dyDescent="0.25">
      <c r="A80" s="119" t="s">
        <v>125</v>
      </c>
      <c r="B80" s="86"/>
    </row>
    <row r="81" spans="1:3" x14ac:dyDescent="0.25">
      <c r="A81" s="119" t="s">
        <v>126</v>
      </c>
    </row>
    <row r="82" spans="1:3" x14ac:dyDescent="0.25">
      <c r="A82" s="118"/>
      <c r="B82" s="87"/>
    </row>
    <row r="83" spans="1:3" x14ac:dyDescent="0.25">
      <c r="A83" s="118"/>
      <c r="B83" s="86" t="s">
        <v>119</v>
      </c>
    </row>
    <row r="84" spans="1:3" ht="7" customHeight="1" x14ac:dyDescent="0.25">
      <c r="A84" s="118"/>
      <c r="B84" s="86"/>
    </row>
    <row r="85" spans="1:3" x14ac:dyDescent="0.25">
      <c r="A85" s="119" t="s">
        <v>127</v>
      </c>
      <c r="B85" s="86"/>
    </row>
    <row r="86" spans="1:3" x14ac:dyDescent="0.25">
      <c r="A86" s="119" t="s">
        <v>128</v>
      </c>
      <c r="C86" s="78"/>
    </row>
    <row r="87" spans="1:3" x14ac:dyDescent="0.25">
      <c r="A87" s="119" t="s">
        <v>129</v>
      </c>
      <c r="B87" s="80"/>
    </row>
    <row r="88" spans="1:3" x14ac:dyDescent="0.25">
      <c r="A88" s="119"/>
      <c r="B88" s="80"/>
    </row>
    <row r="89" spans="1:3" x14ac:dyDescent="0.25">
      <c r="A89" s="98"/>
      <c r="B89" s="86" t="s">
        <v>130</v>
      </c>
    </row>
    <row r="90" spans="1:3" ht="7" customHeight="1" x14ac:dyDescent="0.25">
      <c r="A90" s="98"/>
      <c r="B90" s="86"/>
    </row>
    <row r="91" spans="1:3" x14ac:dyDescent="0.25">
      <c r="A91" s="98"/>
      <c r="B91" s="120" t="s">
        <v>131</v>
      </c>
    </row>
  </sheetData>
  <mergeCells count="16">
    <mergeCell ref="B37:B38"/>
    <mergeCell ref="C37:C38"/>
    <mergeCell ref="D37:D38"/>
    <mergeCell ref="E37:E38"/>
    <mergeCell ref="B50:B51"/>
    <mergeCell ref="C50:C51"/>
    <mergeCell ref="D50:D51"/>
    <mergeCell ref="E50:E51"/>
    <mergeCell ref="O37:O38"/>
    <mergeCell ref="P37:P38"/>
    <mergeCell ref="F37:F38"/>
    <mergeCell ref="F50:F51"/>
    <mergeCell ref="H37:M37"/>
    <mergeCell ref="H50:M50"/>
    <mergeCell ref="O50:O51"/>
    <mergeCell ref="P50:P5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3"/>
  <sheetViews>
    <sheetView showGridLines="0" zoomScale="80" zoomScaleNormal="80" workbookViewId="0">
      <selection activeCell="A13" sqref="A13"/>
    </sheetView>
  </sheetViews>
  <sheetFormatPr baseColWidth="10" defaultColWidth="11.36328125" defaultRowHeight="14.5" x14ac:dyDescent="0.35"/>
  <cols>
    <col min="1" max="1" width="3.36328125" style="4" customWidth="1"/>
    <col min="2" max="2" width="20" style="4" customWidth="1"/>
    <col min="3" max="3" width="43.36328125" style="4" bestFit="1" customWidth="1"/>
    <col min="4" max="4" width="21.81640625" style="4" bestFit="1" customWidth="1"/>
    <col min="5" max="5" width="4.1796875" style="26" customWidth="1"/>
    <col min="6" max="7" width="11.36328125" style="27"/>
    <col min="8" max="8" width="11.36328125" style="18"/>
    <col min="9" max="9" width="5.36328125" style="19" customWidth="1"/>
    <col min="10" max="10" width="8.08984375" style="19" customWidth="1"/>
    <col min="11" max="11" width="12.81640625" style="18" bestFit="1" customWidth="1"/>
    <col min="12" max="12" width="13.08984375" style="28" bestFit="1" customWidth="1"/>
    <col min="13" max="13" width="4.81640625" style="28" customWidth="1"/>
    <col min="14" max="14" width="13.08984375" style="29" bestFit="1" customWidth="1"/>
    <col min="15" max="17" width="5.36328125" style="29" customWidth="1"/>
    <col min="18" max="18" width="11.36328125" style="4"/>
    <col min="19" max="19" width="0.36328125" style="4" customWidth="1"/>
    <col min="20" max="16384" width="11.36328125" style="4"/>
  </cols>
  <sheetData>
    <row r="1" spans="2:19" x14ac:dyDescent="0.35">
      <c r="S1" s="52"/>
    </row>
    <row r="2" spans="2:19" x14ac:dyDescent="0.35">
      <c r="S2" s="52"/>
    </row>
    <row r="3" spans="2:19" ht="13.5" x14ac:dyDescent="0.35">
      <c r="B3" s="1" t="s">
        <v>0</v>
      </c>
      <c r="C3" s="1"/>
      <c r="D3" s="2"/>
      <c r="E3" s="2"/>
      <c r="F3" s="3"/>
      <c r="G3" s="3"/>
      <c r="H3" s="3"/>
      <c r="I3" s="3"/>
      <c r="J3" s="3"/>
      <c r="K3" s="3"/>
      <c r="L3" s="3"/>
      <c r="M3" s="3"/>
      <c r="N3" s="3"/>
      <c r="O3" s="3"/>
      <c r="P3" s="3"/>
      <c r="Q3" s="4"/>
      <c r="S3" s="52"/>
    </row>
    <row r="4" spans="2:19" x14ac:dyDescent="0.35">
      <c r="B4" s="1" t="s">
        <v>1</v>
      </c>
      <c r="C4" s="5" t="s">
        <v>54</v>
      </c>
      <c r="D4" s="3"/>
      <c r="E4" s="3"/>
      <c r="F4" s="3"/>
      <c r="G4" s="3"/>
      <c r="H4" s="3"/>
      <c r="I4" s="3"/>
      <c r="J4" s="3"/>
      <c r="M4" s="7"/>
      <c r="N4" s="6" t="s">
        <v>2</v>
      </c>
      <c r="O4" s="133">
        <v>43465</v>
      </c>
      <c r="P4" s="133"/>
      <c r="Q4" s="133"/>
      <c r="S4" s="52"/>
    </row>
    <row r="5" spans="2:19" x14ac:dyDescent="0.35">
      <c r="B5" s="1" t="s">
        <v>3</v>
      </c>
      <c r="C5" s="8" t="s">
        <v>86</v>
      </c>
      <c r="D5" s="3"/>
      <c r="E5" s="3"/>
      <c r="F5" s="3"/>
      <c r="G5" s="3"/>
      <c r="H5" s="3"/>
      <c r="I5" s="3"/>
      <c r="J5" s="3"/>
      <c r="M5" s="9"/>
      <c r="N5" s="6" t="s">
        <v>4</v>
      </c>
      <c r="O5" s="134" t="s">
        <v>89</v>
      </c>
      <c r="P5" s="134"/>
      <c r="Q5" s="134"/>
      <c r="S5" s="52"/>
    </row>
    <row r="6" spans="2:19" ht="15" customHeight="1" x14ac:dyDescent="0.35">
      <c r="E6" s="4"/>
      <c r="F6" s="4"/>
      <c r="G6" s="4"/>
      <c r="H6" s="4"/>
      <c r="I6" s="4"/>
      <c r="J6" s="4"/>
      <c r="M6" s="10"/>
      <c r="N6" s="6" t="s">
        <v>36</v>
      </c>
      <c r="O6" s="135" t="s">
        <v>85</v>
      </c>
      <c r="P6" s="136"/>
      <c r="Q6" s="136"/>
      <c r="S6" s="52"/>
    </row>
    <row r="7" spans="2:19" x14ac:dyDescent="0.35">
      <c r="E7" s="4"/>
      <c r="F7" s="4"/>
      <c r="G7" s="4"/>
      <c r="H7" s="4"/>
      <c r="I7" s="4"/>
      <c r="J7" s="4"/>
      <c r="M7" s="10"/>
      <c r="N7" s="6" t="s">
        <v>37</v>
      </c>
      <c r="O7" s="136" t="s">
        <v>38</v>
      </c>
      <c r="P7" s="136"/>
      <c r="Q7" s="136"/>
      <c r="S7" s="52"/>
    </row>
    <row r="8" spans="2:19" ht="13.5" x14ac:dyDescent="0.35">
      <c r="B8" s="1" t="s">
        <v>55</v>
      </c>
      <c r="E8" s="4"/>
      <c r="F8" s="4"/>
      <c r="G8" s="4"/>
      <c r="H8" s="4"/>
      <c r="I8" s="4"/>
      <c r="J8" s="4"/>
      <c r="K8" s="4"/>
      <c r="L8" s="4"/>
      <c r="M8" s="4"/>
      <c r="N8" s="4"/>
      <c r="O8" s="4"/>
      <c r="P8" s="4"/>
      <c r="Q8" s="4"/>
      <c r="S8" s="52"/>
    </row>
    <row r="9" spans="2:19" ht="8.25" customHeight="1" x14ac:dyDescent="0.35">
      <c r="E9" s="4"/>
      <c r="F9" s="4"/>
      <c r="G9" s="4"/>
      <c r="H9" s="4"/>
      <c r="I9" s="4"/>
      <c r="J9" s="4"/>
      <c r="K9" s="4"/>
      <c r="L9" s="4"/>
      <c r="M9" s="4"/>
      <c r="N9" s="4"/>
      <c r="O9" s="4"/>
      <c r="P9" s="4"/>
      <c r="Q9" s="4"/>
      <c r="S9" s="52"/>
    </row>
    <row r="10" spans="2:19" ht="15" customHeight="1" x14ac:dyDescent="0.35">
      <c r="B10" s="139" t="s">
        <v>15</v>
      </c>
      <c r="C10" s="131" t="s">
        <v>16</v>
      </c>
      <c r="D10" s="131" t="s">
        <v>17</v>
      </c>
      <c r="E10" s="131" t="s">
        <v>5</v>
      </c>
      <c r="F10" s="131" t="s">
        <v>6</v>
      </c>
      <c r="G10" s="131" t="s">
        <v>49</v>
      </c>
      <c r="H10" s="131" t="s">
        <v>7</v>
      </c>
      <c r="I10" s="11" t="s">
        <v>18</v>
      </c>
      <c r="J10" s="11"/>
      <c r="K10" s="131" t="s">
        <v>9</v>
      </c>
      <c r="L10" s="131" t="s">
        <v>10</v>
      </c>
      <c r="M10" s="49"/>
      <c r="N10" s="131" t="s">
        <v>10</v>
      </c>
      <c r="O10" s="137" t="s">
        <v>12</v>
      </c>
      <c r="P10" s="137"/>
      <c r="Q10" s="137"/>
      <c r="S10" s="52"/>
    </row>
    <row r="11" spans="2:19" ht="13.5" x14ac:dyDescent="0.35">
      <c r="B11" s="140"/>
      <c r="C11" s="132"/>
      <c r="D11" s="132"/>
      <c r="E11" s="132"/>
      <c r="F11" s="132"/>
      <c r="G11" s="132"/>
      <c r="H11" s="132"/>
      <c r="I11" s="12" t="s">
        <v>8</v>
      </c>
      <c r="J11" s="12" t="s">
        <v>8</v>
      </c>
      <c r="K11" s="132" t="s">
        <v>9</v>
      </c>
      <c r="L11" s="132"/>
      <c r="M11" s="49"/>
      <c r="N11" s="132"/>
      <c r="O11" s="13" t="s">
        <v>13</v>
      </c>
      <c r="P11" s="13" t="s">
        <v>14</v>
      </c>
      <c r="Q11" s="13" t="s">
        <v>5</v>
      </c>
      <c r="S11" s="52"/>
    </row>
    <row r="12" spans="2:19" ht="13.5" x14ac:dyDescent="0.35">
      <c r="B12" s="138" t="s">
        <v>19</v>
      </c>
      <c r="C12" s="138"/>
      <c r="D12" s="138"/>
      <c r="E12" s="4"/>
      <c r="F12" s="4"/>
      <c r="G12" s="4"/>
      <c r="H12" s="4"/>
      <c r="I12" s="14" t="s">
        <v>20</v>
      </c>
      <c r="J12" s="14"/>
      <c r="K12" s="4"/>
      <c r="L12" s="4"/>
      <c r="M12" s="4"/>
      <c r="N12" s="4"/>
      <c r="O12" s="4"/>
      <c r="P12" s="4"/>
      <c r="Q12" s="4"/>
      <c r="S12" s="52"/>
    </row>
    <row r="13" spans="2:19" x14ac:dyDescent="0.35">
      <c r="E13" s="16" t="s">
        <v>11</v>
      </c>
      <c r="G13" s="18">
        <v>0</v>
      </c>
      <c r="I13" s="19">
        <v>0</v>
      </c>
      <c r="J13" s="18">
        <f>+H13*I13</f>
        <v>0</v>
      </c>
      <c r="K13" s="18">
        <f>+H13+J13+G13</f>
        <v>0</v>
      </c>
      <c r="L13" s="20" t="s">
        <v>11</v>
      </c>
      <c r="M13" s="20"/>
      <c r="N13" s="20" t="s">
        <v>11</v>
      </c>
      <c r="O13" s="20" t="s">
        <v>11</v>
      </c>
      <c r="P13" s="20" t="s">
        <v>11</v>
      </c>
      <c r="Q13" s="20" t="s">
        <v>11</v>
      </c>
      <c r="S13" s="52"/>
    </row>
    <row r="14" spans="2:19" x14ac:dyDescent="0.35">
      <c r="E14" s="16" t="s">
        <v>11</v>
      </c>
      <c r="G14" s="18">
        <v>0</v>
      </c>
      <c r="I14" s="19">
        <v>0</v>
      </c>
      <c r="J14" s="18">
        <f t="shared" ref="J14:J17" si="0">+H14*I14</f>
        <v>0</v>
      </c>
      <c r="K14" s="18">
        <f t="shared" ref="K14:K17" si="1">+H14+J14+G14</f>
        <v>0</v>
      </c>
      <c r="L14" s="20" t="s">
        <v>11</v>
      </c>
      <c r="M14" s="20"/>
      <c r="N14" s="20" t="s">
        <v>11</v>
      </c>
      <c r="O14" s="20" t="s">
        <v>11</v>
      </c>
      <c r="P14" s="20" t="s">
        <v>11</v>
      </c>
      <c r="Q14" s="20" t="s">
        <v>11</v>
      </c>
      <c r="S14" s="52"/>
    </row>
    <row r="15" spans="2:19" x14ac:dyDescent="0.35">
      <c r="E15" s="16" t="s">
        <v>11</v>
      </c>
      <c r="G15" s="18">
        <v>0</v>
      </c>
      <c r="I15" s="19">
        <v>0</v>
      </c>
      <c r="J15" s="18">
        <f t="shared" si="0"/>
        <v>0</v>
      </c>
      <c r="K15" s="18">
        <f t="shared" si="1"/>
        <v>0</v>
      </c>
      <c r="L15" s="20" t="s">
        <v>11</v>
      </c>
      <c r="M15" s="20"/>
      <c r="N15" s="20" t="s">
        <v>11</v>
      </c>
      <c r="O15" s="20" t="s">
        <v>11</v>
      </c>
      <c r="P15" s="20" t="s">
        <v>11</v>
      </c>
      <c r="Q15" s="20" t="s">
        <v>11</v>
      </c>
      <c r="S15" s="52"/>
    </row>
    <row r="16" spans="2:19" x14ac:dyDescent="0.35">
      <c r="E16" s="16" t="s">
        <v>11</v>
      </c>
      <c r="G16" s="18">
        <v>0</v>
      </c>
      <c r="I16" s="19">
        <v>0</v>
      </c>
      <c r="J16" s="18">
        <f t="shared" si="0"/>
        <v>0</v>
      </c>
      <c r="K16" s="18">
        <f t="shared" si="1"/>
        <v>0</v>
      </c>
      <c r="L16" s="20" t="s">
        <v>11</v>
      </c>
      <c r="M16" s="20"/>
      <c r="N16" s="20" t="s">
        <v>11</v>
      </c>
      <c r="O16" s="20" t="s">
        <v>11</v>
      </c>
      <c r="P16" s="20" t="s">
        <v>11</v>
      </c>
      <c r="Q16" s="20" t="s">
        <v>11</v>
      </c>
      <c r="S16" s="52"/>
    </row>
    <row r="17" spans="2:19" x14ac:dyDescent="0.35">
      <c r="E17" s="16" t="s">
        <v>11</v>
      </c>
      <c r="G17" s="18">
        <v>0</v>
      </c>
      <c r="I17" s="19">
        <v>0</v>
      </c>
      <c r="J17" s="18">
        <f t="shared" si="0"/>
        <v>0</v>
      </c>
      <c r="K17" s="18">
        <f t="shared" si="1"/>
        <v>0</v>
      </c>
      <c r="L17" s="20" t="s">
        <v>11</v>
      </c>
      <c r="M17" s="20"/>
      <c r="N17" s="20" t="s">
        <v>11</v>
      </c>
      <c r="O17" s="20" t="s">
        <v>11</v>
      </c>
      <c r="P17" s="20" t="s">
        <v>11</v>
      </c>
      <c r="Q17" s="20" t="s">
        <v>11</v>
      </c>
      <c r="R17" s="66"/>
      <c r="S17" s="52"/>
    </row>
    <row r="18" spans="2:19" ht="10.5" customHeight="1" x14ac:dyDescent="0.35">
      <c r="K18" s="38"/>
      <c r="N18" s="28"/>
      <c r="O18" s="28"/>
      <c r="P18" s="28"/>
      <c r="Q18" s="28"/>
      <c r="S18" s="52"/>
    </row>
    <row r="19" spans="2:19" ht="15" thickBot="1" x14ac:dyDescent="0.4">
      <c r="B19" s="30"/>
      <c r="C19" s="30"/>
      <c r="D19" s="30"/>
      <c r="E19" s="30"/>
      <c r="F19" s="30"/>
      <c r="G19" s="30"/>
      <c r="H19" s="30">
        <f>SUM(H13:H18)</f>
        <v>0</v>
      </c>
      <c r="I19" s="30"/>
      <c r="J19" s="30"/>
      <c r="K19" s="31">
        <f>SUM(K13:K18)</f>
        <v>0</v>
      </c>
      <c r="N19" s="28"/>
      <c r="O19" s="28"/>
      <c r="P19" s="28"/>
      <c r="Q19" s="28"/>
      <c r="S19" s="52"/>
    </row>
    <row r="20" spans="2:19" ht="15" thickTop="1" x14ac:dyDescent="0.35">
      <c r="N20" s="28"/>
      <c r="O20" s="28"/>
      <c r="P20" s="28"/>
      <c r="Q20" s="28"/>
      <c r="S20" s="52"/>
    </row>
    <row r="21" spans="2:19" x14ac:dyDescent="0.35">
      <c r="B21" s="1" t="s">
        <v>21</v>
      </c>
      <c r="N21" s="28"/>
      <c r="O21" s="28"/>
      <c r="P21" s="28"/>
      <c r="Q21" s="28"/>
      <c r="S21" s="52"/>
    </row>
    <row r="22" spans="2:19" x14ac:dyDescent="0.35">
      <c r="B22" s="51"/>
      <c r="C22" s="51"/>
      <c r="D22" s="51"/>
      <c r="E22" s="16" t="s">
        <v>11</v>
      </c>
      <c r="G22" s="18">
        <v>0</v>
      </c>
      <c r="I22" s="19">
        <v>0.12</v>
      </c>
      <c r="J22" s="18">
        <f t="shared" ref="J22:J26" si="2">+H22*I22</f>
        <v>0</v>
      </c>
      <c r="K22" s="18">
        <f t="shared" ref="K22:K26" si="3">+H22+J22+G22</f>
        <v>0</v>
      </c>
      <c r="L22" s="28" t="s">
        <v>11</v>
      </c>
      <c r="N22" s="28" t="s">
        <v>11</v>
      </c>
      <c r="O22" s="28" t="s">
        <v>11</v>
      </c>
      <c r="P22" s="28" t="s">
        <v>11</v>
      </c>
      <c r="Q22" s="28" t="s">
        <v>11</v>
      </c>
      <c r="S22" s="52"/>
    </row>
    <row r="23" spans="2:19" x14ac:dyDescent="0.35">
      <c r="B23" s="51"/>
      <c r="C23" s="51"/>
      <c r="D23" s="51"/>
      <c r="E23" s="16" t="s">
        <v>11</v>
      </c>
      <c r="G23" s="18">
        <v>0</v>
      </c>
      <c r="I23" s="19">
        <v>0.12</v>
      </c>
      <c r="J23" s="18">
        <f t="shared" si="2"/>
        <v>0</v>
      </c>
      <c r="K23" s="18">
        <f t="shared" si="3"/>
        <v>0</v>
      </c>
      <c r="L23" s="20" t="s">
        <v>11</v>
      </c>
      <c r="M23" s="20"/>
      <c r="N23" s="20" t="s">
        <v>11</v>
      </c>
      <c r="O23" s="20" t="s">
        <v>11</v>
      </c>
      <c r="P23" s="20" t="s">
        <v>11</v>
      </c>
      <c r="Q23" s="20" t="s">
        <v>11</v>
      </c>
      <c r="S23" s="52"/>
    </row>
    <row r="24" spans="2:19" x14ac:dyDescent="0.35">
      <c r="B24" s="51"/>
      <c r="C24" s="51"/>
      <c r="D24" s="51"/>
      <c r="E24" s="16" t="s">
        <v>11</v>
      </c>
      <c r="G24" s="18">
        <v>0</v>
      </c>
      <c r="I24" s="19">
        <v>0.12</v>
      </c>
      <c r="J24" s="18">
        <f t="shared" si="2"/>
        <v>0</v>
      </c>
      <c r="K24" s="18">
        <f t="shared" si="3"/>
        <v>0</v>
      </c>
      <c r="L24" s="20" t="s">
        <v>11</v>
      </c>
      <c r="M24" s="20"/>
      <c r="N24" s="20" t="s">
        <v>11</v>
      </c>
      <c r="O24" s="20" t="s">
        <v>11</v>
      </c>
      <c r="P24" s="20" t="s">
        <v>11</v>
      </c>
      <c r="Q24" s="20" t="s">
        <v>11</v>
      </c>
      <c r="S24" s="52"/>
    </row>
    <row r="25" spans="2:19" x14ac:dyDescent="0.35">
      <c r="B25" s="51"/>
      <c r="C25" s="51"/>
      <c r="D25" s="51"/>
      <c r="E25" s="16" t="s">
        <v>11</v>
      </c>
      <c r="G25" s="18">
        <v>0</v>
      </c>
      <c r="I25" s="19">
        <v>0.12</v>
      </c>
      <c r="J25" s="18">
        <f t="shared" si="2"/>
        <v>0</v>
      </c>
      <c r="K25" s="18">
        <f t="shared" si="3"/>
        <v>0</v>
      </c>
      <c r="L25" s="20" t="s">
        <v>11</v>
      </c>
      <c r="M25" s="20"/>
      <c r="N25" s="20" t="s">
        <v>11</v>
      </c>
      <c r="O25" s="20" t="s">
        <v>11</v>
      </c>
      <c r="P25" s="20" t="s">
        <v>11</v>
      </c>
      <c r="Q25" s="20" t="s">
        <v>11</v>
      </c>
      <c r="S25" s="52"/>
    </row>
    <row r="26" spans="2:19" x14ac:dyDescent="0.35">
      <c r="B26" s="51"/>
      <c r="C26" s="51"/>
      <c r="D26" s="51"/>
      <c r="E26" s="16" t="s">
        <v>11</v>
      </c>
      <c r="G26" s="18">
        <v>0</v>
      </c>
      <c r="I26" s="19">
        <v>0.12</v>
      </c>
      <c r="J26" s="18">
        <f t="shared" si="2"/>
        <v>0</v>
      </c>
      <c r="K26" s="18">
        <f t="shared" si="3"/>
        <v>0</v>
      </c>
      <c r="L26" s="20" t="s">
        <v>11</v>
      </c>
      <c r="M26" s="20"/>
      <c r="N26" s="20" t="s">
        <v>11</v>
      </c>
      <c r="O26" s="20" t="s">
        <v>11</v>
      </c>
      <c r="P26" s="20" t="s">
        <v>11</v>
      </c>
      <c r="Q26" s="20" t="s">
        <v>11</v>
      </c>
      <c r="S26" s="52"/>
    </row>
    <row r="27" spans="2:19" x14ac:dyDescent="0.35">
      <c r="N27" s="28"/>
      <c r="O27" s="28"/>
      <c r="P27" s="28"/>
      <c r="Q27" s="28"/>
      <c r="S27" s="52"/>
    </row>
    <row r="28" spans="2:19" ht="15" thickBot="1" x14ac:dyDescent="0.4">
      <c r="B28" s="30"/>
      <c r="C28" s="30"/>
      <c r="D28" s="30"/>
      <c r="E28" s="30"/>
      <c r="F28" s="30"/>
      <c r="G28" s="30"/>
      <c r="H28" s="30">
        <f>SUM(H22:H27)</f>
        <v>0</v>
      </c>
      <c r="I28" s="30"/>
      <c r="J28" s="30"/>
      <c r="K28" s="31">
        <f>SUM(K22:K27)</f>
        <v>0</v>
      </c>
      <c r="N28" s="28"/>
      <c r="O28" s="28"/>
      <c r="P28" s="28"/>
      <c r="Q28" s="28"/>
      <c r="S28" s="52"/>
    </row>
    <row r="29" spans="2:19" ht="15" thickTop="1" x14ac:dyDescent="0.35">
      <c r="O29" s="28"/>
      <c r="P29" s="28"/>
      <c r="Q29" s="28"/>
      <c r="S29" s="52"/>
    </row>
    <row r="30" spans="2:19" x14ac:dyDescent="0.35">
      <c r="O30" s="28"/>
      <c r="P30" s="28"/>
      <c r="Q30" s="28"/>
      <c r="S30" s="52"/>
    </row>
    <row r="31" spans="2:19" x14ac:dyDescent="0.35">
      <c r="B31" s="43" t="s">
        <v>22</v>
      </c>
      <c r="C31" s="32"/>
      <c r="O31" s="28"/>
      <c r="P31" s="28"/>
      <c r="Q31" s="28"/>
      <c r="S31" s="52"/>
    </row>
    <row r="32" spans="2:19" x14ac:dyDescent="0.35">
      <c r="B32" s="43"/>
      <c r="C32" s="32"/>
      <c r="O32" s="28"/>
      <c r="P32" s="28"/>
      <c r="Q32" s="28"/>
      <c r="S32" s="52"/>
    </row>
    <row r="33" spans="1:19" x14ac:dyDescent="0.35">
      <c r="B33" s="43" t="s">
        <v>23</v>
      </c>
      <c r="C33" s="32"/>
      <c r="O33" s="28"/>
      <c r="P33" s="28"/>
      <c r="Q33" s="28"/>
      <c r="S33" s="52"/>
    </row>
    <row r="34" spans="1:19" x14ac:dyDescent="0.35">
      <c r="A34" s="33" t="s">
        <v>20</v>
      </c>
      <c r="B34" s="32" t="s">
        <v>35</v>
      </c>
      <c r="C34" s="32" t="s">
        <v>35</v>
      </c>
      <c r="O34" s="28"/>
      <c r="P34" s="28"/>
      <c r="Q34" s="28"/>
      <c r="S34" s="52"/>
    </row>
    <row r="35" spans="1:19" x14ac:dyDescent="0.35">
      <c r="A35" s="33" t="s">
        <v>76</v>
      </c>
      <c r="B35" s="32" t="s">
        <v>34</v>
      </c>
      <c r="C35" s="32" t="s">
        <v>34</v>
      </c>
      <c r="O35" s="28"/>
      <c r="P35" s="28"/>
      <c r="Q35" s="28"/>
      <c r="S35" s="52"/>
    </row>
    <row r="36" spans="1:19" x14ac:dyDescent="0.35">
      <c r="B36" s="44"/>
      <c r="C36" s="32"/>
      <c r="O36" s="28"/>
      <c r="P36" s="28"/>
      <c r="Q36" s="28"/>
      <c r="S36" s="52"/>
    </row>
    <row r="37" spans="1:19" x14ac:dyDescent="0.35">
      <c r="B37" s="43" t="s">
        <v>24</v>
      </c>
      <c r="C37" s="32"/>
      <c r="O37" s="28"/>
      <c r="P37" s="28"/>
      <c r="Q37" s="28"/>
      <c r="S37" s="52"/>
    </row>
    <row r="38" spans="1:19" x14ac:dyDescent="0.35">
      <c r="B38" s="44" t="s">
        <v>79</v>
      </c>
      <c r="C38" s="32"/>
      <c r="O38" s="28"/>
      <c r="P38" s="28"/>
      <c r="Q38" s="28"/>
      <c r="S38" s="52"/>
    </row>
    <row r="39" spans="1:19" x14ac:dyDescent="0.35">
      <c r="B39" s="44"/>
      <c r="C39" s="32"/>
      <c r="O39" s="28"/>
      <c r="P39" s="28"/>
      <c r="Q39" s="28"/>
      <c r="S39" s="52"/>
    </row>
    <row r="40" spans="1:19" x14ac:dyDescent="0.35">
      <c r="B40" s="43" t="s">
        <v>25</v>
      </c>
      <c r="C40" s="32"/>
      <c r="O40" s="28"/>
      <c r="P40" s="28"/>
      <c r="Q40" s="28"/>
      <c r="S40" s="52"/>
    </row>
    <row r="41" spans="1:19" x14ac:dyDescent="0.35">
      <c r="B41" s="44" t="s">
        <v>26</v>
      </c>
      <c r="C41" s="32"/>
      <c r="O41" s="28"/>
      <c r="P41" s="28"/>
      <c r="Q41" s="28"/>
      <c r="S41" s="52"/>
    </row>
    <row r="42" spans="1:19" x14ac:dyDescent="0.35">
      <c r="B42" s="44"/>
      <c r="C42" s="32"/>
      <c r="O42" s="28"/>
      <c r="P42" s="28"/>
      <c r="Q42" s="28"/>
      <c r="S42" s="52"/>
    </row>
    <row r="43" spans="1:19" x14ac:dyDescent="0.35">
      <c r="B43" s="43" t="s">
        <v>27</v>
      </c>
      <c r="C43" s="32"/>
      <c r="O43" s="28"/>
      <c r="P43" s="28"/>
      <c r="Q43" s="28"/>
      <c r="S43" s="52"/>
    </row>
    <row r="44" spans="1:19" x14ac:dyDescent="0.35">
      <c r="A44" s="51" t="s">
        <v>68</v>
      </c>
      <c r="B44" s="45" t="s">
        <v>72</v>
      </c>
      <c r="C44" s="32"/>
      <c r="O44" s="28"/>
      <c r="P44" s="28"/>
      <c r="Q44" s="28"/>
      <c r="S44" s="52"/>
    </row>
    <row r="45" spans="1:19" x14ac:dyDescent="0.35">
      <c r="A45" s="51" t="s">
        <v>69</v>
      </c>
      <c r="B45" s="45" t="s">
        <v>73</v>
      </c>
      <c r="C45" s="32"/>
      <c r="O45" s="28"/>
      <c r="P45" s="28"/>
      <c r="Q45" s="28"/>
      <c r="S45" s="52"/>
    </row>
    <row r="46" spans="1:19" x14ac:dyDescent="0.35">
      <c r="A46" s="51" t="s">
        <v>70</v>
      </c>
      <c r="B46" s="45" t="s">
        <v>74</v>
      </c>
      <c r="C46" s="32"/>
      <c r="O46" s="28"/>
      <c r="P46" s="28"/>
      <c r="Q46" s="28"/>
      <c r="S46" s="52"/>
    </row>
    <row r="47" spans="1:19" x14ac:dyDescent="0.35">
      <c r="A47" s="51" t="s">
        <v>71</v>
      </c>
      <c r="B47" s="45" t="s">
        <v>75</v>
      </c>
      <c r="C47" s="32"/>
      <c r="O47" s="28"/>
      <c r="P47" s="28"/>
      <c r="Q47" s="28"/>
      <c r="S47" s="52"/>
    </row>
    <row r="48" spans="1:19" x14ac:dyDescent="0.35">
      <c r="A48" s="51"/>
      <c r="B48" s="45"/>
      <c r="C48" s="32"/>
      <c r="O48" s="28"/>
      <c r="P48" s="28"/>
      <c r="Q48" s="28"/>
      <c r="S48" s="52"/>
    </row>
    <row r="49" spans="1:19" x14ac:dyDescent="0.35">
      <c r="A49" s="51"/>
      <c r="B49" s="43" t="s">
        <v>80</v>
      </c>
      <c r="C49" s="32"/>
      <c r="O49" s="28"/>
      <c r="P49" s="28"/>
      <c r="Q49" s="28"/>
      <c r="S49" s="52"/>
    </row>
    <row r="50" spans="1:19" x14ac:dyDescent="0.35">
      <c r="A50" s="51"/>
      <c r="B50" s="45"/>
      <c r="C50" s="32"/>
      <c r="O50" s="28"/>
      <c r="P50" s="28"/>
      <c r="Q50" s="28"/>
      <c r="S50" s="52"/>
    </row>
    <row r="51" spans="1:19" x14ac:dyDescent="0.35">
      <c r="A51" s="66" t="s">
        <v>11</v>
      </c>
      <c r="B51" s="45" t="s">
        <v>81</v>
      </c>
      <c r="C51" s="32"/>
      <c r="O51" s="28"/>
      <c r="P51" s="28"/>
      <c r="Q51" s="28"/>
      <c r="S51" s="52"/>
    </row>
    <row r="52" spans="1:19" x14ac:dyDescent="0.35">
      <c r="B52" s="44"/>
      <c r="C52" s="32"/>
      <c r="O52" s="28"/>
      <c r="P52" s="28"/>
      <c r="Q52" s="28"/>
      <c r="S52" s="52"/>
    </row>
    <row r="53" spans="1:19" x14ac:dyDescent="0.35">
      <c r="B53" s="46" t="s">
        <v>28</v>
      </c>
      <c r="C53" s="32"/>
      <c r="O53" s="28"/>
      <c r="P53" s="28"/>
      <c r="Q53" s="28"/>
      <c r="S53" s="52"/>
    </row>
    <row r="54" spans="1:19" x14ac:dyDescent="0.35">
      <c r="B54" s="47" t="s">
        <v>29</v>
      </c>
      <c r="C54" s="32"/>
      <c r="O54" s="28"/>
      <c r="P54" s="28"/>
      <c r="Q54" s="28"/>
      <c r="S54" s="52"/>
    </row>
    <row r="55" spans="1:19" x14ac:dyDescent="0.35">
      <c r="B55" s="47" t="s">
        <v>30</v>
      </c>
      <c r="C55" s="32"/>
      <c r="O55" s="28"/>
      <c r="P55" s="28"/>
      <c r="Q55" s="28"/>
      <c r="S55" s="52"/>
    </row>
    <row r="56" spans="1:19" x14ac:dyDescent="0.35">
      <c r="B56" s="47" t="s">
        <v>31</v>
      </c>
      <c r="C56" s="32"/>
      <c r="O56" s="28"/>
      <c r="P56" s="28"/>
      <c r="Q56" s="28"/>
      <c r="S56" s="52"/>
    </row>
    <row r="57" spans="1:19" x14ac:dyDescent="0.35">
      <c r="B57" s="47"/>
      <c r="C57" s="32"/>
      <c r="O57" s="28"/>
      <c r="P57" s="28"/>
      <c r="Q57" s="28"/>
      <c r="S57" s="52"/>
    </row>
    <row r="58" spans="1:19" x14ac:dyDescent="0.35">
      <c r="B58" s="34" t="s">
        <v>50</v>
      </c>
      <c r="C58" s="32"/>
      <c r="O58" s="28"/>
      <c r="P58" s="28"/>
      <c r="Q58" s="28"/>
      <c r="S58" s="52"/>
    </row>
    <row r="59" spans="1:19" x14ac:dyDescent="0.35">
      <c r="A59" s="50" t="s">
        <v>13</v>
      </c>
      <c r="B59" s="32" t="s">
        <v>51</v>
      </c>
      <c r="C59" s="32" t="s">
        <v>51</v>
      </c>
      <c r="O59" s="28"/>
      <c r="P59" s="28"/>
      <c r="Q59" s="28"/>
      <c r="S59" s="52"/>
    </row>
    <row r="60" spans="1:19" x14ac:dyDescent="0.35">
      <c r="A60" s="50" t="s">
        <v>14</v>
      </c>
      <c r="B60" s="32" t="s">
        <v>52</v>
      </c>
      <c r="C60" s="32" t="s">
        <v>52</v>
      </c>
      <c r="O60" s="28"/>
      <c r="P60" s="28"/>
      <c r="Q60" s="28"/>
      <c r="S60" s="52"/>
    </row>
    <row r="61" spans="1:19" x14ac:dyDescent="0.35">
      <c r="A61" s="50" t="s">
        <v>5</v>
      </c>
      <c r="B61" s="32" t="s">
        <v>53</v>
      </c>
      <c r="C61" s="32" t="s">
        <v>53</v>
      </c>
      <c r="O61" s="28"/>
      <c r="P61" s="28"/>
      <c r="Q61" s="28"/>
      <c r="S61" s="52"/>
    </row>
    <row r="62" spans="1:19" x14ac:dyDescent="0.35">
      <c r="B62" s="44"/>
      <c r="C62" s="32"/>
      <c r="O62" s="28"/>
      <c r="P62" s="28"/>
      <c r="Q62" s="28"/>
      <c r="S62" s="52"/>
    </row>
    <row r="63" spans="1:19" x14ac:dyDescent="0.35">
      <c r="B63" s="46" t="s">
        <v>32</v>
      </c>
      <c r="C63" s="32"/>
      <c r="O63" s="28"/>
      <c r="P63" s="28"/>
      <c r="Q63" s="28"/>
      <c r="S63" s="52"/>
    </row>
    <row r="64" spans="1:19" x14ac:dyDescent="0.35">
      <c r="B64" s="44" t="s">
        <v>77</v>
      </c>
      <c r="C64" s="32"/>
      <c r="O64" s="28"/>
      <c r="P64" s="28"/>
      <c r="Q64" s="28"/>
      <c r="S64" s="52"/>
    </row>
    <row r="65" spans="1:19" x14ac:dyDescent="0.35">
      <c r="B65" s="32" t="s">
        <v>78</v>
      </c>
      <c r="C65" s="32"/>
      <c r="O65" s="28"/>
      <c r="P65" s="28"/>
      <c r="Q65" s="28"/>
      <c r="S65" s="52"/>
    </row>
    <row r="66" spans="1:19" x14ac:dyDescent="0.35">
      <c r="B66" s="40"/>
      <c r="C66" s="32"/>
      <c r="O66" s="28"/>
      <c r="P66" s="28"/>
      <c r="Q66" s="28"/>
      <c r="S66" s="52"/>
    </row>
    <row r="67" spans="1:19" x14ac:dyDescent="0.35">
      <c r="B67" s="43" t="s">
        <v>33</v>
      </c>
      <c r="C67" s="32"/>
      <c r="O67" s="28"/>
      <c r="P67" s="28"/>
      <c r="Q67" s="28"/>
      <c r="S67" s="52"/>
    </row>
    <row r="68" spans="1:19" x14ac:dyDescent="0.35">
      <c r="B68" s="48" t="s">
        <v>44</v>
      </c>
      <c r="C68" s="36"/>
      <c r="O68" s="28"/>
      <c r="P68" s="28"/>
      <c r="Q68" s="28"/>
      <c r="S68" s="52"/>
    </row>
    <row r="69" spans="1:19" x14ac:dyDescent="0.35">
      <c r="B69" s="40"/>
      <c r="S69" s="52"/>
    </row>
    <row r="70" spans="1:19" x14ac:dyDescent="0.35">
      <c r="S70" s="52"/>
    </row>
    <row r="71" spans="1:19" x14ac:dyDescent="0.35">
      <c r="S71" s="52"/>
    </row>
    <row r="72" spans="1:19" x14ac:dyDescent="0.35">
      <c r="S72" s="52"/>
    </row>
    <row r="73" spans="1:19" ht="1.5" customHeight="1" x14ac:dyDescent="0.35">
      <c r="A73" s="52"/>
      <c r="B73" s="52"/>
      <c r="C73" s="52"/>
      <c r="D73" s="52"/>
      <c r="E73" s="53"/>
      <c r="F73" s="54"/>
      <c r="G73" s="54"/>
      <c r="H73" s="55"/>
      <c r="I73" s="56"/>
      <c r="J73" s="56"/>
      <c r="K73" s="55"/>
      <c r="L73" s="57"/>
      <c r="M73" s="57"/>
      <c r="N73" s="58"/>
      <c r="O73" s="58"/>
      <c r="P73" s="58"/>
      <c r="Q73" s="58"/>
      <c r="R73" s="52"/>
      <c r="S73" s="52"/>
    </row>
  </sheetData>
  <mergeCells count="16">
    <mergeCell ref="F10:F11"/>
    <mergeCell ref="E10:E11"/>
    <mergeCell ref="B12:D12"/>
    <mergeCell ref="B10:B11"/>
    <mergeCell ref="C10:C11"/>
    <mergeCell ref="D10:D11"/>
    <mergeCell ref="N10:N11"/>
    <mergeCell ref="G10:G11"/>
    <mergeCell ref="O4:Q4"/>
    <mergeCell ref="O5:Q5"/>
    <mergeCell ref="O6:Q6"/>
    <mergeCell ref="O7:Q7"/>
    <mergeCell ref="O10:Q10"/>
    <mergeCell ref="L10:L11"/>
    <mergeCell ref="K10:K11"/>
    <mergeCell ref="H10:H11"/>
  </mergeCell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7"/>
  <sheetViews>
    <sheetView showGridLines="0" topLeftCell="A3" zoomScale="80" zoomScaleNormal="80" workbookViewId="0">
      <selection activeCell="A13" sqref="A13"/>
    </sheetView>
  </sheetViews>
  <sheetFormatPr baseColWidth="10" defaultColWidth="11.36328125" defaultRowHeight="14.5" x14ac:dyDescent="0.35"/>
  <cols>
    <col min="1" max="1" width="3.81640625" style="4" customWidth="1"/>
    <col min="2" max="2" width="20.81640625" style="40" customWidth="1"/>
    <col min="3" max="3" width="24.36328125" style="4" customWidth="1"/>
    <col min="4" max="4" width="40" style="4" bestFit="1" customWidth="1"/>
    <col min="5" max="5" width="4.1796875" style="26" customWidth="1"/>
    <col min="6" max="6" width="11.36328125" style="27"/>
    <col min="7" max="7" width="11.36328125" style="18"/>
    <col min="8" max="8" width="5.36328125" style="19" customWidth="1"/>
    <col min="9" max="9" width="8.81640625" style="19" bestFit="1" customWidth="1"/>
    <col min="10" max="10" width="13.6328125" style="18" customWidth="1"/>
    <col min="11" max="11" width="14.90625" style="28" customWidth="1"/>
    <col min="12" max="12" width="3.81640625" style="29" customWidth="1"/>
    <col min="13" max="15" width="5.36328125" style="29" customWidth="1"/>
    <col min="16" max="16" width="11.36328125" style="4"/>
    <col min="17" max="17" width="0.6328125" style="4" customWidth="1"/>
    <col min="18" max="16384" width="11.36328125" style="4"/>
  </cols>
  <sheetData>
    <row r="1" spans="2:17" x14ac:dyDescent="0.35">
      <c r="Q1" s="52"/>
    </row>
    <row r="2" spans="2:17" x14ac:dyDescent="0.35">
      <c r="Q2" s="52"/>
    </row>
    <row r="3" spans="2:17" ht="13.5" x14ac:dyDescent="0.35">
      <c r="B3" s="39" t="s">
        <v>0</v>
      </c>
      <c r="C3" s="1"/>
      <c r="D3" s="2"/>
      <c r="E3" s="2"/>
      <c r="F3" s="3"/>
      <c r="G3" s="3"/>
      <c r="H3" s="3"/>
      <c r="I3" s="3"/>
      <c r="J3" s="3"/>
      <c r="K3" s="3"/>
      <c r="L3" s="3"/>
      <c r="M3" s="3"/>
      <c r="N3" s="3"/>
      <c r="O3" s="4"/>
      <c r="Q3" s="52"/>
    </row>
    <row r="4" spans="2:17" ht="13.5" x14ac:dyDescent="0.35">
      <c r="B4" s="39" t="s">
        <v>1</v>
      </c>
      <c r="C4" s="5" t="str">
        <f>+'A.03.01-2'!C4</f>
        <v>HERDOÍZA CRESPO CONTRUCCIONES S.A.</v>
      </c>
      <c r="D4" s="3"/>
      <c r="E4" s="3"/>
      <c r="F4" s="3"/>
      <c r="G4" s="3"/>
      <c r="H4" s="3"/>
      <c r="I4" s="3"/>
      <c r="J4" s="6" t="s">
        <v>2</v>
      </c>
      <c r="K4" s="133">
        <v>43465</v>
      </c>
      <c r="L4" s="133"/>
      <c r="M4" s="133"/>
      <c r="N4" s="4"/>
      <c r="O4" s="4"/>
      <c r="Q4" s="52"/>
    </row>
    <row r="5" spans="2:17" ht="13.5" x14ac:dyDescent="0.35">
      <c r="B5" s="39" t="s">
        <v>3</v>
      </c>
      <c r="C5" s="8" t="s">
        <v>87</v>
      </c>
      <c r="D5" s="3"/>
      <c r="E5" s="3"/>
      <c r="F5" s="3"/>
      <c r="G5" s="3"/>
      <c r="H5" s="3"/>
      <c r="I5" s="3"/>
      <c r="J5" s="6" t="s">
        <v>4</v>
      </c>
      <c r="K5" s="134" t="s">
        <v>90</v>
      </c>
      <c r="L5" s="134"/>
      <c r="M5" s="134"/>
      <c r="N5" s="4"/>
      <c r="O5" s="4"/>
      <c r="Q5" s="52"/>
    </row>
    <row r="6" spans="2:17" ht="15" customHeight="1" x14ac:dyDescent="0.35">
      <c r="E6" s="4"/>
      <c r="F6" s="4"/>
      <c r="G6" s="4"/>
      <c r="H6" s="4"/>
      <c r="I6" s="4"/>
      <c r="J6" s="6" t="s">
        <v>36</v>
      </c>
      <c r="K6" s="135" t="s">
        <v>85</v>
      </c>
      <c r="L6" s="136"/>
      <c r="M6" s="136"/>
      <c r="N6" s="4"/>
      <c r="O6" s="4"/>
      <c r="Q6" s="52"/>
    </row>
    <row r="7" spans="2:17" ht="13.5" x14ac:dyDescent="0.35">
      <c r="E7" s="4"/>
      <c r="F7" s="4"/>
      <c r="G7" s="4"/>
      <c r="H7" s="4"/>
      <c r="I7" s="4"/>
      <c r="J7" s="6" t="s">
        <v>37</v>
      </c>
      <c r="K7" s="136" t="s">
        <v>38</v>
      </c>
      <c r="L7" s="136"/>
      <c r="M7" s="136"/>
      <c r="N7" s="4"/>
      <c r="O7" s="4"/>
      <c r="Q7" s="52"/>
    </row>
    <row r="8" spans="2:17" ht="13.5" x14ac:dyDescent="0.35">
      <c r="B8" s="39" t="s">
        <v>56</v>
      </c>
      <c r="E8" s="4"/>
      <c r="F8" s="4"/>
      <c r="G8" s="4"/>
      <c r="H8" s="4"/>
      <c r="I8" s="4"/>
      <c r="J8" s="4"/>
      <c r="K8" s="4"/>
      <c r="L8" s="4"/>
      <c r="M8" s="4"/>
      <c r="N8" s="4"/>
      <c r="O8" s="4"/>
      <c r="Q8" s="52"/>
    </row>
    <row r="9" spans="2:17" ht="8.25" customHeight="1" x14ac:dyDescent="0.35">
      <c r="E9" s="4"/>
      <c r="F9" s="4"/>
      <c r="G9" s="4"/>
      <c r="H9" s="4"/>
      <c r="I9" s="4"/>
      <c r="J9" s="4"/>
      <c r="K9" s="4"/>
      <c r="L9" s="4"/>
      <c r="M9" s="4"/>
      <c r="N9" s="4"/>
      <c r="O9" s="4"/>
      <c r="Q9" s="52"/>
    </row>
    <row r="10" spans="2:17" ht="15" customHeight="1" x14ac:dyDescent="0.35">
      <c r="B10" s="139" t="s">
        <v>15</v>
      </c>
      <c r="C10" s="131" t="s">
        <v>16</v>
      </c>
      <c r="D10" s="131" t="s">
        <v>17</v>
      </c>
      <c r="E10" s="131" t="s">
        <v>5</v>
      </c>
      <c r="F10" s="131" t="s">
        <v>6</v>
      </c>
      <c r="G10" s="131" t="s">
        <v>7</v>
      </c>
      <c r="H10" s="11" t="s">
        <v>18</v>
      </c>
      <c r="I10" s="11"/>
      <c r="J10" s="131" t="s">
        <v>9</v>
      </c>
      <c r="K10" s="131" t="s">
        <v>10</v>
      </c>
      <c r="L10" s="4"/>
      <c r="M10" s="137" t="s">
        <v>12</v>
      </c>
      <c r="N10" s="137"/>
      <c r="O10" s="137"/>
      <c r="Q10" s="52"/>
    </row>
    <row r="11" spans="2:17" ht="13.5" x14ac:dyDescent="0.35">
      <c r="B11" s="140"/>
      <c r="C11" s="132"/>
      <c r="D11" s="132"/>
      <c r="E11" s="132"/>
      <c r="F11" s="132"/>
      <c r="G11" s="132"/>
      <c r="H11" s="12" t="s">
        <v>8</v>
      </c>
      <c r="I11" s="12" t="s">
        <v>8</v>
      </c>
      <c r="J11" s="132" t="s">
        <v>9</v>
      </c>
      <c r="K11" s="132"/>
      <c r="L11" s="4"/>
      <c r="M11" s="13" t="s">
        <v>13</v>
      </c>
      <c r="N11" s="13" t="s">
        <v>14</v>
      </c>
      <c r="O11" s="13" t="s">
        <v>5</v>
      </c>
      <c r="Q11" s="52"/>
    </row>
    <row r="12" spans="2:17" ht="13.5" x14ac:dyDescent="0.35">
      <c r="B12" s="138" t="s">
        <v>19</v>
      </c>
      <c r="C12" s="138"/>
      <c r="D12" s="138"/>
      <c r="E12" s="4"/>
      <c r="F12" s="4"/>
      <c r="G12" s="4"/>
      <c r="H12" s="14" t="s">
        <v>20</v>
      </c>
      <c r="I12" s="14"/>
      <c r="J12" s="4"/>
      <c r="K12" s="4"/>
      <c r="L12" s="4"/>
      <c r="M12" s="4"/>
      <c r="N12" s="4"/>
      <c r="O12" s="4"/>
      <c r="Q12" s="52"/>
    </row>
    <row r="13" spans="2:17" x14ac:dyDescent="0.35">
      <c r="B13" s="41"/>
      <c r="D13" s="15"/>
      <c r="E13" s="59" t="s">
        <v>11</v>
      </c>
      <c r="F13" s="17"/>
      <c r="H13" s="19">
        <v>0.12</v>
      </c>
      <c r="I13" s="18">
        <f>+G13*H13</f>
        <v>0</v>
      </c>
      <c r="J13" s="18">
        <f>+G13+I13</f>
        <v>0</v>
      </c>
      <c r="K13" s="20" t="s">
        <v>11</v>
      </c>
      <c r="L13" s="21"/>
      <c r="M13" s="20" t="s">
        <v>11</v>
      </c>
      <c r="N13" s="20" t="s">
        <v>11</v>
      </c>
      <c r="O13" s="20" t="s">
        <v>11</v>
      </c>
      <c r="Q13" s="52"/>
    </row>
    <row r="14" spans="2:17" x14ac:dyDescent="0.35">
      <c r="B14" s="41"/>
      <c r="D14" s="22"/>
      <c r="E14" s="59" t="s">
        <v>11</v>
      </c>
      <c r="F14" s="23"/>
      <c r="H14" s="19">
        <v>0.12</v>
      </c>
      <c r="I14" s="18">
        <f t="shared" ref="I14:I16" si="0">+G14*H14</f>
        <v>0</v>
      </c>
      <c r="J14" s="18">
        <f t="shared" ref="J14:J16" si="1">+G14+I14</f>
        <v>0</v>
      </c>
      <c r="K14" s="20" t="s">
        <v>11</v>
      </c>
      <c r="L14" s="21"/>
      <c r="M14" s="20" t="s">
        <v>11</v>
      </c>
      <c r="N14" s="20" t="s">
        <v>11</v>
      </c>
      <c r="O14" s="20" t="s">
        <v>11</v>
      </c>
      <c r="Q14" s="52"/>
    </row>
    <row r="15" spans="2:17" x14ac:dyDescent="0.35">
      <c r="B15" s="41"/>
      <c r="C15" s="24"/>
      <c r="D15" s="22"/>
      <c r="E15" s="59" t="s">
        <v>11</v>
      </c>
      <c r="F15" s="17"/>
      <c r="G15" s="25"/>
      <c r="H15" s="19">
        <v>0.12</v>
      </c>
      <c r="I15" s="18">
        <f>+G15*H15</f>
        <v>0</v>
      </c>
      <c r="J15" s="18">
        <f>+G15+I15</f>
        <v>0</v>
      </c>
      <c r="K15" s="20" t="s">
        <v>11</v>
      </c>
      <c r="L15" s="21"/>
      <c r="M15" s="20" t="s">
        <v>11</v>
      </c>
      <c r="N15" s="20" t="s">
        <v>11</v>
      </c>
      <c r="O15" s="20" t="s">
        <v>11</v>
      </c>
      <c r="Q15" s="52"/>
    </row>
    <row r="16" spans="2:17" x14ac:dyDescent="0.35">
      <c r="B16" s="41"/>
      <c r="E16" s="59" t="s">
        <v>11</v>
      </c>
      <c r="F16" s="17"/>
      <c r="H16" s="19">
        <v>0.12</v>
      </c>
      <c r="I16" s="18">
        <f t="shared" si="0"/>
        <v>0</v>
      </c>
      <c r="J16" s="18">
        <f t="shared" si="1"/>
        <v>0</v>
      </c>
      <c r="K16" s="20" t="s">
        <v>11</v>
      </c>
      <c r="L16" s="21"/>
      <c r="M16" s="20" t="s">
        <v>11</v>
      </c>
      <c r="N16" s="20" t="s">
        <v>11</v>
      </c>
      <c r="O16" s="20" t="s">
        <v>11</v>
      </c>
      <c r="Q16" s="52"/>
    </row>
    <row r="17" spans="2:17" x14ac:dyDescent="0.35">
      <c r="B17" s="41"/>
      <c r="D17" s="22"/>
      <c r="E17" s="59" t="s">
        <v>11</v>
      </c>
      <c r="F17" s="17"/>
      <c r="H17" s="19">
        <v>0.12</v>
      </c>
      <c r="I17" s="18">
        <f t="shared" ref="I17" si="2">+G17*H17</f>
        <v>0</v>
      </c>
      <c r="J17" s="18">
        <f t="shared" ref="J17" si="3">+G17+I17</f>
        <v>0</v>
      </c>
      <c r="K17" s="20" t="s">
        <v>11</v>
      </c>
      <c r="L17" s="21"/>
      <c r="M17" s="20" t="s">
        <v>11</v>
      </c>
      <c r="N17" s="20" t="s">
        <v>11</v>
      </c>
      <c r="O17" s="20" t="s">
        <v>11</v>
      </c>
      <c r="Q17" s="52"/>
    </row>
    <row r="18" spans="2:17" ht="10.5" customHeight="1" x14ac:dyDescent="0.35">
      <c r="I18" s="18"/>
      <c r="M18" s="28"/>
      <c r="N18" s="28"/>
      <c r="O18" s="28"/>
      <c r="Q18" s="52"/>
    </row>
    <row r="19" spans="2:17" ht="15" thickBot="1" x14ac:dyDescent="0.4">
      <c r="B19" s="42"/>
      <c r="C19" s="30"/>
      <c r="D19" s="30"/>
      <c r="E19" s="30"/>
      <c r="F19" s="30"/>
      <c r="G19" s="30">
        <f>SUM(G13:G18)</f>
        <v>0</v>
      </c>
      <c r="H19" s="30"/>
      <c r="I19" s="30"/>
      <c r="J19" s="30">
        <f>SUM(J13:J18)</f>
        <v>0</v>
      </c>
      <c r="M19" s="28"/>
      <c r="N19" s="28"/>
      <c r="O19" s="28"/>
      <c r="Q19" s="52"/>
    </row>
    <row r="20" spans="2:17" ht="15" thickTop="1" x14ac:dyDescent="0.35">
      <c r="M20" s="28"/>
      <c r="N20" s="28"/>
      <c r="O20" s="28"/>
      <c r="Q20" s="52"/>
    </row>
    <row r="21" spans="2:17" x14ac:dyDescent="0.35">
      <c r="B21" s="39" t="s">
        <v>39</v>
      </c>
      <c r="M21" s="28"/>
      <c r="N21" s="28"/>
      <c r="O21" s="28"/>
      <c r="Q21" s="52"/>
    </row>
    <row r="22" spans="2:17" x14ac:dyDescent="0.35">
      <c r="E22" s="16"/>
      <c r="M22" s="28"/>
      <c r="N22" s="28"/>
      <c r="O22" s="28"/>
      <c r="Q22" s="52"/>
    </row>
    <row r="23" spans="2:17" x14ac:dyDescent="0.35">
      <c r="B23" s="60"/>
      <c r="C23" s="38">
        <v>0</v>
      </c>
      <c r="D23" s="38">
        <v>0</v>
      </c>
      <c r="E23" s="59" t="s">
        <v>11</v>
      </c>
      <c r="F23" s="38">
        <v>0</v>
      </c>
      <c r="G23" s="38">
        <v>0</v>
      </c>
      <c r="H23" s="38">
        <v>0</v>
      </c>
      <c r="I23" s="38">
        <v>0</v>
      </c>
      <c r="J23" s="38">
        <v>0</v>
      </c>
      <c r="K23" s="20" t="s">
        <v>11</v>
      </c>
      <c r="L23" s="21"/>
      <c r="M23" s="20" t="s">
        <v>11</v>
      </c>
      <c r="N23" s="20" t="s">
        <v>11</v>
      </c>
      <c r="O23" s="20" t="s">
        <v>11</v>
      </c>
      <c r="Q23" s="52"/>
    </row>
    <row r="24" spans="2:17" x14ac:dyDescent="0.35">
      <c r="B24" s="60"/>
      <c r="C24" s="38">
        <v>0</v>
      </c>
      <c r="D24" s="38">
        <v>0</v>
      </c>
      <c r="E24" s="59" t="s">
        <v>11</v>
      </c>
      <c r="F24" s="38">
        <v>0</v>
      </c>
      <c r="G24" s="38">
        <v>0</v>
      </c>
      <c r="H24" s="38">
        <v>0</v>
      </c>
      <c r="I24" s="38">
        <v>0</v>
      </c>
      <c r="J24" s="38">
        <v>0</v>
      </c>
      <c r="K24" s="20" t="s">
        <v>11</v>
      </c>
      <c r="L24" s="21"/>
      <c r="M24" s="20" t="s">
        <v>11</v>
      </c>
      <c r="N24" s="20" t="s">
        <v>11</v>
      </c>
      <c r="O24" s="20" t="s">
        <v>11</v>
      </c>
      <c r="Q24" s="52"/>
    </row>
    <row r="25" spans="2:17" x14ac:dyDescent="0.35">
      <c r="B25" s="60"/>
      <c r="C25" s="38">
        <v>0</v>
      </c>
      <c r="D25" s="38">
        <v>0</v>
      </c>
      <c r="E25" s="59" t="s">
        <v>11</v>
      </c>
      <c r="F25" s="38">
        <v>0</v>
      </c>
      <c r="G25" s="38">
        <v>0</v>
      </c>
      <c r="H25" s="38">
        <v>0</v>
      </c>
      <c r="I25" s="38">
        <v>0</v>
      </c>
      <c r="J25" s="38">
        <v>0</v>
      </c>
      <c r="K25" s="20" t="s">
        <v>11</v>
      </c>
      <c r="L25" s="21"/>
      <c r="M25" s="20" t="s">
        <v>11</v>
      </c>
      <c r="N25" s="20" t="s">
        <v>11</v>
      </c>
      <c r="O25" s="20" t="s">
        <v>11</v>
      </c>
      <c r="Q25" s="52"/>
    </row>
    <row r="26" spans="2:17" x14ac:dyDescent="0.35">
      <c r="B26" s="60"/>
      <c r="C26" s="38">
        <v>0</v>
      </c>
      <c r="D26" s="38">
        <v>0</v>
      </c>
      <c r="E26" s="59" t="s">
        <v>11</v>
      </c>
      <c r="F26" s="38">
        <v>0</v>
      </c>
      <c r="G26" s="38">
        <v>0</v>
      </c>
      <c r="H26" s="38">
        <v>0</v>
      </c>
      <c r="I26" s="38">
        <v>0</v>
      </c>
      <c r="J26" s="38">
        <v>0</v>
      </c>
      <c r="K26" s="20" t="s">
        <v>11</v>
      </c>
      <c r="L26" s="21"/>
      <c r="M26" s="20" t="s">
        <v>11</v>
      </c>
      <c r="N26" s="20" t="s">
        <v>11</v>
      </c>
      <c r="O26" s="20" t="s">
        <v>11</v>
      </c>
      <c r="Q26" s="52"/>
    </row>
    <row r="27" spans="2:17" x14ac:dyDescent="0.35">
      <c r="B27" s="60"/>
      <c r="C27" s="38">
        <v>0</v>
      </c>
      <c r="D27" s="38">
        <v>0</v>
      </c>
      <c r="E27" s="59" t="s">
        <v>11</v>
      </c>
      <c r="F27" s="38">
        <v>0</v>
      </c>
      <c r="G27" s="38">
        <v>0</v>
      </c>
      <c r="H27" s="38">
        <v>0</v>
      </c>
      <c r="I27" s="38">
        <v>0</v>
      </c>
      <c r="J27" s="38">
        <v>0</v>
      </c>
      <c r="K27" s="20" t="s">
        <v>11</v>
      </c>
      <c r="L27" s="21"/>
      <c r="M27" s="20" t="s">
        <v>11</v>
      </c>
      <c r="N27" s="20" t="s">
        <v>11</v>
      </c>
      <c r="O27" s="20" t="s">
        <v>11</v>
      </c>
      <c r="Q27" s="52"/>
    </row>
    <row r="28" spans="2:17" x14ac:dyDescent="0.35">
      <c r="M28" s="28"/>
      <c r="N28" s="28"/>
      <c r="O28" s="28"/>
      <c r="Q28" s="52"/>
    </row>
    <row r="29" spans="2:17" ht="15" thickBot="1" x14ac:dyDescent="0.4">
      <c r="B29" s="42"/>
      <c r="C29" s="30"/>
      <c r="D29" s="30"/>
      <c r="E29" s="30"/>
      <c r="F29" s="30">
        <f>SUM(F22:F28)</f>
        <v>0</v>
      </c>
      <c r="G29" s="30">
        <f>SUM(G22:G28)</f>
        <v>0</v>
      </c>
      <c r="H29" s="30"/>
      <c r="I29" s="30"/>
      <c r="J29" s="31">
        <f>SUM(J22:J28)</f>
        <v>0</v>
      </c>
      <c r="M29" s="28"/>
      <c r="N29" s="28"/>
      <c r="O29" s="28"/>
      <c r="Q29" s="52"/>
    </row>
    <row r="30" spans="2:17" ht="15" thickTop="1" x14ac:dyDescent="0.35">
      <c r="M30" s="28"/>
      <c r="N30" s="28"/>
      <c r="O30" s="28"/>
      <c r="Q30" s="52"/>
    </row>
    <row r="31" spans="2:17" x14ac:dyDescent="0.35">
      <c r="M31" s="28"/>
      <c r="N31" s="28"/>
      <c r="O31" s="28"/>
      <c r="Q31" s="52"/>
    </row>
    <row r="32" spans="2:17" x14ac:dyDescent="0.35">
      <c r="B32" s="43" t="s">
        <v>22</v>
      </c>
      <c r="C32" s="32"/>
      <c r="M32" s="28"/>
      <c r="N32" s="28"/>
      <c r="O32" s="28"/>
      <c r="Q32" s="52"/>
    </row>
    <row r="33" spans="1:17" x14ac:dyDescent="0.35">
      <c r="B33" s="43"/>
      <c r="C33" s="32"/>
      <c r="M33" s="28"/>
      <c r="N33" s="28"/>
      <c r="O33" s="28"/>
      <c r="Q33" s="52"/>
    </row>
    <row r="34" spans="1:17" x14ac:dyDescent="0.35">
      <c r="B34" s="43" t="s">
        <v>23</v>
      </c>
      <c r="C34" s="32"/>
      <c r="M34" s="28"/>
      <c r="N34" s="28"/>
      <c r="O34" s="28"/>
      <c r="Q34" s="52"/>
    </row>
    <row r="35" spans="1:17" x14ac:dyDescent="0.35">
      <c r="A35" s="33" t="s">
        <v>20</v>
      </c>
      <c r="B35" s="32" t="s">
        <v>35</v>
      </c>
      <c r="M35" s="28"/>
      <c r="N35" s="28"/>
      <c r="O35" s="28"/>
      <c r="Q35" s="52"/>
    </row>
    <row r="36" spans="1:17" x14ac:dyDescent="0.35">
      <c r="A36" s="33" t="s">
        <v>76</v>
      </c>
      <c r="B36" s="32" t="s">
        <v>34</v>
      </c>
      <c r="M36" s="28"/>
      <c r="N36" s="28"/>
      <c r="O36" s="28"/>
      <c r="Q36" s="52"/>
    </row>
    <row r="37" spans="1:17" x14ac:dyDescent="0.35">
      <c r="B37" s="44"/>
      <c r="C37" s="32"/>
      <c r="M37" s="28"/>
      <c r="N37" s="28"/>
      <c r="O37" s="28"/>
      <c r="Q37" s="52"/>
    </row>
    <row r="38" spans="1:17" x14ac:dyDescent="0.35">
      <c r="B38" s="43" t="s">
        <v>24</v>
      </c>
      <c r="C38" s="32"/>
      <c r="M38" s="28"/>
      <c r="N38" s="28"/>
      <c r="O38" s="28"/>
      <c r="Q38" s="52"/>
    </row>
    <row r="39" spans="1:17" x14ac:dyDescent="0.35">
      <c r="B39" s="44" t="s">
        <v>79</v>
      </c>
      <c r="C39" s="32"/>
      <c r="M39" s="28"/>
      <c r="N39" s="28"/>
      <c r="O39" s="28"/>
      <c r="Q39" s="52"/>
    </row>
    <row r="40" spans="1:17" x14ac:dyDescent="0.35">
      <c r="B40" s="44"/>
      <c r="C40" s="32"/>
      <c r="M40" s="28"/>
      <c r="N40" s="28"/>
      <c r="O40" s="28"/>
      <c r="Q40" s="52"/>
    </row>
    <row r="41" spans="1:17" x14ac:dyDescent="0.35">
      <c r="B41" s="43" t="s">
        <v>25</v>
      </c>
      <c r="C41" s="32"/>
      <c r="M41" s="28"/>
      <c r="N41" s="28"/>
      <c r="O41" s="28"/>
      <c r="Q41" s="52"/>
    </row>
    <row r="42" spans="1:17" x14ac:dyDescent="0.35">
      <c r="B42" s="44" t="s">
        <v>26</v>
      </c>
      <c r="C42" s="32"/>
      <c r="M42" s="28"/>
      <c r="N42" s="28"/>
      <c r="O42" s="28"/>
      <c r="Q42" s="52"/>
    </row>
    <row r="43" spans="1:17" x14ac:dyDescent="0.35">
      <c r="B43" s="44"/>
      <c r="C43" s="32"/>
      <c r="M43" s="28"/>
      <c r="N43" s="28"/>
      <c r="O43" s="28"/>
      <c r="Q43" s="52"/>
    </row>
    <row r="44" spans="1:17" x14ac:dyDescent="0.35">
      <c r="B44" s="43" t="s">
        <v>27</v>
      </c>
      <c r="C44" s="32"/>
      <c r="M44" s="28"/>
      <c r="N44" s="28"/>
      <c r="O44" s="28"/>
      <c r="Q44" s="52"/>
    </row>
    <row r="45" spans="1:17" x14ac:dyDescent="0.35">
      <c r="A45" s="51" t="s">
        <v>68</v>
      </c>
      <c r="B45" s="45" t="s">
        <v>72</v>
      </c>
      <c r="C45" s="32"/>
      <c r="M45" s="28"/>
      <c r="N45" s="28"/>
      <c r="O45" s="28"/>
      <c r="Q45" s="52"/>
    </row>
    <row r="46" spans="1:17" x14ac:dyDescent="0.35">
      <c r="A46" s="51" t="s">
        <v>69</v>
      </c>
      <c r="B46" s="45" t="s">
        <v>73</v>
      </c>
      <c r="C46" s="32"/>
      <c r="M46" s="28"/>
      <c r="N46" s="28"/>
      <c r="O46" s="28"/>
      <c r="Q46" s="52"/>
    </row>
    <row r="47" spans="1:17" x14ac:dyDescent="0.35">
      <c r="A47" s="51" t="s">
        <v>70</v>
      </c>
      <c r="B47" s="45" t="s">
        <v>74</v>
      </c>
      <c r="C47" s="32"/>
      <c r="M47" s="28"/>
      <c r="N47" s="28"/>
      <c r="O47" s="28"/>
      <c r="Q47" s="52"/>
    </row>
    <row r="48" spans="1:17" x14ac:dyDescent="0.35">
      <c r="A48" s="51" t="s">
        <v>71</v>
      </c>
      <c r="B48" s="45" t="s">
        <v>75</v>
      </c>
      <c r="C48" s="32"/>
      <c r="M48" s="28"/>
      <c r="N48" s="28"/>
      <c r="O48" s="28"/>
      <c r="Q48" s="52"/>
    </row>
    <row r="49" spans="1:17" x14ac:dyDescent="0.35">
      <c r="B49" s="44"/>
      <c r="C49" s="32"/>
      <c r="M49" s="28"/>
      <c r="N49" s="28"/>
      <c r="O49" s="28"/>
      <c r="Q49" s="52"/>
    </row>
    <row r="50" spans="1:17" x14ac:dyDescent="0.35">
      <c r="B50" s="46" t="s">
        <v>28</v>
      </c>
      <c r="C50" s="32"/>
      <c r="M50" s="28"/>
      <c r="N50" s="28"/>
      <c r="O50" s="28"/>
      <c r="Q50" s="52"/>
    </row>
    <row r="51" spans="1:17" x14ac:dyDescent="0.35">
      <c r="B51" s="47" t="s">
        <v>29</v>
      </c>
      <c r="C51" s="32"/>
      <c r="M51" s="28"/>
      <c r="N51" s="28"/>
      <c r="O51" s="28"/>
      <c r="Q51" s="52"/>
    </row>
    <row r="52" spans="1:17" x14ac:dyDescent="0.35">
      <c r="B52" s="47" t="s">
        <v>30</v>
      </c>
      <c r="C52" s="32"/>
      <c r="M52" s="28"/>
      <c r="N52" s="28"/>
      <c r="O52" s="28"/>
      <c r="Q52" s="52"/>
    </row>
    <row r="53" spans="1:17" x14ac:dyDescent="0.35">
      <c r="B53" s="47" t="s">
        <v>31</v>
      </c>
      <c r="C53" s="32"/>
      <c r="M53" s="28"/>
      <c r="N53" s="28"/>
      <c r="O53" s="28"/>
      <c r="Q53" s="52"/>
    </row>
    <row r="54" spans="1:17" x14ac:dyDescent="0.35">
      <c r="B54" s="47"/>
      <c r="C54" s="32"/>
      <c r="M54" s="28"/>
      <c r="N54" s="28"/>
      <c r="O54" s="28"/>
      <c r="Q54" s="52"/>
    </row>
    <row r="55" spans="1:17" x14ac:dyDescent="0.35">
      <c r="B55" s="34" t="s">
        <v>50</v>
      </c>
      <c r="C55" s="32"/>
      <c r="M55" s="28"/>
      <c r="N55" s="28"/>
      <c r="O55" s="28"/>
      <c r="Q55" s="52"/>
    </row>
    <row r="56" spans="1:17" x14ac:dyDescent="0.35">
      <c r="A56" s="50" t="s">
        <v>13</v>
      </c>
      <c r="B56" s="32" t="s">
        <v>51</v>
      </c>
      <c r="M56" s="28"/>
      <c r="N56" s="28"/>
      <c r="O56" s="28"/>
      <c r="Q56" s="52"/>
    </row>
    <row r="57" spans="1:17" x14ac:dyDescent="0.35">
      <c r="A57" s="50" t="s">
        <v>14</v>
      </c>
      <c r="B57" s="32" t="s">
        <v>52</v>
      </c>
      <c r="M57" s="28"/>
      <c r="N57" s="28"/>
      <c r="O57" s="28"/>
      <c r="Q57" s="52"/>
    </row>
    <row r="58" spans="1:17" x14ac:dyDescent="0.35">
      <c r="A58" s="50" t="s">
        <v>5</v>
      </c>
      <c r="B58" s="32" t="s">
        <v>53</v>
      </c>
      <c r="M58" s="28"/>
      <c r="N58" s="28"/>
      <c r="O58" s="28"/>
      <c r="Q58" s="52"/>
    </row>
    <row r="59" spans="1:17" x14ac:dyDescent="0.35">
      <c r="B59" s="44"/>
      <c r="C59" s="32"/>
      <c r="M59" s="28"/>
      <c r="N59" s="28"/>
      <c r="O59" s="28"/>
      <c r="Q59" s="52"/>
    </row>
    <row r="60" spans="1:17" x14ac:dyDescent="0.35">
      <c r="B60" s="46" t="s">
        <v>32</v>
      </c>
      <c r="C60" s="32"/>
      <c r="M60" s="28"/>
      <c r="N60" s="28"/>
      <c r="O60" s="28"/>
      <c r="Q60" s="52"/>
    </row>
    <row r="61" spans="1:17" x14ac:dyDescent="0.35">
      <c r="B61" s="44" t="s">
        <v>77</v>
      </c>
      <c r="C61" s="64"/>
      <c r="D61" s="64"/>
      <c r="E61" s="64"/>
      <c r="F61" s="64"/>
      <c r="G61" s="64"/>
      <c r="H61" s="64"/>
      <c r="I61" s="35"/>
      <c r="M61" s="28"/>
      <c r="N61" s="28"/>
      <c r="O61" s="28"/>
      <c r="Q61" s="52"/>
    </row>
    <row r="62" spans="1:17" x14ac:dyDescent="0.35">
      <c r="B62" s="32" t="s">
        <v>78</v>
      </c>
      <c r="C62" s="64"/>
      <c r="D62" s="64"/>
      <c r="E62" s="64"/>
      <c r="F62" s="64"/>
      <c r="G62" s="64"/>
      <c r="H62" s="64"/>
      <c r="I62" s="35"/>
      <c r="M62" s="28"/>
      <c r="N62" s="28"/>
      <c r="O62" s="28"/>
      <c r="Q62" s="52"/>
    </row>
    <row r="63" spans="1:17" x14ac:dyDescent="0.35">
      <c r="C63" s="32"/>
      <c r="M63" s="28"/>
      <c r="N63" s="28"/>
      <c r="O63" s="28"/>
      <c r="Q63" s="52"/>
    </row>
    <row r="64" spans="1:17" x14ac:dyDescent="0.35">
      <c r="B64" s="43" t="s">
        <v>33</v>
      </c>
      <c r="C64" s="32"/>
      <c r="M64" s="28"/>
      <c r="N64" s="28"/>
      <c r="O64" s="28"/>
      <c r="Q64" s="52"/>
    </row>
    <row r="65" spans="1:17" x14ac:dyDescent="0.35">
      <c r="B65" s="48" t="s">
        <v>44</v>
      </c>
      <c r="C65" s="36"/>
      <c r="M65" s="28"/>
      <c r="N65" s="28"/>
      <c r="O65" s="28"/>
      <c r="Q65" s="52"/>
    </row>
    <row r="66" spans="1:17" x14ac:dyDescent="0.35">
      <c r="Q66" s="52"/>
    </row>
    <row r="67" spans="1:17" ht="3.75" customHeight="1" x14ac:dyDescent="0.35">
      <c r="A67" s="52"/>
      <c r="B67" s="65"/>
      <c r="C67" s="52"/>
      <c r="D67" s="52"/>
      <c r="E67" s="53"/>
      <c r="F67" s="54"/>
      <c r="G67" s="55"/>
      <c r="H67" s="56"/>
      <c r="I67" s="56"/>
      <c r="J67" s="55"/>
      <c r="K67" s="57"/>
      <c r="L67" s="58"/>
      <c r="M67" s="58"/>
      <c r="N67" s="58"/>
      <c r="O67" s="58"/>
      <c r="P67" s="52"/>
      <c r="Q67" s="52"/>
    </row>
  </sheetData>
  <mergeCells count="14">
    <mergeCell ref="F10:F11"/>
    <mergeCell ref="G10:G11"/>
    <mergeCell ref="B12:D12"/>
    <mergeCell ref="B10:B11"/>
    <mergeCell ref="C10:C11"/>
    <mergeCell ref="D10:D11"/>
    <mergeCell ref="E10:E11"/>
    <mergeCell ref="K4:M4"/>
    <mergeCell ref="K5:M5"/>
    <mergeCell ref="K6:M6"/>
    <mergeCell ref="K7:M7"/>
    <mergeCell ref="J10:J11"/>
    <mergeCell ref="K10:K11"/>
    <mergeCell ref="M10:O1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0"/>
  <sheetViews>
    <sheetView showGridLines="0" zoomScale="80" zoomScaleNormal="80" workbookViewId="0">
      <selection activeCell="A13" sqref="A13"/>
    </sheetView>
  </sheetViews>
  <sheetFormatPr baseColWidth="10" defaultColWidth="11.36328125" defaultRowHeight="14.5" x14ac:dyDescent="0.35"/>
  <cols>
    <col min="1" max="1" width="4.08984375" style="4" bestFit="1" customWidth="1"/>
    <col min="2" max="2" width="20" style="4" customWidth="1"/>
    <col min="3" max="3" width="38" style="4" customWidth="1"/>
    <col min="4" max="4" width="26" style="4" bestFit="1" customWidth="1"/>
    <col min="5" max="5" width="4.1796875" style="26" customWidth="1"/>
    <col min="6" max="6" width="11.36328125" style="27"/>
    <col min="7" max="7" width="11.6328125" style="18" bestFit="1" customWidth="1"/>
    <col min="8" max="8" width="8.81640625" style="18" customWidth="1"/>
    <col min="9" max="9" width="5.36328125" style="19" customWidth="1"/>
    <col min="10" max="10" width="5.90625" style="19" customWidth="1"/>
    <col min="11" max="11" width="6.90625" style="19" customWidth="1"/>
    <col min="12" max="12" width="7.81640625" style="19" bestFit="1" customWidth="1"/>
    <col min="13" max="13" width="13.6328125" style="18" customWidth="1"/>
    <col min="14" max="14" width="11.36328125" style="28"/>
    <col min="15" max="15" width="3.81640625" style="29" customWidth="1"/>
    <col min="16" max="18" width="5.36328125" style="29" customWidth="1"/>
    <col min="19" max="19" width="11.36328125" style="4"/>
    <col min="20" max="20" width="28.90625" style="4" bestFit="1" customWidth="1"/>
    <col min="21" max="21" width="54.6328125" style="4" bestFit="1" customWidth="1"/>
    <col min="22" max="22" width="21.36328125" style="4" bestFit="1" customWidth="1"/>
    <col min="23" max="33" width="11.36328125" style="4"/>
    <col min="34" max="36" width="5.81640625" style="4" customWidth="1"/>
    <col min="37" max="37" width="11.36328125" style="4"/>
    <col min="38" max="38" width="0.90625" style="4" customWidth="1"/>
    <col min="39" max="16384" width="11.36328125" style="4"/>
  </cols>
  <sheetData>
    <row r="1" spans="2:38" x14ac:dyDescent="0.35">
      <c r="AL1" s="52"/>
    </row>
    <row r="2" spans="2:38" x14ac:dyDescent="0.35">
      <c r="AL2" s="52"/>
    </row>
    <row r="3" spans="2:38" ht="13.5" x14ac:dyDescent="0.35">
      <c r="B3" s="1" t="s">
        <v>0</v>
      </c>
      <c r="C3" s="1"/>
      <c r="D3" s="2"/>
      <c r="E3" s="2"/>
      <c r="F3" s="3"/>
      <c r="G3" s="3"/>
      <c r="H3" s="3"/>
      <c r="I3" s="3"/>
      <c r="J3" s="3"/>
      <c r="K3" s="3"/>
      <c r="L3" s="3"/>
      <c r="M3" s="3"/>
      <c r="N3" s="3"/>
      <c r="O3" s="3"/>
      <c r="P3" s="3"/>
      <c r="Q3" s="3"/>
      <c r="R3" s="4"/>
      <c r="AL3" s="52"/>
    </row>
    <row r="4" spans="2:38" x14ac:dyDescent="0.35">
      <c r="B4" s="1" t="s">
        <v>1</v>
      </c>
      <c r="C4" s="5" t="str">
        <f>+'A.03.01-3'!C4</f>
        <v>HERDOÍZA CRESPO CONTRUCCIONES S.A.</v>
      </c>
      <c r="D4" s="3"/>
      <c r="E4" s="3"/>
      <c r="F4" s="3"/>
      <c r="G4" s="3"/>
      <c r="H4" s="3"/>
      <c r="I4" s="3"/>
      <c r="J4" s="3"/>
      <c r="K4" s="3"/>
      <c r="L4" s="3"/>
      <c r="O4" s="3"/>
      <c r="P4" s="4"/>
      <c r="Q4" s="4"/>
      <c r="R4" s="4"/>
      <c r="AD4" s="6" t="s">
        <v>2</v>
      </c>
      <c r="AE4" s="133">
        <v>43465</v>
      </c>
      <c r="AF4" s="133"/>
      <c r="AG4" s="133"/>
      <c r="AL4" s="52"/>
    </row>
    <row r="5" spans="2:38" x14ac:dyDescent="0.35">
      <c r="B5" s="1" t="s">
        <v>3</v>
      </c>
      <c r="C5" s="8" t="s">
        <v>88</v>
      </c>
      <c r="D5" s="3"/>
      <c r="E5" s="3"/>
      <c r="F5" s="3"/>
      <c r="G5" s="3"/>
      <c r="H5" s="3"/>
      <c r="I5" s="3"/>
      <c r="J5" s="3"/>
      <c r="K5" s="3"/>
      <c r="L5" s="3"/>
      <c r="O5" s="3"/>
      <c r="P5" s="4"/>
      <c r="Q5" s="4"/>
      <c r="R5" s="4"/>
      <c r="AD5" s="6" t="s">
        <v>4</v>
      </c>
      <c r="AE5" s="134" t="s">
        <v>91</v>
      </c>
      <c r="AF5" s="134"/>
      <c r="AG5" s="134"/>
      <c r="AL5" s="52"/>
    </row>
    <row r="6" spans="2:38" ht="15" customHeight="1" x14ac:dyDescent="0.35">
      <c r="E6" s="4"/>
      <c r="F6" s="4"/>
      <c r="G6" s="4"/>
      <c r="H6" s="4"/>
      <c r="I6" s="4"/>
      <c r="J6" s="4"/>
      <c r="K6" s="4"/>
      <c r="L6" s="4"/>
      <c r="O6" s="4"/>
      <c r="P6" s="4"/>
      <c r="Q6" s="4"/>
      <c r="R6" s="4"/>
      <c r="AD6" s="6" t="s">
        <v>36</v>
      </c>
      <c r="AE6" s="135" t="s">
        <v>85</v>
      </c>
      <c r="AF6" s="136"/>
      <c r="AG6" s="136"/>
      <c r="AL6" s="52"/>
    </row>
    <row r="7" spans="2:38" ht="27" x14ac:dyDescent="0.35">
      <c r="E7" s="4"/>
      <c r="F7" s="4"/>
      <c r="G7" s="4"/>
      <c r="H7" s="4"/>
      <c r="I7" s="4"/>
      <c r="J7" s="4"/>
      <c r="K7" s="4"/>
      <c r="L7" s="4"/>
      <c r="O7" s="4"/>
      <c r="P7" s="4"/>
      <c r="Q7" s="4"/>
      <c r="R7" s="4"/>
      <c r="AD7" s="6" t="s">
        <v>37</v>
      </c>
      <c r="AE7" s="136" t="s">
        <v>38</v>
      </c>
      <c r="AF7" s="136"/>
      <c r="AG7" s="136"/>
      <c r="AL7" s="52"/>
    </row>
    <row r="8" spans="2:38" ht="13.5" x14ac:dyDescent="0.35">
      <c r="B8" s="1" t="s">
        <v>40</v>
      </c>
      <c r="E8" s="4"/>
      <c r="F8" s="4"/>
      <c r="G8" s="4"/>
      <c r="H8" s="4"/>
      <c r="I8" s="4"/>
      <c r="J8" s="4"/>
      <c r="K8" s="4"/>
      <c r="L8" s="4"/>
      <c r="M8" s="4"/>
      <c r="N8" s="4"/>
      <c r="O8" s="4"/>
      <c r="P8" s="4"/>
      <c r="Q8" s="4"/>
      <c r="R8" s="4"/>
      <c r="AL8" s="52"/>
    </row>
    <row r="9" spans="2:38" ht="13.5" x14ac:dyDescent="0.35">
      <c r="B9" s="1"/>
      <c r="E9" s="4"/>
      <c r="F9" s="4"/>
      <c r="G9" s="4"/>
      <c r="H9" s="4"/>
      <c r="I9" s="4"/>
      <c r="J9" s="4"/>
      <c r="K9" s="4"/>
      <c r="L9" s="4"/>
      <c r="M9" s="4"/>
      <c r="N9" s="4"/>
      <c r="O9" s="4"/>
      <c r="P9" s="4"/>
      <c r="Q9" s="4"/>
      <c r="R9" s="4"/>
      <c r="AL9" s="52"/>
    </row>
    <row r="10" spans="2:38" ht="13.5" x14ac:dyDescent="0.35">
      <c r="B10" s="1" t="s">
        <v>57</v>
      </c>
      <c r="E10" s="4"/>
      <c r="F10" s="4"/>
      <c r="G10" s="4"/>
      <c r="H10" s="4"/>
      <c r="I10" s="4"/>
      <c r="J10" s="4"/>
      <c r="K10" s="4"/>
      <c r="L10" s="4"/>
      <c r="M10" s="4"/>
      <c r="N10" s="4"/>
      <c r="O10" s="4"/>
      <c r="P10" s="4"/>
      <c r="Q10" s="4"/>
      <c r="R10" s="4"/>
      <c r="T10" s="1" t="s">
        <v>64</v>
      </c>
      <c r="AL10" s="52"/>
    </row>
    <row r="11" spans="2:38" ht="8.25" customHeight="1" x14ac:dyDescent="0.35">
      <c r="E11" s="4"/>
      <c r="F11" s="4"/>
      <c r="G11" s="4"/>
      <c r="H11" s="4"/>
      <c r="I11" s="4"/>
      <c r="J11" s="4"/>
      <c r="K11" s="4"/>
      <c r="L11" s="4"/>
      <c r="M11" s="4"/>
      <c r="N11" s="4"/>
      <c r="O11" s="4"/>
      <c r="P11" s="4"/>
      <c r="Q11" s="4"/>
      <c r="R11" s="4"/>
      <c r="AL11" s="52"/>
    </row>
    <row r="12" spans="2:38" ht="15" customHeight="1" x14ac:dyDescent="0.35">
      <c r="B12" s="139" t="s">
        <v>15</v>
      </c>
      <c r="C12" s="131" t="s">
        <v>42</v>
      </c>
      <c r="D12" s="131" t="s">
        <v>17</v>
      </c>
      <c r="E12" s="131" t="s">
        <v>5</v>
      </c>
      <c r="F12" s="131" t="s">
        <v>6</v>
      </c>
      <c r="G12" s="131" t="s">
        <v>46</v>
      </c>
      <c r="H12" s="131" t="s">
        <v>47</v>
      </c>
      <c r="I12" s="11" t="s">
        <v>18</v>
      </c>
      <c r="J12" s="11"/>
      <c r="K12" s="11" t="s">
        <v>18</v>
      </c>
      <c r="L12" s="11"/>
      <c r="M12" s="131" t="s">
        <v>9</v>
      </c>
      <c r="N12" s="131" t="s">
        <v>10</v>
      </c>
      <c r="O12" s="4"/>
      <c r="P12" s="137" t="s">
        <v>12</v>
      </c>
      <c r="Q12" s="137"/>
      <c r="R12" s="137"/>
      <c r="T12" s="139" t="s">
        <v>15</v>
      </c>
      <c r="U12" s="131" t="s">
        <v>42</v>
      </c>
      <c r="V12" s="131" t="s">
        <v>17</v>
      </c>
      <c r="W12" s="131" t="s">
        <v>5</v>
      </c>
      <c r="X12" s="131" t="s">
        <v>6</v>
      </c>
      <c r="Y12" s="131" t="s">
        <v>46</v>
      </c>
      <c r="Z12" s="131" t="s">
        <v>47</v>
      </c>
      <c r="AA12" s="11" t="s">
        <v>18</v>
      </c>
      <c r="AB12" s="11"/>
      <c r="AC12" s="11" t="s">
        <v>18</v>
      </c>
      <c r="AD12" s="11"/>
      <c r="AE12" s="131" t="s">
        <v>9</v>
      </c>
      <c r="AF12" s="131" t="s">
        <v>10</v>
      </c>
      <c r="AH12" s="137" t="s">
        <v>12</v>
      </c>
      <c r="AI12" s="137"/>
      <c r="AJ12" s="137"/>
      <c r="AL12" s="52"/>
    </row>
    <row r="13" spans="2:38" ht="15" customHeight="1" x14ac:dyDescent="0.35">
      <c r="B13" s="140"/>
      <c r="C13" s="132"/>
      <c r="D13" s="132"/>
      <c r="E13" s="132"/>
      <c r="F13" s="132"/>
      <c r="G13" s="132"/>
      <c r="H13" s="132"/>
      <c r="I13" s="12" t="s">
        <v>43</v>
      </c>
      <c r="J13" s="12" t="s">
        <v>45</v>
      </c>
      <c r="K13" s="12" t="s">
        <v>43</v>
      </c>
      <c r="L13" s="12" t="s">
        <v>8</v>
      </c>
      <c r="M13" s="132" t="s">
        <v>9</v>
      </c>
      <c r="N13" s="132"/>
      <c r="O13" s="4"/>
      <c r="P13" s="13" t="s">
        <v>13</v>
      </c>
      <c r="Q13" s="13" t="s">
        <v>14</v>
      </c>
      <c r="R13" s="13" t="s">
        <v>5</v>
      </c>
      <c r="T13" s="140"/>
      <c r="U13" s="132"/>
      <c r="V13" s="132"/>
      <c r="W13" s="132"/>
      <c r="X13" s="132"/>
      <c r="Y13" s="132"/>
      <c r="Z13" s="132"/>
      <c r="AA13" s="12" t="s">
        <v>43</v>
      </c>
      <c r="AB13" s="12" t="s">
        <v>45</v>
      </c>
      <c r="AC13" s="12" t="s">
        <v>43</v>
      </c>
      <c r="AD13" s="12" t="s">
        <v>8</v>
      </c>
      <c r="AE13" s="132" t="s">
        <v>9</v>
      </c>
      <c r="AF13" s="132"/>
      <c r="AH13" s="13" t="s">
        <v>13</v>
      </c>
      <c r="AI13" s="13" t="s">
        <v>14</v>
      </c>
      <c r="AJ13" s="13" t="s">
        <v>5</v>
      </c>
      <c r="AL13" s="52"/>
    </row>
    <row r="14" spans="2:38" ht="13.5" x14ac:dyDescent="0.35">
      <c r="B14" s="138" t="s">
        <v>19</v>
      </c>
      <c r="C14" s="138"/>
      <c r="D14" s="138"/>
      <c r="E14" s="4"/>
      <c r="F14" s="4"/>
      <c r="G14" s="4"/>
      <c r="H14" s="4"/>
      <c r="I14" s="14" t="s">
        <v>20</v>
      </c>
      <c r="J14" s="14"/>
      <c r="K14" s="14" t="s">
        <v>20</v>
      </c>
      <c r="L14" s="14"/>
      <c r="M14" s="4"/>
      <c r="N14" s="4"/>
      <c r="O14" s="4"/>
      <c r="P14" s="4"/>
      <c r="Q14" s="4"/>
      <c r="R14" s="4"/>
      <c r="T14" s="138" t="s">
        <v>19</v>
      </c>
      <c r="U14" s="138"/>
      <c r="V14" s="138"/>
      <c r="AA14" s="14" t="s">
        <v>20</v>
      </c>
      <c r="AB14" s="14"/>
      <c r="AC14" s="14" t="s">
        <v>20</v>
      </c>
      <c r="AD14" s="14"/>
      <c r="AL14" s="52"/>
    </row>
    <row r="15" spans="2:38" x14ac:dyDescent="0.35">
      <c r="B15" s="37" t="s">
        <v>58</v>
      </c>
      <c r="C15" s="4" t="s">
        <v>48</v>
      </c>
      <c r="D15" s="51" t="s">
        <v>67</v>
      </c>
      <c r="E15" s="16" t="s">
        <v>11</v>
      </c>
      <c r="F15" s="27">
        <v>43096</v>
      </c>
      <c r="G15" s="18">
        <v>77142.899999999994</v>
      </c>
      <c r="H15" s="18">
        <v>9257.15</v>
      </c>
      <c r="I15" s="19">
        <v>0.01</v>
      </c>
      <c r="J15" s="18">
        <f>+G15*I15</f>
        <v>771.42899999999997</v>
      </c>
      <c r="K15" s="19">
        <v>0.3</v>
      </c>
      <c r="L15" s="18">
        <f>+H15*K15</f>
        <v>2777.145</v>
      </c>
      <c r="M15" s="18">
        <f>+J15+L15</f>
        <v>3548.5740000000001</v>
      </c>
      <c r="N15" s="20" t="s">
        <v>11</v>
      </c>
      <c r="O15" s="21"/>
      <c r="P15" s="20" t="s">
        <v>11</v>
      </c>
      <c r="Q15" s="20" t="s">
        <v>11</v>
      </c>
      <c r="R15" s="20" t="s">
        <v>11</v>
      </c>
      <c r="S15" s="66"/>
      <c r="T15" s="37"/>
      <c r="V15" s="51"/>
      <c r="W15" s="16" t="s">
        <v>11</v>
      </c>
      <c r="X15" s="27"/>
      <c r="Y15" s="18"/>
      <c r="Z15" s="18"/>
      <c r="AA15" s="19"/>
      <c r="AB15" s="18"/>
      <c r="AC15" s="19"/>
      <c r="AD15" s="18"/>
      <c r="AE15" s="18">
        <f>+AB15+AD15</f>
        <v>0</v>
      </c>
      <c r="AF15" s="20" t="s">
        <v>11</v>
      </c>
      <c r="AG15" s="21"/>
      <c r="AH15" s="20" t="s">
        <v>11</v>
      </c>
      <c r="AI15" s="20" t="s">
        <v>11</v>
      </c>
      <c r="AJ15" s="20" t="s">
        <v>11</v>
      </c>
      <c r="AL15" s="52"/>
    </row>
    <row r="16" spans="2:38" x14ac:dyDescent="0.35">
      <c r="B16" s="37"/>
      <c r="E16" s="16"/>
      <c r="J16" s="18"/>
      <c r="L16" s="18"/>
      <c r="N16" s="20"/>
      <c r="O16" s="21"/>
      <c r="P16" s="20"/>
      <c r="Q16" s="20"/>
      <c r="R16" s="20"/>
      <c r="T16" s="37"/>
      <c r="V16" s="51"/>
      <c r="W16" s="16" t="s">
        <v>11</v>
      </c>
      <c r="X16" s="27"/>
      <c r="Y16" s="18"/>
      <c r="Z16" s="18"/>
      <c r="AA16" s="19"/>
      <c r="AB16" s="18"/>
      <c r="AC16" s="19"/>
      <c r="AD16" s="18"/>
      <c r="AE16" s="18">
        <f>+AB16+AD16</f>
        <v>0</v>
      </c>
      <c r="AF16" s="20" t="s">
        <v>11</v>
      </c>
      <c r="AG16" s="21"/>
      <c r="AH16" s="20" t="s">
        <v>11</v>
      </c>
      <c r="AI16" s="20" t="s">
        <v>11</v>
      </c>
      <c r="AJ16" s="20" t="s">
        <v>11</v>
      </c>
      <c r="AL16" s="52"/>
    </row>
    <row r="17" spans="2:38" x14ac:dyDescent="0.35">
      <c r="B17" s="37"/>
      <c r="E17" s="16"/>
      <c r="J17" s="18"/>
      <c r="L17" s="18"/>
      <c r="N17" s="20"/>
      <c r="O17" s="21"/>
      <c r="P17" s="20"/>
      <c r="Q17" s="20"/>
      <c r="R17" s="20"/>
      <c r="T17" s="37"/>
      <c r="V17" s="51"/>
      <c r="W17" s="16" t="s">
        <v>11</v>
      </c>
      <c r="X17" s="27"/>
      <c r="Y17" s="18"/>
      <c r="Z17" s="18"/>
      <c r="AA17" s="19"/>
      <c r="AB17" s="18"/>
      <c r="AC17" s="19"/>
      <c r="AD17" s="18"/>
      <c r="AE17" s="18">
        <f>+AB17+AD17</f>
        <v>0</v>
      </c>
      <c r="AF17" s="20" t="s">
        <v>11</v>
      </c>
      <c r="AG17" s="21"/>
      <c r="AH17" s="20" t="s">
        <v>11</v>
      </c>
      <c r="AI17" s="20" t="s">
        <v>11</v>
      </c>
      <c r="AJ17" s="20" t="s">
        <v>11</v>
      </c>
      <c r="AL17" s="52"/>
    </row>
    <row r="18" spans="2:38" x14ac:dyDescent="0.35">
      <c r="B18" s="37"/>
      <c r="E18" s="16"/>
      <c r="J18" s="18"/>
      <c r="L18" s="18"/>
      <c r="N18" s="20"/>
      <c r="O18" s="21"/>
      <c r="P18" s="20"/>
      <c r="Q18" s="20"/>
      <c r="R18" s="20"/>
      <c r="T18" s="37"/>
      <c r="V18" s="51"/>
      <c r="W18" s="16" t="s">
        <v>11</v>
      </c>
      <c r="X18" s="27"/>
      <c r="Y18" s="18"/>
      <c r="Z18" s="18"/>
      <c r="AA18" s="19"/>
      <c r="AB18" s="18"/>
      <c r="AC18" s="19"/>
      <c r="AD18" s="18"/>
      <c r="AE18" s="18">
        <f>+AB18+AD18</f>
        <v>0</v>
      </c>
      <c r="AF18" s="20" t="s">
        <v>11</v>
      </c>
      <c r="AG18" s="21"/>
      <c r="AH18" s="20" t="s">
        <v>11</v>
      </c>
      <c r="AI18" s="20" t="s">
        <v>11</v>
      </c>
      <c r="AJ18" s="20" t="s">
        <v>11</v>
      </c>
      <c r="AL18" s="52"/>
    </row>
    <row r="19" spans="2:38" x14ac:dyDescent="0.35">
      <c r="B19" s="37"/>
      <c r="E19" s="16"/>
      <c r="J19" s="18"/>
      <c r="L19" s="18"/>
      <c r="N19" s="20"/>
      <c r="O19" s="21"/>
      <c r="P19" s="20"/>
      <c r="Q19" s="20"/>
      <c r="R19" s="20"/>
      <c r="T19" s="37"/>
      <c r="V19" s="51"/>
      <c r="W19" s="16" t="s">
        <v>11</v>
      </c>
      <c r="X19" s="27"/>
      <c r="Y19" s="18"/>
      <c r="Z19" s="18"/>
      <c r="AA19" s="19"/>
      <c r="AB19" s="18"/>
      <c r="AC19" s="19"/>
      <c r="AD19" s="18"/>
      <c r="AE19" s="18">
        <f>+AB19+AD19</f>
        <v>0</v>
      </c>
      <c r="AF19" s="20" t="s">
        <v>11</v>
      </c>
      <c r="AG19" s="21"/>
      <c r="AH19" s="20" t="s">
        <v>11</v>
      </c>
      <c r="AI19" s="20" t="s">
        <v>11</v>
      </c>
      <c r="AJ19" s="20" t="s">
        <v>11</v>
      </c>
      <c r="AL19" s="52"/>
    </row>
    <row r="20" spans="2:38" ht="10.5" customHeight="1" x14ac:dyDescent="0.35">
      <c r="P20" s="28"/>
      <c r="Q20" s="28"/>
      <c r="R20" s="28"/>
      <c r="W20" s="26"/>
      <c r="X20" s="27"/>
      <c r="Y20" s="18"/>
      <c r="Z20" s="18"/>
      <c r="AA20" s="19"/>
      <c r="AB20" s="19"/>
      <c r="AC20" s="19"/>
      <c r="AD20" s="19"/>
      <c r="AE20" s="18"/>
      <c r="AF20" s="28"/>
      <c r="AG20" s="29"/>
      <c r="AH20" s="28"/>
      <c r="AI20" s="28"/>
      <c r="AJ20" s="28"/>
      <c r="AL20" s="52"/>
    </row>
    <row r="21" spans="2:38" ht="15" thickBot="1" x14ac:dyDescent="0.4">
      <c r="B21" s="30"/>
      <c r="C21" s="30"/>
      <c r="D21" s="30"/>
      <c r="E21" s="30"/>
      <c r="F21" s="30"/>
      <c r="G21" s="30">
        <f>SUM(G15:G20)</f>
        <v>77142.899999999994</v>
      </c>
      <c r="H21" s="30"/>
      <c r="I21" s="30"/>
      <c r="J21" s="30"/>
      <c r="K21" s="30"/>
      <c r="L21" s="30"/>
      <c r="M21" s="30">
        <f>SUM(M15:M20)</f>
        <v>3548.5740000000001</v>
      </c>
      <c r="P21" s="28"/>
      <c r="Q21" s="28"/>
      <c r="R21" s="28"/>
      <c r="T21" s="30"/>
      <c r="U21" s="30"/>
      <c r="V21" s="30"/>
      <c r="W21" s="30"/>
      <c r="X21" s="30"/>
      <c r="Y21" s="30">
        <f>SUM(Y15:Y20)</f>
        <v>0</v>
      </c>
      <c r="Z21" s="30"/>
      <c r="AA21" s="30"/>
      <c r="AB21" s="30"/>
      <c r="AC21" s="30"/>
      <c r="AD21" s="30"/>
      <c r="AE21" s="30">
        <f>SUM(AE15:AE20)</f>
        <v>0</v>
      </c>
      <c r="AF21" s="28"/>
      <c r="AG21" s="29"/>
      <c r="AH21" s="28"/>
      <c r="AI21" s="28"/>
      <c r="AJ21" s="28"/>
      <c r="AL21" s="52"/>
    </row>
    <row r="22" spans="2:38" ht="15" thickTop="1" x14ac:dyDescent="0.35">
      <c r="P22" s="28"/>
      <c r="Q22" s="28"/>
      <c r="R22" s="28"/>
      <c r="W22" s="26"/>
      <c r="X22" s="27"/>
      <c r="Y22" s="18"/>
      <c r="Z22" s="18"/>
      <c r="AA22" s="19"/>
      <c r="AB22" s="19"/>
      <c r="AC22" s="19"/>
      <c r="AD22" s="19"/>
      <c r="AE22" s="18"/>
      <c r="AF22" s="28"/>
      <c r="AG22" s="29"/>
      <c r="AH22" s="28"/>
      <c r="AI22" s="28"/>
      <c r="AJ22" s="28"/>
      <c r="AL22" s="52"/>
    </row>
    <row r="23" spans="2:38" x14ac:dyDescent="0.35">
      <c r="B23" s="1" t="s">
        <v>41</v>
      </c>
      <c r="P23" s="28"/>
      <c r="Q23" s="28"/>
      <c r="R23" s="28"/>
      <c r="T23" s="1" t="s">
        <v>41</v>
      </c>
      <c r="W23" s="26"/>
      <c r="X23" s="27"/>
      <c r="Y23" s="18"/>
      <c r="Z23" s="18"/>
      <c r="AA23" s="19"/>
      <c r="AB23" s="19"/>
      <c r="AC23" s="19"/>
      <c r="AD23" s="19"/>
      <c r="AE23" s="18"/>
      <c r="AF23" s="28"/>
      <c r="AG23" s="29"/>
      <c r="AH23" s="28"/>
      <c r="AI23" s="28"/>
      <c r="AJ23" s="28"/>
      <c r="AL23" s="52"/>
    </row>
    <row r="24" spans="2:38" x14ac:dyDescent="0.35">
      <c r="E24" s="16"/>
      <c r="P24" s="28"/>
      <c r="Q24" s="28"/>
      <c r="R24" s="28"/>
      <c r="W24" s="16"/>
      <c r="X24" s="27"/>
      <c r="Y24" s="18"/>
      <c r="Z24" s="18"/>
      <c r="AA24" s="19"/>
      <c r="AB24" s="18"/>
      <c r="AC24" s="19"/>
      <c r="AD24" s="18"/>
      <c r="AE24" s="18"/>
      <c r="AF24" s="20"/>
      <c r="AG24" s="21"/>
      <c r="AH24" s="20"/>
      <c r="AI24" s="20"/>
      <c r="AJ24" s="20"/>
      <c r="AL24" s="52"/>
    </row>
    <row r="25" spans="2:38" x14ac:dyDescent="0.35">
      <c r="B25" s="62" t="s">
        <v>59</v>
      </c>
      <c r="C25" s="61">
        <v>0</v>
      </c>
      <c r="D25" s="61">
        <v>0</v>
      </c>
      <c r="E25" s="16" t="s">
        <v>11</v>
      </c>
      <c r="F25" s="61">
        <v>0</v>
      </c>
      <c r="G25" s="61">
        <v>0</v>
      </c>
      <c r="H25" s="61">
        <v>0</v>
      </c>
      <c r="I25" s="61">
        <v>0</v>
      </c>
      <c r="J25" s="61">
        <v>0</v>
      </c>
      <c r="K25" s="61">
        <v>0</v>
      </c>
      <c r="L25" s="61">
        <v>0</v>
      </c>
      <c r="M25" s="61">
        <v>0</v>
      </c>
      <c r="N25" s="61">
        <v>0</v>
      </c>
      <c r="O25" s="21"/>
      <c r="P25" s="20">
        <v>0</v>
      </c>
      <c r="Q25" s="20">
        <v>0</v>
      </c>
      <c r="R25" s="20">
        <v>0</v>
      </c>
      <c r="S25" s="66"/>
      <c r="T25" s="62"/>
      <c r="U25" s="51"/>
      <c r="V25" s="51"/>
      <c r="W25" s="16" t="s">
        <v>11</v>
      </c>
      <c r="X25" s="27"/>
      <c r="Y25" s="18"/>
      <c r="Z25" s="18"/>
      <c r="AA25" s="19"/>
      <c r="AB25" s="18"/>
      <c r="AC25" s="19"/>
      <c r="AD25" s="18"/>
      <c r="AE25" s="18">
        <f t="shared" ref="AE25:AE29" si="0">+AB25+AD25</f>
        <v>0</v>
      </c>
      <c r="AF25" s="20" t="s">
        <v>11</v>
      </c>
      <c r="AG25" s="21"/>
      <c r="AH25" s="20" t="s">
        <v>11</v>
      </c>
      <c r="AI25" s="20" t="s">
        <v>11</v>
      </c>
      <c r="AJ25" s="20" t="s">
        <v>11</v>
      </c>
      <c r="AL25" s="52"/>
    </row>
    <row r="26" spans="2:38" x14ac:dyDescent="0.35">
      <c r="B26" s="62" t="s">
        <v>60</v>
      </c>
      <c r="C26" s="61">
        <v>0</v>
      </c>
      <c r="D26" s="61">
        <v>0</v>
      </c>
      <c r="E26" s="16" t="s">
        <v>11</v>
      </c>
      <c r="F26" s="61">
        <v>0</v>
      </c>
      <c r="G26" s="61">
        <v>0</v>
      </c>
      <c r="H26" s="61">
        <v>0</v>
      </c>
      <c r="I26" s="61">
        <v>0</v>
      </c>
      <c r="J26" s="61">
        <v>0</v>
      </c>
      <c r="K26" s="61">
        <v>0</v>
      </c>
      <c r="L26" s="61">
        <v>0</v>
      </c>
      <c r="M26" s="61">
        <v>0</v>
      </c>
      <c r="N26" s="61">
        <v>0</v>
      </c>
      <c r="O26" s="21"/>
      <c r="P26" s="20">
        <v>0</v>
      </c>
      <c r="Q26" s="20">
        <v>0</v>
      </c>
      <c r="R26" s="20">
        <v>0</v>
      </c>
      <c r="T26" s="62"/>
      <c r="U26" s="51"/>
      <c r="V26" s="51"/>
      <c r="W26" s="16" t="s">
        <v>11</v>
      </c>
      <c r="X26" s="27"/>
      <c r="Y26" s="18"/>
      <c r="Z26" s="18"/>
      <c r="AA26" s="19"/>
      <c r="AB26" s="18"/>
      <c r="AC26" s="19"/>
      <c r="AD26" s="18"/>
      <c r="AE26" s="18">
        <f t="shared" si="0"/>
        <v>0</v>
      </c>
      <c r="AF26" s="20" t="s">
        <v>11</v>
      </c>
      <c r="AG26" s="21"/>
      <c r="AH26" s="20" t="s">
        <v>11</v>
      </c>
      <c r="AI26" s="20" t="s">
        <v>11</v>
      </c>
      <c r="AJ26" s="20" t="s">
        <v>11</v>
      </c>
      <c r="AL26" s="52"/>
    </row>
    <row r="27" spans="2:38" x14ac:dyDescent="0.35">
      <c r="B27" s="62" t="s">
        <v>61</v>
      </c>
      <c r="C27" s="61">
        <v>0</v>
      </c>
      <c r="D27" s="61">
        <v>0</v>
      </c>
      <c r="E27" s="16" t="s">
        <v>11</v>
      </c>
      <c r="F27" s="61">
        <v>0</v>
      </c>
      <c r="G27" s="61">
        <v>0</v>
      </c>
      <c r="H27" s="61">
        <v>0</v>
      </c>
      <c r="I27" s="61">
        <v>0</v>
      </c>
      <c r="J27" s="61">
        <v>0</v>
      </c>
      <c r="K27" s="61">
        <v>0</v>
      </c>
      <c r="L27" s="61">
        <v>0</v>
      </c>
      <c r="M27" s="61">
        <v>0</v>
      </c>
      <c r="N27" s="61">
        <v>0</v>
      </c>
      <c r="O27" s="21"/>
      <c r="P27" s="20">
        <v>0</v>
      </c>
      <c r="Q27" s="20">
        <v>0</v>
      </c>
      <c r="R27" s="20">
        <v>0</v>
      </c>
      <c r="T27" s="62"/>
      <c r="U27" s="51"/>
      <c r="V27" s="51"/>
      <c r="W27" s="16" t="s">
        <v>11</v>
      </c>
      <c r="X27" s="27"/>
      <c r="Y27" s="18"/>
      <c r="Z27" s="18"/>
      <c r="AA27" s="19"/>
      <c r="AB27" s="18"/>
      <c r="AC27" s="19"/>
      <c r="AD27" s="18"/>
      <c r="AE27" s="18">
        <f t="shared" si="0"/>
        <v>0</v>
      </c>
      <c r="AF27" s="20" t="s">
        <v>11</v>
      </c>
      <c r="AG27" s="21"/>
      <c r="AH27" s="20" t="s">
        <v>11</v>
      </c>
      <c r="AI27" s="20" t="s">
        <v>11</v>
      </c>
      <c r="AJ27" s="20" t="s">
        <v>11</v>
      </c>
      <c r="AL27" s="52"/>
    </row>
    <row r="28" spans="2:38" x14ac:dyDescent="0.35">
      <c r="B28" s="62" t="s">
        <v>62</v>
      </c>
      <c r="C28" s="61">
        <v>0</v>
      </c>
      <c r="D28" s="61">
        <v>0</v>
      </c>
      <c r="E28" s="16" t="s">
        <v>11</v>
      </c>
      <c r="F28" s="61">
        <v>0</v>
      </c>
      <c r="G28" s="61">
        <v>0</v>
      </c>
      <c r="H28" s="61">
        <v>0</v>
      </c>
      <c r="I28" s="61">
        <v>0</v>
      </c>
      <c r="J28" s="61">
        <v>0</v>
      </c>
      <c r="K28" s="61">
        <v>0</v>
      </c>
      <c r="L28" s="61">
        <v>0</v>
      </c>
      <c r="M28" s="61">
        <v>0</v>
      </c>
      <c r="N28" s="61">
        <v>0</v>
      </c>
      <c r="O28" s="21"/>
      <c r="P28" s="20">
        <v>0</v>
      </c>
      <c r="Q28" s="20">
        <v>0</v>
      </c>
      <c r="R28" s="20">
        <v>0</v>
      </c>
      <c r="T28" s="62"/>
      <c r="U28" s="51"/>
      <c r="V28" s="51"/>
      <c r="W28" s="16" t="s">
        <v>11</v>
      </c>
      <c r="X28" s="27"/>
      <c r="Y28" s="18"/>
      <c r="Z28" s="18"/>
      <c r="AA28" s="19"/>
      <c r="AB28" s="18"/>
      <c r="AC28" s="19"/>
      <c r="AD28" s="18"/>
      <c r="AE28" s="18">
        <f t="shared" si="0"/>
        <v>0</v>
      </c>
      <c r="AF28" s="20" t="s">
        <v>11</v>
      </c>
      <c r="AG28" s="21"/>
      <c r="AH28" s="20" t="s">
        <v>11</v>
      </c>
      <c r="AI28" s="20" t="s">
        <v>11</v>
      </c>
      <c r="AJ28" s="20" t="s">
        <v>11</v>
      </c>
      <c r="AL28" s="52"/>
    </row>
    <row r="29" spans="2:38" x14ac:dyDescent="0.35">
      <c r="B29" s="62" t="s">
        <v>63</v>
      </c>
      <c r="C29" s="61">
        <v>0</v>
      </c>
      <c r="D29" s="61">
        <v>0</v>
      </c>
      <c r="E29" s="16" t="s">
        <v>11</v>
      </c>
      <c r="F29" s="61">
        <v>0</v>
      </c>
      <c r="G29" s="61">
        <v>0</v>
      </c>
      <c r="H29" s="61">
        <v>0</v>
      </c>
      <c r="I29" s="61">
        <v>0</v>
      </c>
      <c r="J29" s="61">
        <v>0</v>
      </c>
      <c r="K29" s="61">
        <v>0</v>
      </c>
      <c r="L29" s="61">
        <v>0</v>
      </c>
      <c r="M29" s="61">
        <v>0</v>
      </c>
      <c r="N29" s="61">
        <v>0</v>
      </c>
      <c r="O29" s="21"/>
      <c r="P29" s="20">
        <v>0</v>
      </c>
      <c r="Q29" s="20">
        <v>0</v>
      </c>
      <c r="R29" s="20">
        <v>0</v>
      </c>
      <c r="T29" s="62"/>
      <c r="U29" s="51"/>
      <c r="V29" s="51"/>
      <c r="W29" s="16" t="s">
        <v>11</v>
      </c>
      <c r="X29" s="27"/>
      <c r="Y29" s="18"/>
      <c r="Z29" s="18"/>
      <c r="AA29" s="19"/>
      <c r="AB29" s="18"/>
      <c r="AC29" s="19"/>
      <c r="AD29" s="18"/>
      <c r="AE29" s="18">
        <f t="shared" si="0"/>
        <v>0</v>
      </c>
      <c r="AF29" s="20" t="s">
        <v>11</v>
      </c>
      <c r="AG29" s="21"/>
      <c r="AH29" s="20" t="s">
        <v>11</v>
      </c>
      <c r="AI29" s="20" t="s">
        <v>11</v>
      </c>
      <c r="AJ29" s="20" t="s">
        <v>11</v>
      </c>
      <c r="AL29" s="52"/>
    </row>
    <row r="30" spans="2:38" x14ac:dyDescent="0.35">
      <c r="P30" s="28"/>
      <c r="Q30" s="28"/>
      <c r="R30" s="28"/>
      <c r="W30" s="26"/>
      <c r="X30" s="27"/>
      <c r="Y30" s="18"/>
      <c r="Z30" s="18"/>
      <c r="AA30" s="19"/>
      <c r="AB30" s="19"/>
      <c r="AC30" s="19"/>
      <c r="AD30" s="19"/>
      <c r="AE30" s="18"/>
      <c r="AF30" s="28"/>
      <c r="AG30" s="29"/>
      <c r="AH30" s="28"/>
      <c r="AI30" s="28"/>
      <c r="AJ30" s="28"/>
      <c r="AL30" s="52"/>
    </row>
    <row r="31" spans="2:38" ht="15" thickBot="1" x14ac:dyDescent="0.4">
      <c r="B31" s="30"/>
      <c r="C31" s="30"/>
      <c r="D31" s="30"/>
      <c r="E31" s="30"/>
      <c r="F31" s="30"/>
      <c r="G31" s="30">
        <f>SUM(G25:G29)</f>
        <v>0</v>
      </c>
      <c r="H31" s="30"/>
      <c r="I31" s="30"/>
      <c r="J31" s="30"/>
      <c r="K31" s="30"/>
      <c r="L31" s="30"/>
      <c r="M31" s="30">
        <f>SUM(M25:M29)</f>
        <v>0</v>
      </c>
      <c r="P31" s="28"/>
      <c r="Q31" s="28"/>
      <c r="R31" s="28"/>
      <c r="T31" s="30"/>
      <c r="U31" s="30"/>
      <c r="V31" s="30"/>
      <c r="W31" s="30"/>
      <c r="X31" s="30"/>
      <c r="Y31" s="30">
        <f>SUM(Y25:Y29)</f>
        <v>0</v>
      </c>
      <c r="Z31" s="30"/>
      <c r="AA31" s="30"/>
      <c r="AB31" s="30"/>
      <c r="AC31" s="30"/>
      <c r="AD31" s="30"/>
      <c r="AE31" s="30">
        <f>SUM(AE25:AE29)</f>
        <v>0</v>
      </c>
      <c r="AF31" s="28"/>
      <c r="AG31" s="29"/>
      <c r="AH31" s="28"/>
      <c r="AI31" s="28"/>
      <c r="AJ31" s="28"/>
      <c r="AL31" s="52"/>
    </row>
    <row r="32" spans="2:38" ht="15" thickTop="1" x14ac:dyDescent="0.35">
      <c r="P32" s="28"/>
      <c r="Q32" s="28"/>
      <c r="R32" s="28"/>
      <c r="AL32" s="52"/>
    </row>
    <row r="33" spans="2:38" x14ac:dyDescent="0.35">
      <c r="P33" s="28"/>
      <c r="Q33" s="28"/>
      <c r="R33" s="28"/>
      <c r="AL33" s="52"/>
    </row>
    <row r="34" spans="2:38" ht="13.5" x14ac:dyDescent="0.35">
      <c r="B34" s="1" t="s">
        <v>65</v>
      </c>
      <c r="E34" s="4"/>
      <c r="F34" s="4"/>
      <c r="G34" s="4"/>
      <c r="H34" s="4"/>
      <c r="I34" s="4"/>
      <c r="J34" s="4"/>
      <c r="K34" s="4"/>
      <c r="L34" s="4"/>
      <c r="M34" s="4"/>
      <c r="N34" s="4"/>
      <c r="O34" s="4"/>
      <c r="P34" s="4"/>
      <c r="Q34" s="4"/>
      <c r="R34" s="4"/>
      <c r="T34" s="1" t="s">
        <v>66</v>
      </c>
      <c r="AL34" s="52"/>
    </row>
    <row r="35" spans="2:38" ht="13.5" x14ac:dyDescent="0.35">
      <c r="E35" s="4"/>
      <c r="F35" s="4"/>
      <c r="G35" s="4"/>
      <c r="H35" s="4"/>
      <c r="I35" s="4"/>
      <c r="J35" s="4"/>
      <c r="K35" s="4"/>
      <c r="L35" s="4"/>
      <c r="M35" s="4"/>
      <c r="N35" s="4"/>
      <c r="O35" s="4"/>
      <c r="P35" s="4"/>
      <c r="Q35" s="4"/>
      <c r="R35" s="4"/>
      <c r="AL35" s="52"/>
    </row>
    <row r="36" spans="2:38" ht="13.5" x14ac:dyDescent="0.35">
      <c r="B36" s="139" t="s">
        <v>15</v>
      </c>
      <c r="C36" s="131" t="s">
        <v>42</v>
      </c>
      <c r="D36" s="131" t="s">
        <v>17</v>
      </c>
      <c r="E36" s="131" t="s">
        <v>5</v>
      </c>
      <c r="F36" s="131" t="s">
        <v>6</v>
      </c>
      <c r="G36" s="131" t="s">
        <v>46</v>
      </c>
      <c r="H36" s="131" t="s">
        <v>47</v>
      </c>
      <c r="I36" s="11" t="s">
        <v>18</v>
      </c>
      <c r="J36" s="11"/>
      <c r="K36" s="11" t="s">
        <v>18</v>
      </c>
      <c r="L36" s="11"/>
      <c r="M36" s="131" t="s">
        <v>9</v>
      </c>
      <c r="N36" s="131" t="s">
        <v>10</v>
      </c>
      <c r="O36" s="4"/>
      <c r="P36" s="137" t="s">
        <v>12</v>
      </c>
      <c r="Q36" s="137"/>
      <c r="R36" s="137"/>
      <c r="T36" s="139" t="s">
        <v>15</v>
      </c>
      <c r="U36" s="131" t="s">
        <v>42</v>
      </c>
      <c r="V36" s="131" t="s">
        <v>17</v>
      </c>
      <c r="W36" s="131" t="s">
        <v>5</v>
      </c>
      <c r="X36" s="131" t="s">
        <v>6</v>
      </c>
      <c r="Y36" s="131" t="s">
        <v>46</v>
      </c>
      <c r="Z36" s="131" t="s">
        <v>47</v>
      </c>
      <c r="AA36" s="11" t="s">
        <v>18</v>
      </c>
      <c r="AB36" s="11"/>
      <c r="AC36" s="11" t="s">
        <v>18</v>
      </c>
      <c r="AD36" s="11"/>
      <c r="AE36" s="131" t="s">
        <v>9</v>
      </c>
      <c r="AF36" s="131" t="s">
        <v>10</v>
      </c>
      <c r="AH36" s="137" t="s">
        <v>12</v>
      </c>
      <c r="AI36" s="137"/>
      <c r="AJ36" s="137"/>
      <c r="AL36" s="52"/>
    </row>
    <row r="37" spans="2:38" ht="27" x14ac:dyDescent="0.35">
      <c r="B37" s="140"/>
      <c r="C37" s="132"/>
      <c r="D37" s="132"/>
      <c r="E37" s="132"/>
      <c r="F37" s="132"/>
      <c r="G37" s="132"/>
      <c r="H37" s="132"/>
      <c r="I37" s="12" t="s">
        <v>43</v>
      </c>
      <c r="J37" s="12" t="s">
        <v>45</v>
      </c>
      <c r="K37" s="12" t="s">
        <v>43</v>
      </c>
      <c r="L37" s="12" t="s">
        <v>8</v>
      </c>
      <c r="M37" s="132" t="s">
        <v>9</v>
      </c>
      <c r="N37" s="132"/>
      <c r="O37" s="4"/>
      <c r="P37" s="13" t="s">
        <v>13</v>
      </c>
      <c r="Q37" s="13" t="s">
        <v>14</v>
      </c>
      <c r="R37" s="13" t="s">
        <v>5</v>
      </c>
      <c r="T37" s="140"/>
      <c r="U37" s="132"/>
      <c r="V37" s="132"/>
      <c r="W37" s="132"/>
      <c r="X37" s="132"/>
      <c r="Y37" s="132"/>
      <c r="Z37" s="132"/>
      <c r="AA37" s="12" t="s">
        <v>43</v>
      </c>
      <c r="AB37" s="12" t="s">
        <v>45</v>
      </c>
      <c r="AC37" s="12" t="s">
        <v>43</v>
      </c>
      <c r="AD37" s="12" t="s">
        <v>8</v>
      </c>
      <c r="AE37" s="132" t="s">
        <v>9</v>
      </c>
      <c r="AF37" s="132"/>
      <c r="AH37" s="13" t="s">
        <v>13</v>
      </c>
      <c r="AI37" s="13" t="s">
        <v>14</v>
      </c>
      <c r="AJ37" s="13" t="s">
        <v>5</v>
      </c>
      <c r="AL37" s="52"/>
    </row>
    <row r="38" spans="2:38" ht="13.5" x14ac:dyDescent="0.35">
      <c r="B38" s="138" t="s">
        <v>19</v>
      </c>
      <c r="C38" s="138"/>
      <c r="D38" s="138"/>
      <c r="E38" s="4"/>
      <c r="F38" s="4"/>
      <c r="G38" s="4"/>
      <c r="H38" s="4"/>
      <c r="I38" s="14" t="s">
        <v>20</v>
      </c>
      <c r="J38" s="14"/>
      <c r="K38" s="14" t="s">
        <v>20</v>
      </c>
      <c r="L38" s="14"/>
      <c r="M38" s="4"/>
      <c r="N38" s="4"/>
      <c r="O38" s="4"/>
      <c r="P38" s="4"/>
      <c r="Q38" s="4"/>
      <c r="R38" s="4"/>
      <c r="T38" s="138" t="s">
        <v>19</v>
      </c>
      <c r="U38" s="138"/>
      <c r="V38" s="138"/>
      <c r="AA38" s="14" t="s">
        <v>20</v>
      </c>
      <c r="AB38" s="14"/>
      <c r="AC38" s="14" t="s">
        <v>20</v>
      </c>
      <c r="AD38" s="14"/>
      <c r="AL38" s="52"/>
    </row>
    <row r="39" spans="2:38" x14ac:dyDescent="0.35">
      <c r="B39" s="37"/>
      <c r="D39" s="51"/>
      <c r="E39" s="16" t="s">
        <v>11</v>
      </c>
      <c r="I39" s="19">
        <v>0.01</v>
      </c>
      <c r="J39" s="18">
        <f>+G39*I39</f>
        <v>0</v>
      </c>
      <c r="K39" s="19">
        <v>0.3</v>
      </c>
      <c r="L39" s="18">
        <f>+H39*K39</f>
        <v>0</v>
      </c>
      <c r="M39" s="18">
        <f>+J39+L39</f>
        <v>0</v>
      </c>
      <c r="N39" s="20" t="s">
        <v>11</v>
      </c>
      <c r="O39" s="21"/>
      <c r="P39" s="20" t="s">
        <v>11</v>
      </c>
      <c r="Q39" s="20" t="s">
        <v>11</v>
      </c>
      <c r="R39" s="20" t="s">
        <v>11</v>
      </c>
      <c r="T39" s="37"/>
      <c r="V39" s="51"/>
      <c r="W39" s="16" t="s">
        <v>11</v>
      </c>
      <c r="X39" s="63"/>
      <c r="Y39" s="18"/>
      <c r="Z39" s="18"/>
      <c r="AA39" s="19"/>
      <c r="AB39" s="18"/>
      <c r="AC39" s="19"/>
      <c r="AD39" s="18"/>
      <c r="AE39" s="18">
        <f>+AB39+AD39</f>
        <v>0</v>
      </c>
      <c r="AF39" s="20" t="s">
        <v>11</v>
      </c>
      <c r="AG39" s="21"/>
      <c r="AH39" s="20" t="s">
        <v>11</v>
      </c>
      <c r="AI39" s="20" t="s">
        <v>11</v>
      </c>
      <c r="AJ39" s="20" t="s">
        <v>11</v>
      </c>
      <c r="AL39" s="52"/>
    </row>
    <row r="40" spans="2:38" x14ac:dyDescent="0.35">
      <c r="B40" s="37"/>
      <c r="D40" s="51"/>
      <c r="E40" s="16" t="s">
        <v>11</v>
      </c>
      <c r="I40" s="19">
        <v>0.02</v>
      </c>
      <c r="J40" s="18">
        <f t="shared" ref="J40:J43" si="1">+G40*I40</f>
        <v>0</v>
      </c>
      <c r="K40" s="19">
        <v>0.7</v>
      </c>
      <c r="L40" s="18">
        <f t="shared" ref="L40:L43" si="2">+H40*K40</f>
        <v>0</v>
      </c>
      <c r="M40" s="18">
        <f t="shared" ref="M40:M43" si="3">+J40+L40</f>
        <v>0</v>
      </c>
      <c r="N40" s="20" t="s">
        <v>11</v>
      </c>
      <c r="O40" s="21"/>
      <c r="P40" s="20" t="s">
        <v>11</v>
      </c>
      <c r="Q40" s="20" t="s">
        <v>11</v>
      </c>
      <c r="R40" s="20" t="s">
        <v>11</v>
      </c>
      <c r="T40" s="37"/>
      <c r="V40" s="51"/>
      <c r="W40" s="16" t="s">
        <v>11</v>
      </c>
      <c r="X40" s="63"/>
      <c r="Y40" s="18"/>
      <c r="Z40" s="18"/>
      <c r="AA40" s="19"/>
      <c r="AB40" s="18"/>
      <c r="AC40" s="19"/>
      <c r="AD40" s="18"/>
      <c r="AE40" s="18">
        <f>+AB40+AD40</f>
        <v>0</v>
      </c>
      <c r="AF40" s="20" t="s">
        <v>11</v>
      </c>
      <c r="AG40" s="21"/>
      <c r="AH40" s="20" t="s">
        <v>11</v>
      </c>
      <c r="AI40" s="20" t="s">
        <v>11</v>
      </c>
      <c r="AJ40" s="20" t="s">
        <v>11</v>
      </c>
      <c r="AL40" s="52"/>
    </row>
    <row r="41" spans="2:38" x14ac:dyDescent="0.35">
      <c r="B41" s="37"/>
      <c r="D41" s="51"/>
      <c r="E41" s="16" t="s">
        <v>11</v>
      </c>
      <c r="I41" s="19">
        <v>0.01</v>
      </c>
      <c r="J41" s="18">
        <f t="shared" si="1"/>
        <v>0</v>
      </c>
      <c r="K41" s="19">
        <v>0.3</v>
      </c>
      <c r="L41" s="18">
        <f t="shared" si="2"/>
        <v>0</v>
      </c>
      <c r="M41" s="18">
        <f t="shared" si="3"/>
        <v>0</v>
      </c>
      <c r="N41" s="20" t="s">
        <v>11</v>
      </c>
      <c r="O41" s="21"/>
      <c r="P41" s="20" t="s">
        <v>11</v>
      </c>
      <c r="Q41" s="20" t="s">
        <v>11</v>
      </c>
      <c r="R41" s="20" t="s">
        <v>11</v>
      </c>
      <c r="T41" s="37"/>
      <c r="V41" s="51"/>
      <c r="W41" s="16" t="s">
        <v>11</v>
      </c>
      <c r="X41" s="63"/>
      <c r="Y41" s="18"/>
      <c r="Z41" s="18"/>
      <c r="AA41" s="19"/>
      <c r="AB41" s="18"/>
      <c r="AC41" s="19"/>
      <c r="AD41" s="18"/>
      <c r="AE41" s="18">
        <f>+AB41+AD41</f>
        <v>0</v>
      </c>
      <c r="AF41" s="20" t="s">
        <v>11</v>
      </c>
      <c r="AG41" s="21"/>
      <c r="AH41" s="20" t="s">
        <v>11</v>
      </c>
      <c r="AI41" s="20" t="s">
        <v>11</v>
      </c>
      <c r="AJ41" s="20" t="s">
        <v>11</v>
      </c>
      <c r="AL41" s="52"/>
    </row>
    <row r="42" spans="2:38" x14ac:dyDescent="0.35">
      <c r="B42" s="37"/>
      <c r="D42" s="51"/>
      <c r="E42" s="16" t="s">
        <v>11</v>
      </c>
      <c r="I42" s="19">
        <v>0.01</v>
      </c>
      <c r="J42" s="18">
        <f t="shared" si="1"/>
        <v>0</v>
      </c>
      <c r="K42" s="19">
        <v>0.3</v>
      </c>
      <c r="L42" s="18">
        <f t="shared" si="2"/>
        <v>0</v>
      </c>
      <c r="M42" s="18">
        <f t="shared" si="3"/>
        <v>0</v>
      </c>
      <c r="N42" s="20" t="s">
        <v>11</v>
      </c>
      <c r="O42" s="21"/>
      <c r="P42" s="20" t="s">
        <v>11</v>
      </c>
      <c r="Q42" s="20" t="s">
        <v>11</v>
      </c>
      <c r="R42" s="20" t="s">
        <v>11</v>
      </c>
      <c r="T42" s="37"/>
      <c r="V42" s="51"/>
      <c r="W42" s="16" t="s">
        <v>11</v>
      </c>
      <c r="X42" s="63"/>
      <c r="Y42" s="18"/>
      <c r="Z42" s="18"/>
      <c r="AA42" s="19"/>
      <c r="AB42" s="18"/>
      <c r="AC42" s="19"/>
      <c r="AD42" s="18"/>
      <c r="AE42" s="18">
        <f>+AB42+AD42</f>
        <v>0</v>
      </c>
      <c r="AF42" s="20" t="s">
        <v>11</v>
      </c>
      <c r="AG42" s="21"/>
      <c r="AH42" s="20" t="s">
        <v>11</v>
      </c>
      <c r="AI42" s="20" t="s">
        <v>11</v>
      </c>
      <c r="AJ42" s="20" t="s">
        <v>11</v>
      </c>
      <c r="AL42" s="52"/>
    </row>
    <row r="43" spans="2:38" x14ac:dyDescent="0.35">
      <c r="B43" s="37"/>
      <c r="D43" s="51"/>
      <c r="E43" s="16" t="s">
        <v>11</v>
      </c>
      <c r="I43" s="19">
        <v>0.22</v>
      </c>
      <c r="J43" s="18">
        <f t="shared" si="1"/>
        <v>0</v>
      </c>
      <c r="K43" s="19">
        <v>1</v>
      </c>
      <c r="L43" s="18">
        <f t="shared" si="2"/>
        <v>0</v>
      </c>
      <c r="M43" s="18">
        <f t="shared" si="3"/>
        <v>0</v>
      </c>
      <c r="N43" s="20" t="s">
        <v>11</v>
      </c>
      <c r="O43" s="21"/>
      <c r="P43" s="20" t="s">
        <v>11</v>
      </c>
      <c r="Q43" s="20" t="s">
        <v>11</v>
      </c>
      <c r="R43" s="20" t="s">
        <v>11</v>
      </c>
      <c r="T43" s="37"/>
      <c r="V43" s="51"/>
      <c r="W43" s="16" t="s">
        <v>11</v>
      </c>
      <c r="X43" s="63"/>
      <c r="Y43" s="18"/>
      <c r="Z43" s="18"/>
      <c r="AA43" s="19"/>
      <c r="AB43" s="18"/>
      <c r="AC43" s="19"/>
      <c r="AD43" s="18"/>
      <c r="AE43" s="18">
        <f>+AB43+AD43</f>
        <v>0</v>
      </c>
      <c r="AF43" s="20" t="s">
        <v>11</v>
      </c>
      <c r="AG43" s="21"/>
      <c r="AH43" s="20" t="s">
        <v>11</v>
      </c>
      <c r="AI43" s="20" t="s">
        <v>11</v>
      </c>
      <c r="AJ43" s="20" t="s">
        <v>11</v>
      </c>
      <c r="AL43" s="52"/>
    </row>
    <row r="44" spans="2:38" x14ac:dyDescent="0.35">
      <c r="P44" s="28"/>
      <c r="Q44" s="28"/>
      <c r="R44" s="28"/>
      <c r="W44" s="26"/>
      <c r="X44" s="27"/>
      <c r="Y44" s="18"/>
      <c r="Z44" s="18"/>
      <c r="AA44" s="19"/>
      <c r="AB44" s="19"/>
      <c r="AC44" s="19"/>
      <c r="AD44" s="19"/>
      <c r="AE44" s="18"/>
      <c r="AF44" s="28"/>
      <c r="AG44" s="29"/>
      <c r="AH44" s="28"/>
      <c r="AI44" s="28"/>
      <c r="AJ44" s="28"/>
      <c r="AL44" s="52"/>
    </row>
    <row r="45" spans="2:38" ht="15" thickBot="1" x14ac:dyDescent="0.4">
      <c r="B45" s="30"/>
      <c r="C45" s="30"/>
      <c r="D45" s="30"/>
      <c r="E45" s="30"/>
      <c r="F45" s="30"/>
      <c r="G45" s="30">
        <f>SUM(G39:G44)</f>
        <v>0</v>
      </c>
      <c r="H45" s="30"/>
      <c r="I45" s="30"/>
      <c r="J45" s="30"/>
      <c r="K45" s="30"/>
      <c r="L45" s="30"/>
      <c r="M45" s="30">
        <f>SUM(M39:M44)</f>
        <v>0</v>
      </c>
      <c r="P45" s="28"/>
      <c r="Q45" s="28"/>
      <c r="R45" s="28"/>
      <c r="T45" s="30"/>
      <c r="U45" s="30"/>
      <c r="V45" s="30"/>
      <c r="W45" s="30"/>
      <c r="X45" s="30"/>
      <c r="Y45" s="30">
        <f>SUM(Y39:Y44)</f>
        <v>0</v>
      </c>
      <c r="Z45" s="30"/>
      <c r="AA45" s="30"/>
      <c r="AB45" s="30"/>
      <c r="AC45" s="30"/>
      <c r="AD45" s="30"/>
      <c r="AE45" s="30">
        <f>SUM(AE39:AE44)</f>
        <v>0</v>
      </c>
      <c r="AF45" s="28"/>
      <c r="AG45" s="29"/>
      <c r="AH45" s="28"/>
      <c r="AI45" s="28"/>
      <c r="AJ45" s="28"/>
      <c r="AL45" s="52"/>
    </row>
    <row r="46" spans="2:38" ht="15" thickTop="1" x14ac:dyDescent="0.35">
      <c r="P46" s="28"/>
      <c r="Q46" s="28"/>
      <c r="R46" s="28"/>
      <c r="W46" s="26"/>
      <c r="X46" s="27"/>
      <c r="Y46" s="18"/>
      <c r="Z46" s="18"/>
      <c r="AA46" s="19"/>
      <c r="AB46" s="19"/>
      <c r="AC46" s="19"/>
      <c r="AD46" s="19"/>
      <c r="AE46" s="18"/>
      <c r="AF46" s="28"/>
      <c r="AG46" s="29"/>
      <c r="AH46" s="28"/>
      <c r="AI46" s="28"/>
      <c r="AJ46" s="28"/>
      <c r="AL46" s="52"/>
    </row>
    <row r="47" spans="2:38" x14ac:dyDescent="0.35">
      <c r="B47" s="1" t="s">
        <v>41</v>
      </c>
      <c r="P47" s="28"/>
      <c r="Q47" s="28"/>
      <c r="R47" s="28"/>
      <c r="T47" s="1" t="s">
        <v>41</v>
      </c>
      <c r="W47" s="26"/>
      <c r="X47" s="27"/>
      <c r="Y47" s="18"/>
      <c r="Z47" s="18"/>
      <c r="AA47" s="19"/>
      <c r="AB47" s="19"/>
      <c r="AC47" s="19"/>
      <c r="AD47" s="19"/>
      <c r="AE47" s="18"/>
      <c r="AF47" s="28"/>
      <c r="AG47" s="29"/>
      <c r="AH47" s="28"/>
      <c r="AI47" s="28"/>
      <c r="AJ47" s="28"/>
      <c r="AL47" s="52"/>
    </row>
    <row r="48" spans="2:38" x14ac:dyDescent="0.35">
      <c r="E48" s="16"/>
      <c r="P48" s="28"/>
      <c r="Q48" s="28"/>
      <c r="R48" s="28"/>
      <c r="W48" s="16"/>
      <c r="X48" s="27"/>
      <c r="Y48" s="18"/>
      <c r="Z48" s="18"/>
      <c r="AA48" s="19"/>
      <c r="AB48" s="19"/>
      <c r="AC48" s="19"/>
      <c r="AD48" s="19"/>
      <c r="AE48" s="18"/>
      <c r="AF48" s="28"/>
      <c r="AG48" s="29"/>
      <c r="AH48" s="28"/>
      <c r="AI48" s="28"/>
      <c r="AJ48" s="28"/>
      <c r="AL48" s="52"/>
    </row>
    <row r="49" spans="1:38" x14ac:dyDescent="0.35">
      <c r="B49" s="62"/>
      <c r="C49" s="61">
        <v>0</v>
      </c>
      <c r="D49" s="61">
        <v>0</v>
      </c>
      <c r="E49" s="16" t="s">
        <v>11</v>
      </c>
      <c r="F49" s="61">
        <v>0</v>
      </c>
      <c r="G49" s="61">
        <v>0</v>
      </c>
      <c r="H49" s="61">
        <v>0</v>
      </c>
      <c r="I49" s="61">
        <v>0</v>
      </c>
      <c r="J49" s="61">
        <v>0</v>
      </c>
      <c r="K49" s="61">
        <v>0</v>
      </c>
      <c r="L49" s="61">
        <v>0</v>
      </c>
      <c r="M49" s="61">
        <v>0</v>
      </c>
      <c r="N49" s="20" t="s">
        <v>11</v>
      </c>
      <c r="O49" s="21"/>
      <c r="P49" s="20" t="s">
        <v>11</v>
      </c>
      <c r="Q49" s="20" t="s">
        <v>11</v>
      </c>
      <c r="R49" s="20" t="s">
        <v>11</v>
      </c>
      <c r="T49" s="62"/>
      <c r="U49" s="51"/>
      <c r="V49" s="51"/>
      <c r="W49" s="16" t="s">
        <v>11</v>
      </c>
      <c r="X49" s="27"/>
      <c r="Y49" s="18"/>
      <c r="Z49" s="18"/>
      <c r="AA49" s="19"/>
      <c r="AB49" s="18"/>
      <c r="AC49" s="19"/>
      <c r="AD49" s="18"/>
      <c r="AE49" s="18">
        <f t="shared" ref="AE49:AE53" si="4">+AB49+AD49</f>
        <v>0</v>
      </c>
      <c r="AF49" s="20" t="s">
        <v>11</v>
      </c>
      <c r="AG49" s="21"/>
      <c r="AH49" s="20" t="s">
        <v>11</v>
      </c>
      <c r="AI49" s="20" t="s">
        <v>11</v>
      </c>
      <c r="AJ49" s="20" t="s">
        <v>11</v>
      </c>
      <c r="AL49" s="52"/>
    </row>
    <row r="50" spans="1:38" x14ac:dyDescent="0.35">
      <c r="B50" s="62"/>
      <c r="C50" s="61">
        <v>0</v>
      </c>
      <c r="D50" s="61">
        <v>0</v>
      </c>
      <c r="E50" s="16" t="s">
        <v>11</v>
      </c>
      <c r="F50" s="61">
        <v>0</v>
      </c>
      <c r="G50" s="61">
        <v>0</v>
      </c>
      <c r="H50" s="61">
        <v>0</v>
      </c>
      <c r="I50" s="61">
        <v>0</v>
      </c>
      <c r="J50" s="61">
        <v>0</v>
      </c>
      <c r="K50" s="61">
        <v>0</v>
      </c>
      <c r="L50" s="61">
        <v>0</v>
      </c>
      <c r="M50" s="61">
        <v>0</v>
      </c>
      <c r="N50" s="20" t="s">
        <v>11</v>
      </c>
      <c r="O50" s="21"/>
      <c r="P50" s="20" t="s">
        <v>11</v>
      </c>
      <c r="Q50" s="20" t="s">
        <v>11</v>
      </c>
      <c r="R50" s="20" t="s">
        <v>11</v>
      </c>
      <c r="T50" s="62"/>
      <c r="U50" s="51"/>
      <c r="V50" s="51"/>
      <c r="W50" s="16" t="s">
        <v>11</v>
      </c>
      <c r="X50" s="27"/>
      <c r="Y50" s="18"/>
      <c r="Z50" s="18"/>
      <c r="AA50" s="19"/>
      <c r="AB50" s="18"/>
      <c r="AC50" s="19"/>
      <c r="AD50" s="18"/>
      <c r="AE50" s="18">
        <f t="shared" si="4"/>
        <v>0</v>
      </c>
      <c r="AF50" s="20" t="s">
        <v>11</v>
      </c>
      <c r="AG50" s="21"/>
      <c r="AH50" s="20" t="s">
        <v>11</v>
      </c>
      <c r="AI50" s="20" t="s">
        <v>11</v>
      </c>
      <c r="AJ50" s="20" t="s">
        <v>11</v>
      </c>
      <c r="AL50" s="52"/>
    </row>
    <row r="51" spans="1:38" x14ac:dyDescent="0.35">
      <c r="B51" s="62"/>
      <c r="C51" s="61">
        <v>0</v>
      </c>
      <c r="D51" s="61">
        <v>0</v>
      </c>
      <c r="E51" s="16" t="s">
        <v>11</v>
      </c>
      <c r="F51" s="61">
        <v>0</v>
      </c>
      <c r="G51" s="61">
        <v>0</v>
      </c>
      <c r="H51" s="61">
        <v>0</v>
      </c>
      <c r="I51" s="61">
        <v>0</v>
      </c>
      <c r="J51" s="61">
        <v>0</v>
      </c>
      <c r="K51" s="61">
        <v>0</v>
      </c>
      <c r="L51" s="61">
        <v>0</v>
      </c>
      <c r="M51" s="61">
        <v>0</v>
      </c>
      <c r="N51" s="20" t="s">
        <v>11</v>
      </c>
      <c r="O51" s="21"/>
      <c r="P51" s="20" t="s">
        <v>11</v>
      </c>
      <c r="Q51" s="20" t="s">
        <v>11</v>
      </c>
      <c r="R51" s="20" t="s">
        <v>11</v>
      </c>
      <c r="T51" s="62"/>
      <c r="U51" s="51"/>
      <c r="V51" s="51"/>
      <c r="W51" s="16" t="s">
        <v>11</v>
      </c>
      <c r="X51" s="27"/>
      <c r="Y51" s="18"/>
      <c r="Z51" s="18"/>
      <c r="AA51" s="19"/>
      <c r="AB51" s="18"/>
      <c r="AC51" s="19"/>
      <c r="AD51" s="18"/>
      <c r="AE51" s="18">
        <f t="shared" si="4"/>
        <v>0</v>
      </c>
      <c r="AF51" s="20" t="s">
        <v>11</v>
      </c>
      <c r="AG51" s="21"/>
      <c r="AH51" s="20" t="s">
        <v>11</v>
      </c>
      <c r="AI51" s="20" t="s">
        <v>11</v>
      </c>
      <c r="AJ51" s="20" t="s">
        <v>11</v>
      </c>
      <c r="AL51" s="52"/>
    </row>
    <row r="52" spans="1:38" x14ac:dyDescent="0.35">
      <c r="B52" s="62"/>
      <c r="C52" s="61">
        <v>0</v>
      </c>
      <c r="D52" s="61">
        <v>0</v>
      </c>
      <c r="E52" s="16" t="s">
        <v>11</v>
      </c>
      <c r="F52" s="61">
        <v>0</v>
      </c>
      <c r="G52" s="61">
        <v>0</v>
      </c>
      <c r="H52" s="61">
        <v>0</v>
      </c>
      <c r="I52" s="61">
        <v>0</v>
      </c>
      <c r="J52" s="61">
        <v>0</v>
      </c>
      <c r="K52" s="61">
        <v>0</v>
      </c>
      <c r="L52" s="61">
        <v>0</v>
      </c>
      <c r="M52" s="61">
        <v>0</v>
      </c>
      <c r="N52" s="20" t="s">
        <v>11</v>
      </c>
      <c r="O52" s="21"/>
      <c r="P52" s="20" t="s">
        <v>11</v>
      </c>
      <c r="Q52" s="20" t="s">
        <v>11</v>
      </c>
      <c r="R52" s="20" t="s">
        <v>11</v>
      </c>
      <c r="T52" s="62"/>
      <c r="W52" s="16"/>
      <c r="X52" s="27"/>
      <c r="Y52" s="18"/>
      <c r="Z52" s="18"/>
      <c r="AA52" s="19"/>
      <c r="AB52" s="18"/>
      <c r="AC52" s="19"/>
      <c r="AD52" s="18"/>
      <c r="AE52" s="18">
        <f t="shared" si="4"/>
        <v>0</v>
      </c>
      <c r="AF52" s="20" t="s">
        <v>11</v>
      </c>
      <c r="AG52" s="21"/>
      <c r="AH52" s="20" t="s">
        <v>11</v>
      </c>
      <c r="AI52" s="20" t="s">
        <v>11</v>
      </c>
      <c r="AJ52" s="20" t="s">
        <v>11</v>
      </c>
      <c r="AL52" s="52"/>
    </row>
    <row r="53" spans="1:38" x14ac:dyDescent="0.35">
      <c r="B53" s="62"/>
      <c r="C53" s="61">
        <v>0</v>
      </c>
      <c r="D53" s="61">
        <v>0</v>
      </c>
      <c r="E53" s="16" t="s">
        <v>11</v>
      </c>
      <c r="F53" s="61">
        <v>0</v>
      </c>
      <c r="G53" s="61">
        <v>0</v>
      </c>
      <c r="H53" s="61">
        <v>0</v>
      </c>
      <c r="I53" s="61">
        <v>0</v>
      </c>
      <c r="J53" s="61">
        <v>0</v>
      </c>
      <c r="K53" s="61">
        <v>0</v>
      </c>
      <c r="L53" s="61">
        <v>0</v>
      </c>
      <c r="M53" s="61">
        <v>0</v>
      </c>
      <c r="N53" s="20" t="s">
        <v>11</v>
      </c>
      <c r="O53" s="21"/>
      <c r="P53" s="20" t="s">
        <v>11</v>
      </c>
      <c r="Q53" s="20" t="s">
        <v>11</v>
      </c>
      <c r="R53" s="20" t="s">
        <v>11</v>
      </c>
      <c r="T53" s="62"/>
      <c r="W53" s="16"/>
      <c r="X53" s="27"/>
      <c r="Y53" s="18"/>
      <c r="Z53" s="18"/>
      <c r="AA53" s="19"/>
      <c r="AB53" s="18"/>
      <c r="AC53" s="19"/>
      <c r="AD53" s="18"/>
      <c r="AE53" s="18">
        <f t="shared" si="4"/>
        <v>0</v>
      </c>
      <c r="AF53" s="20" t="s">
        <v>11</v>
      </c>
      <c r="AG53" s="21"/>
      <c r="AH53" s="20" t="s">
        <v>11</v>
      </c>
      <c r="AI53" s="20" t="s">
        <v>11</v>
      </c>
      <c r="AJ53" s="20" t="s">
        <v>11</v>
      </c>
      <c r="AL53" s="52"/>
    </row>
    <row r="54" spans="1:38" x14ac:dyDescent="0.35">
      <c r="P54" s="28"/>
      <c r="Q54" s="28"/>
      <c r="R54" s="28"/>
      <c r="W54" s="26"/>
      <c r="X54" s="27"/>
      <c r="Y54" s="18"/>
      <c r="Z54" s="18"/>
      <c r="AA54" s="19"/>
      <c r="AB54" s="19"/>
      <c r="AC54" s="19"/>
      <c r="AD54" s="19"/>
      <c r="AE54" s="18"/>
      <c r="AF54" s="28"/>
      <c r="AG54" s="29"/>
      <c r="AH54" s="28"/>
      <c r="AI54" s="28"/>
      <c r="AJ54" s="28"/>
      <c r="AL54" s="52"/>
    </row>
    <row r="55" spans="1:38" ht="15" thickBot="1" x14ac:dyDescent="0.4">
      <c r="B55" s="30"/>
      <c r="C55" s="30"/>
      <c r="D55" s="30"/>
      <c r="E55" s="30"/>
      <c r="F55" s="30"/>
      <c r="G55" s="30">
        <f>SUM(G49:G53)</f>
        <v>0</v>
      </c>
      <c r="H55" s="30"/>
      <c r="I55" s="30"/>
      <c r="J55" s="30"/>
      <c r="K55" s="30"/>
      <c r="L55" s="30"/>
      <c r="M55" s="30">
        <f>SUM(M49:M53)</f>
        <v>0</v>
      </c>
      <c r="P55" s="28"/>
      <c r="Q55" s="28"/>
      <c r="R55" s="28"/>
      <c r="T55" s="30"/>
      <c r="U55" s="30"/>
      <c r="V55" s="30"/>
      <c r="W55" s="30"/>
      <c r="X55" s="30"/>
      <c r="Y55" s="30">
        <f>SUM(Y49:Y53)</f>
        <v>0</v>
      </c>
      <c r="Z55" s="30"/>
      <c r="AA55" s="30"/>
      <c r="AB55" s="30"/>
      <c r="AC55" s="30"/>
      <c r="AD55" s="30"/>
      <c r="AE55" s="30">
        <f>SUM(AE49:AE53)</f>
        <v>0</v>
      </c>
      <c r="AF55" s="28"/>
      <c r="AG55" s="29"/>
      <c r="AH55" s="28"/>
      <c r="AI55" s="28"/>
      <c r="AJ55" s="28"/>
      <c r="AL55" s="52"/>
    </row>
    <row r="56" spans="1:38" ht="15" thickTop="1" x14ac:dyDescent="0.35">
      <c r="P56" s="28"/>
      <c r="Q56" s="28"/>
      <c r="R56" s="28"/>
      <c r="AL56" s="52"/>
    </row>
    <row r="57" spans="1:38" x14ac:dyDescent="0.35">
      <c r="P57" s="28"/>
      <c r="Q57" s="28"/>
      <c r="R57" s="28"/>
      <c r="AL57" s="52"/>
    </row>
    <row r="58" spans="1:38" x14ac:dyDescent="0.35">
      <c r="P58" s="28"/>
      <c r="Q58" s="28"/>
      <c r="R58" s="28"/>
      <c r="AL58" s="52"/>
    </row>
    <row r="59" spans="1:38" x14ac:dyDescent="0.35">
      <c r="B59" s="43" t="s">
        <v>22</v>
      </c>
      <c r="C59" s="32"/>
      <c r="P59" s="28"/>
      <c r="Q59" s="28"/>
      <c r="R59" s="28"/>
      <c r="AL59" s="52"/>
    </row>
    <row r="60" spans="1:38" x14ac:dyDescent="0.35">
      <c r="B60" s="43"/>
      <c r="C60" s="32"/>
      <c r="P60" s="28"/>
      <c r="Q60" s="28"/>
      <c r="R60" s="28"/>
      <c r="AL60" s="52"/>
    </row>
    <row r="61" spans="1:38" x14ac:dyDescent="0.35">
      <c r="B61" s="43" t="s">
        <v>23</v>
      </c>
      <c r="C61" s="32"/>
      <c r="P61" s="28"/>
      <c r="Q61" s="28"/>
      <c r="R61" s="28"/>
      <c r="AL61" s="52"/>
    </row>
    <row r="62" spans="1:38" x14ac:dyDescent="0.35">
      <c r="A62" s="33" t="s">
        <v>20</v>
      </c>
      <c r="B62" s="32" t="s">
        <v>35</v>
      </c>
      <c r="P62" s="28"/>
      <c r="Q62" s="28"/>
      <c r="R62" s="28"/>
      <c r="AL62" s="52"/>
    </row>
    <row r="63" spans="1:38" x14ac:dyDescent="0.35">
      <c r="A63" s="33" t="s">
        <v>76</v>
      </c>
      <c r="B63" s="32" t="s">
        <v>34</v>
      </c>
      <c r="P63" s="28"/>
      <c r="Q63" s="28"/>
      <c r="R63" s="28"/>
      <c r="AL63" s="52"/>
    </row>
    <row r="64" spans="1:38" x14ac:dyDescent="0.35">
      <c r="B64" s="44"/>
      <c r="C64" s="32"/>
      <c r="P64" s="28"/>
      <c r="Q64" s="28"/>
      <c r="R64" s="28"/>
      <c r="AL64" s="52"/>
    </row>
    <row r="65" spans="1:38" x14ac:dyDescent="0.35">
      <c r="B65" s="43" t="s">
        <v>24</v>
      </c>
      <c r="C65" s="32"/>
      <c r="P65" s="28"/>
      <c r="Q65" s="28"/>
      <c r="R65" s="28"/>
      <c r="AL65" s="52"/>
    </row>
    <row r="66" spans="1:38" x14ac:dyDescent="0.35">
      <c r="B66" s="44" t="s">
        <v>79</v>
      </c>
      <c r="C66" s="32"/>
      <c r="P66" s="28"/>
      <c r="Q66" s="28"/>
      <c r="R66" s="28"/>
      <c r="AL66" s="52"/>
    </row>
    <row r="67" spans="1:38" x14ac:dyDescent="0.35">
      <c r="B67" s="44"/>
      <c r="C67" s="32"/>
      <c r="P67" s="28"/>
      <c r="Q67" s="28"/>
      <c r="R67" s="28"/>
      <c r="AL67" s="52"/>
    </row>
    <row r="68" spans="1:38" x14ac:dyDescent="0.35">
      <c r="B68" s="43" t="s">
        <v>25</v>
      </c>
      <c r="C68" s="32"/>
      <c r="P68" s="28"/>
      <c r="Q68" s="28"/>
      <c r="R68" s="28"/>
      <c r="AL68" s="52"/>
    </row>
    <row r="69" spans="1:38" x14ac:dyDescent="0.35">
      <c r="B69" s="44" t="s">
        <v>26</v>
      </c>
      <c r="C69" s="32"/>
      <c r="P69" s="28"/>
      <c r="Q69" s="28"/>
      <c r="R69" s="28"/>
      <c r="AL69" s="52"/>
    </row>
    <row r="70" spans="1:38" x14ac:dyDescent="0.35">
      <c r="B70" s="44"/>
      <c r="C70" s="32"/>
      <c r="P70" s="28"/>
      <c r="Q70" s="28"/>
      <c r="R70" s="28"/>
      <c r="AL70" s="52"/>
    </row>
    <row r="71" spans="1:38" x14ac:dyDescent="0.35">
      <c r="B71" s="43" t="s">
        <v>27</v>
      </c>
      <c r="C71" s="32"/>
      <c r="P71" s="28"/>
      <c r="Q71" s="28"/>
      <c r="R71" s="28"/>
      <c r="AL71" s="52"/>
    </row>
    <row r="72" spans="1:38" x14ac:dyDescent="0.35">
      <c r="A72" s="51" t="s">
        <v>68</v>
      </c>
      <c r="B72" s="45" t="s">
        <v>72</v>
      </c>
      <c r="C72" s="32"/>
      <c r="P72" s="28"/>
      <c r="Q72" s="28"/>
      <c r="R72" s="28"/>
      <c r="AL72" s="52"/>
    </row>
    <row r="73" spans="1:38" x14ac:dyDescent="0.35">
      <c r="A73" s="51" t="s">
        <v>69</v>
      </c>
      <c r="B73" s="45" t="s">
        <v>73</v>
      </c>
      <c r="C73" s="32"/>
      <c r="P73" s="28"/>
      <c r="Q73" s="28"/>
      <c r="R73" s="28"/>
      <c r="AL73" s="52"/>
    </row>
    <row r="74" spans="1:38" x14ac:dyDescent="0.35">
      <c r="A74" s="51" t="s">
        <v>70</v>
      </c>
      <c r="B74" s="45" t="s">
        <v>74</v>
      </c>
      <c r="C74" s="32"/>
      <c r="P74" s="28"/>
      <c r="Q74" s="28"/>
      <c r="R74" s="28"/>
      <c r="AL74" s="52"/>
    </row>
    <row r="75" spans="1:38" x14ac:dyDescent="0.35">
      <c r="A75" s="51" t="s">
        <v>71</v>
      </c>
      <c r="B75" s="45" t="s">
        <v>75</v>
      </c>
      <c r="C75" s="32"/>
      <c r="P75" s="28"/>
      <c r="Q75" s="28"/>
      <c r="R75" s="28"/>
      <c r="AL75" s="52"/>
    </row>
    <row r="76" spans="1:38" x14ac:dyDescent="0.35">
      <c r="A76" s="51"/>
      <c r="B76" s="45"/>
      <c r="C76" s="32"/>
      <c r="P76" s="28"/>
      <c r="Q76" s="28"/>
      <c r="R76" s="28"/>
      <c r="AL76" s="52"/>
    </row>
    <row r="77" spans="1:38" x14ac:dyDescent="0.35">
      <c r="A77" s="51"/>
      <c r="B77" s="43" t="s">
        <v>80</v>
      </c>
      <c r="C77" s="32"/>
      <c r="P77" s="28"/>
      <c r="Q77" s="28"/>
      <c r="R77" s="28"/>
      <c r="AL77" s="52"/>
    </row>
    <row r="78" spans="1:38" x14ac:dyDescent="0.35">
      <c r="C78" s="32"/>
      <c r="P78" s="28"/>
      <c r="Q78" s="28"/>
      <c r="R78" s="28"/>
      <c r="AL78" s="52"/>
    </row>
    <row r="79" spans="1:38" x14ac:dyDescent="0.35">
      <c r="A79" s="66" t="s">
        <v>11</v>
      </c>
      <c r="B79" s="45" t="s">
        <v>82</v>
      </c>
      <c r="C79" s="32"/>
      <c r="P79" s="28"/>
      <c r="Q79" s="28"/>
      <c r="R79" s="28"/>
      <c r="AL79" s="52"/>
    </row>
    <row r="80" spans="1:38" x14ac:dyDescent="0.35">
      <c r="A80" s="66" t="s">
        <v>83</v>
      </c>
      <c r="B80" s="45" t="s">
        <v>84</v>
      </c>
      <c r="C80" s="32"/>
      <c r="P80" s="28"/>
      <c r="Q80" s="28"/>
      <c r="R80" s="28"/>
      <c r="AL80" s="52"/>
    </row>
    <row r="81" spans="1:38" x14ac:dyDescent="0.35">
      <c r="B81" s="44"/>
      <c r="C81" s="32"/>
      <c r="P81" s="28"/>
      <c r="Q81" s="28"/>
      <c r="R81" s="28"/>
      <c r="AL81" s="52"/>
    </row>
    <row r="82" spans="1:38" x14ac:dyDescent="0.35">
      <c r="B82" s="46" t="s">
        <v>28</v>
      </c>
      <c r="C82" s="32"/>
      <c r="P82" s="28"/>
      <c r="Q82" s="28"/>
      <c r="R82" s="28"/>
      <c r="AL82" s="52"/>
    </row>
    <row r="83" spans="1:38" x14ac:dyDescent="0.35">
      <c r="B83" s="47" t="s">
        <v>29</v>
      </c>
      <c r="C83" s="32"/>
      <c r="P83" s="28"/>
      <c r="Q83" s="28"/>
      <c r="R83" s="28"/>
      <c r="AL83" s="52"/>
    </row>
    <row r="84" spans="1:38" x14ac:dyDescent="0.35">
      <c r="B84" s="47" t="s">
        <v>30</v>
      </c>
      <c r="C84" s="32"/>
      <c r="P84" s="28"/>
      <c r="Q84" s="28"/>
      <c r="R84" s="28"/>
      <c r="AL84" s="52"/>
    </row>
    <row r="85" spans="1:38" x14ac:dyDescent="0.35">
      <c r="B85" s="47" t="s">
        <v>31</v>
      </c>
      <c r="C85" s="32"/>
      <c r="P85" s="28"/>
      <c r="Q85" s="28"/>
      <c r="R85" s="28"/>
      <c r="AL85" s="52"/>
    </row>
    <row r="86" spans="1:38" x14ac:dyDescent="0.35">
      <c r="B86" s="47"/>
      <c r="C86" s="32"/>
      <c r="P86" s="28"/>
      <c r="Q86" s="28"/>
      <c r="R86" s="28"/>
      <c r="AL86" s="52"/>
    </row>
    <row r="87" spans="1:38" x14ac:dyDescent="0.35">
      <c r="B87" s="34" t="s">
        <v>50</v>
      </c>
      <c r="C87" s="32"/>
      <c r="P87" s="28"/>
      <c r="Q87" s="28"/>
      <c r="R87" s="28"/>
      <c r="AL87" s="52"/>
    </row>
    <row r="88" spans="1:38" x14ac:dyDescent="0.35">
      <c r="A88" s="50" t="s">
        <v>13</v>
      </c>
      <c r="B88" s="32" t="s">
        <v>51</v>
      </c>
      <c r="P88" s="28"/>
      <c r="Q88" s="28"/>
      <c r="R88" s="28"/>
      <c r="AL88" s="52"/>
    </row>
    <row r="89" spans="1:38" x14ac:dyDescent="0.35">
      <c r="A89" s="50" t="s">
        <v>14</v>
      </c>
      <c r="B89" s="32" t="s">
        <v>52</v>
      </c>
      <c r="P89" s="28"/>
      <c r="Q89" s="28"/>
      <c r="R89" s="28"/>
      <c r="AL89" s="52"/>
    </row>
    <row r="90" spans="1:38" x14ac:dyDescent="0.35">
      <c r="A90" s="50" t="s">
        <v>5</v>
      </c>
      <c r="B90" s="32" t="s">
        <v>53</v>
      </c>
      <c r="P90" s="28"/>
      <c r="Q90" s="28"/>
      <c r="R90" s="28"/>
      <c r="AL90" s="52"/>
    </row>
    <row r="91" spans="1:38" x14ac:dyDescent="0.35">
      <c r="B91" s="44"/>
      <c r="C91" s="32"/>
      <c r="P91" s="28"/>
      <c r="Q91" s="28"/>
      <c r="R91" s="28"/>
      <c r="AL91" s="52"/>
    </row>
    <row r="92" spans="1:38" x14ac:dyDescent="0.35">
      <c r="B92" s="46" t="s">
        <v>32</v>
      </c>
      <c r="C92" s="32"/>
      <c r="P92" s="28"/>
      <c r="Q92" s="28"/>
      <c r="R92" s="28"/>
      <c r="AL92" s="52"/>
    </row>
    <row r="93" spans="1:38" ht="15.75" customHeight="1" x14ac:dyDescent="0.35">
      <c r="B93" s="44" t="s">
        <v>77</v>
      </c>
      <c r="C93" s="64"/>
      <c r="D93" s="64"/>
      <c r="E93" s="64"/>
      <c r="F93" s="64"/>
      <c r="G93" s="64"/>
      <c r="H93" s="64"/>
      <c r="I93" s="64"/>
      <c r="J93" s="35"/>
      <c r="K93" s="35"/>
      <c r="L93" s="35"/>
      <c r="P93" s="28"/>
      <c r="Q93" s="28"/>
      <c r="R93" s="28"/>
      <c r="AL93" s="52"/>
    </row>
    <row r="94" spans="1:38" x14ac:dyDescent="0.35">
      <c r="B94" s="32" t="s">
        <v>78</v>
      </c>
      <c r="C94" s="64"/>
      <c r="D94" s="64"/>
      <c r="E94" s="64"/>
      <c r="F94" s="64"/>
      <c r="G94" s="64"/>
      <c r="H94" s="64"/>
      <c r="I94" s="64"/>
      <c r="J94" s="35"/>
      <c r="K94" s="35"/>
      <c r="L94" s="35"/>
      <c r="P94" s="28"/>
      <c r="Q94" s="28"/>
      <c r="R94" s="28"/>
      <c r="AL94" s="52"/>
    </row>
    <row r="95" spans="1:38" x14ac:dyDescent="0.35">
      <c r="B95" s="40"/>
      <c r="C95" s="32"/>
      <c r="P95" s="28"/>
      <c r="Q95" s="28"/>
      <c r="R95" s="28"/>
      <c r="AL95" s="52"/>
    </row>
    <row r="96" spans="1:38" x14ac:dyDescent="0.35">
      <c r="B96" s="43" t="s">
        <v>33</v>
      </c>
      <c r="C96" s="32"/>
      <c r="P96" s="28"/>
      <c r="Q96" s="28"/>
      <c r="R96" s="28"/>
      <c r="AL96" s="52"/>
    </row>
    <row r="97" spans="1:38" x14ac:dyDescent="0.35">
      <c r="B97" s="48" t="s">
        <v>44</v>
      </c>
      <c r="C97" s="36"/>
      <c r="P97" s="28"/>
      <c r="Q97" s="28"/>
      <c r="R97" s="28"/>
      <c r="AL97" s="52"/>
    </row>
    <row r="98" spans="1:38" x14ac:dyDescent="0.35">
      <c r="B98" s="40"/>
      <c r="AL98" s="52"/>
    </row>
    <row r="99" spans="1:38" x14ac:dyDescent="0.35">
      <c r="AL99" s="52"/>
    </row>
    <row r="100" spans="1:38" ht="3.75" customHeight="1" x14ac:dyDescent="0.35">
      <c r="A100" s="52"/>
      <c r="B100" s="52"/>
      <c r="C100" s="52"/>
      <c r="D100" s="52"/>
      <c r="E100" s="53"/>
      <c r="F100" s="54"/>
      <c r="G100" s="55"/>
      <c r="H100" s="55"/>
      <c r="I100" s="56"/>
      <c r="J100" s="56"/>
      <c r="K100" s="56"/>
      <c r="L100" s="56"/>
      <c r="M100" s="55"/>
      <c r="N100" s="57"/>
      <c r="O100" s="58"/>
      <c r="P100" s="58"/>
      <c r="Q100" s="58"/>
      <c r="R100" s="58"/>
      <c r="S100" s="52"/>
      <c r="T100" s="52"/>
      <c r="U100" s="52"/>
      <c r="V100" s="52"/>
      <c r="W100" s="52"/>
      <c r="X100" s="52"/>
      <c r="Y100" s="52"/>
      <c r="Z100" s="52"/>
      <c r="AA100" s="52"/>
      <c r="AB100" s="52"/>
      <c r="AC100" s="52"/>
      <c r="AD100" s="52"/>
      <c r="AE100" s="52"/>
      <c r="AF100" s="52"/>
      <c r="AG100" s="52"/>
      <c r="AH100" s="52"/>
      <c r="AI100" s="52"/>
      <c r="AJ100" s="52"/>
      <c r="AK100" s="52"/>
      <c r="AL100" s="52"/>
    </row>
  </sheetData>
  <sortState xmlns:xlrd2="http://schemas.microsoft.com/office/spreadsheetml/2017/richdata2" ref="B21:M25">
    <sortCondition ref="B21:B25"/>
  </sortState>
  <mergeCells count="48">
    <mergeCell ref="AH36:AJ36"/>
    <mergeCell ref="B38:D38"/>
    <mergeCell ref="T38:V38"/>
    <mergeCell ref="W36:W37"/>
    <mergeCell ref="X36:X37"/>
    <mergeCell ref="Y36:Y37"/>
    <mergeCell ref="Z36:Z37"/>
    <mergeCell ref="AE36:AE37"/>
    <mergeCell ref="AH12:AJ12"/>
    <mergeCell ref="T14:V14"/>
    <mergeCell ref="B36:B37"/>
    <mergeCell ref="C36:C37"/>
    <mergeCell ref="D36:D37"/>
    <mergeCell ref="E36:E37"/>
    <mergeCell ref="F36:F37"/>
    <mergeCell ref="G36:G37"/>
    <mergeCell ref="H36:H37"/>
    <mergeCell ref="M36:M37"/>
    <mergeCell ref="N36:N37"/>
    <mergeCell ref="P36:R36"/>
    <mergeCell ref="T36:T37"/>
    <mergeCell ref="U36:U37"/>
    <mergeCell ref="V36:V37"/>
    <mergeCell ref="AF36:AF37"/>
    <mergeCell ref="F12:F13"/>
    <mergeCell ref="G12:G13"/>
    <mergeCell ref="H12:H13"/>
    <mergeCell ref="T12:T13"/>
    <mergeCell ref="U12:U13"/>
    <mergeCell ref="B14:D14"/>
    <mergeCell ref="B12:B13"/>
    <mergeCell ref="C12:C13"/>
    <mergeCell ref="D12:D13"/>
    <mergeCell ref="E12:E13"/>
    <mergeCell ref="AE4:AG4"/>
    <mergeCell ref="AE5:AG5"/>
    <mergeCell ref="AE6:AG6"/>
    <mergeCell ref="AE7:AG7"/>
    <mergeCell ref="M12:M13"/>
    <mergeCell ref="N12:N13"/>
    <mergeCell ref="P12:R12"/>
    <mergeCell ref="V12:V13"/>
    <mergeCell ref="W12:W13"/>
    <mergeCell ref="X12:X13"/>
    <mergeCell ref="Y12:Y13"/>
    <mergeCell ref="Z12:Z13"/>
    <mergeCell ref="AE12:AE13"/>
    <mergeCell ref="AF12:AF1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140.07 </vt:lpstr>
      <vt:lpstr>A.03.01-2</vt:lpstr>
      <vt:lpstr>A.03.01-3</vt:lpstr>
      <vt:lpstr>A.03.01-4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Tenorio</dc:creator>
  <cp:lastModifiedBy>Admin</cp:lastModifiedBy>
  <dcterms:created xsi:type="dcterms:W3CDTF">2017-03-15T19:37:05Z</dcterms:created>
  <dcterms:modified xsi:type="dcterms:W3CDTF">2026-04-16T23:56:46Z</dcterms:modified>
</cp:coreProperties>
</file>