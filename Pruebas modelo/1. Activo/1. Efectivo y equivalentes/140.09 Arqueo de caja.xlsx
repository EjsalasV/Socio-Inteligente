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choe\Downloads\Papeles Modelo Kreston-20260416T233239Z-3-001\Papeles Modelo Kreston\02. Pruebas sustantivas 2024\02. Pruebas sustantivas\1. Activo\1. Efectivo y equivalentes\"/>
    </mc:Choice>
  </mc:AlternateContent>
  <xr:revisionPtr revIDLastSave="0" documentId="13_ncr:1_{99F12D83-E2EA-43CF-A7D0-BBC608912B37}" xr6:coauthVersionLast="47" xr6:coauthVersionMax="47" xr10:uidLastSave="{00000000-0000-0000-0000-000000000000}"/>
  <bookViews>
    <workbookView xWindow="-110" yWindow="-110" windowWidth="19420" windowHeight="10300" xr2:uid="{79D72D24-EF23-4ACE-90A4-8EED3DEABB1A}"/>
  </bookViews>
  <sheets>
    <sheet name="140.10" sheetId="1" r:id="rId1"/>
  </sheets>
  <definedNames>
    <definedName name="_xlnm.Print_Area" localSheetId="0">'140.10'!$A$4:$M$75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6" i="1" l="1"/>
  <c r="H17" i="1"/>
  <c r="H33" i="1"/>
  <c r="H32" i="1"/>
  <c r="H31" i="1"/>
  <c r="H30" i="1"/>
  <c r="H29" i="1"/>
  <c r="H28" i="1"/>
  <c r="H22" i="1"/>
  <c r="H21" i="1"/>
  <c r="H20" i="1"/>
  <c r="H19" i="1"/>
  <c r="H18" i="1"/>
  <c r="H35" i="1" l="1"/>
  <c r="H24" i="1"/>
  <c r="H38" i="1" l="1"/>
  <c r="I58" i="1" s="1"/>
  <c r="I62" i="1" s="1"/>
</calcChain>
</file>

<file path=xl/sharedStrings.xml><?xml version="1.0" encoding="utf-8"?>
<sst xmlns="http://schemas.openxmlformats.org/spreadsheetml/2006/main" count="44" uniqueCount="34">
  <si>
    <t xml:space="preserve">En la ciudad de </t>
  </si>
  <si>
    <t xml:space="preserve">contando con la presencia de: </t>
  </si>
  <si>
    <t>$</t>
  </si>
  <si>
    <t>Certifico que todos los valores aquí detallados son los que se encuentran en mi custodia, y que luego del arqueo</t>
  </si>
  <si>
    <t>me fueron entregados a mi entera satisfacción.</t>
  </si>
  <si>
    <t>responsable del manejo del fondo de caja chica de la entidad</t>
  </si>
  <si>
    <t>Total</t>
  </si>
  <si>
    <t>Diferencia</t>
  </si>
  <si>
    <t xml:space="preserve">***Justificar las diferencias o sobrantes </t>
  </si>
  <si>
    <t>Detalle</t>
  </si>
  <si>
    <t>ARQUEO DE:                    CAJA                    CAJA CHICA                    FONDO ROTATIVO</t>
  </si>
  <si>
    <t>Denominación</t>
  </si>
  <si>
    <t>Cantidad</t>
  </si>
  <si>
    <t>Tipo de documento</t>
  </si>
  <si>
    <t>Nro. documento</t>
  </si>
  <si>
    <t>Total comprobantes</t>
  </si>
  <si>
    <t>Total fondo arqueado</t>
  </si>
  <si>
    <t>Fondo según balance</t>
  </si>
  <si>
    <t>Comentarios</t>
  </si>
  <si>
    <t>Responsable del fondo</t>
  </si>
  <si>
    <t>Auditoría</t>
  </si>
  <si>
    <t>Contador</t>
  </si>
  <si>
    <t>Descripción de billetes dólares:</t>
  </si>
  <si>
    <t>Descripción de monedas dólares:</t>
  </si>
  <si>
    <t>Total:</t>
  </si>
  <si>
    <t>Total efectivo</t>
  </si>
  <si>
    <t>Comprobantes</t>
  </si>
  <si>
    <t>Valor</t>
  </si>
  <si>
    <t xml:space="preserve">***Las filas dependen de la cantidad de comprobantes a razón de </t>
  </si>
  <si>
    <t xml:space="preserve">desembolsos con caja chica </t>
  </si>
  <si>
    <t>Quito</t>
  </si>
  <si>
    <t>a los  30</t>
  </si>
  <si>
    <t>días del mes de Octubre</t>
  </si>
  <si>
    <t>del 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</si>
</sst>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b/>
      <sz val="10"/>
      <color rgb="FF002060"/>
      <name val="Tahoma"/>
      <family val="2"/>
    </font>
    <font>
      <sz val="10"/>
      <color rgb="FFFF0000"/>
      <name val="Tahoma"/>
      <family val="2"/>
    </font>
    <font>
      <u/>
      <sz val="10"/>
      <name val="Tahoma"/>
      <family val="2"/>
    </font>
    <font>
      <b/>
      <sz val="10"/>
      <color rgb="FFFF0000"/>
      <name val="Tahoma"/>
      <family val="2"/>
    </font>
    <font>
      <b/>
      <sz val="10"/>
      <color theme="1"/>
      <name val="Tahoma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0" fillId="0" borderId="0"/>
    <xf numFmtId="0" fontId="10" fillId="0" borderId="0"/>
  </cellStyleXfs>
  <cellXfs count="64">
    <xf numFmtId="0" fontId="0" fillId="0" borderId="0" xfId="0"/>
    <xf numFmtId="0" fontId="2" fillId="2" borderId="0" xfId="0" applyFont="1" applyFill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3" fillId="2" borderId="0" xfId="0" applyFont="1" applyFill="1"/>
    <xf numFmtId="0" fontId="4" fillId="2" borderId="0" xfId="0" applyFont="1" applyFill="1"/>
    <xf numFmtId="0" fontId="3" fillId="2" borderId="7" xfId="0" applyFont="1" applyFill="1" applyBorder="1"/>
    <xf numFmtId="0" fontId="2" fillId="2" borderId="7" xfId="0" applyFont="1" applyFill="1" applyBorder="1"/>
    <xf numFmtId="3" fontId="2" fillId="2" borderId="8" xfId="1" applyNumberFormat="1" applyFont="1" applyFill="1" applyBorder="1"/>
    <xf numFmtId="0" fontId="2" fillId="2" borderId="8" xfId="0" applyFont="1" applyFill="1" applyBorder="1"/>
    <xf numFmtId="4" fontId="2" fillId="2" borderId="8" xfId="0" applyNumberFormat="1" applyFont="1" applyFill="1" applyBorder="1"/>
    <xf numFmtId="4" fontId="2" fillId="2" borderId="0" xfId="0" applyNumberFormat="1" applyFont="1" applyFill="1"/>
    <xf numFmtId="3" fontId="4" fillId="2" borderId="8" xfId="1" applyNumberFormat="1" applyFont="1" applyFill="1" applyBorder="1"/>
    <xf numFmtId="3" fontId="4" fillId="2" borderId="0" xfId="1" applyNumberFormat="1" applyFont="1" applyFill="1" applyBorder="1"/>
    <xf numFmtId="0" fontId="2" fillId="2" borderId="0" xfId="0" applyFont="1" applyFill="1" applyBorder="1"/>
    <xf numFmtId="4" fontId="2" fillId="2" borderId="0" xfId="0" applyNumberFormat="1" applyFont="1" applyFill="1" applyBorder="1"/>
    <xf numFmtId="164" fontId="3" fillId="2" borderId="0" xfId="1" applyNumberFormat="1" applyFont="1" applyFill="1" applyBorder="1"/>
    <xf numFmtId="4" fontId="3" fillId="2" borderId="0" xfId="0" applyNumberFormat="1" applyFont="1" applyFill="1" applyBorder="1" applyAlignment="1">
      <alignment horizontal="right"/>
    </xf>
    <xf numFmtId="4" fontId="3" fillId="2" borderId="14" xfId="0" applyNumberFormat="1" applyFont="1" applyFill="1" applyBorder="1"/>
    <xf numFmtId="4" fontId="3" fillId="2" borderId="0" xfId="0" applyNumberFormat="1" applyFont="1" applyFill="1"/>
    <xf numFmtId="4" fontId="2" fillId="2" borderId="8" xfId="1" applyNumberFormat="1" applyFont="1" applyFill="1" applyBorder="1"/>
    <xf numFmtId="4" fontId="2" fillId="2" borderId="9" xfId="1" applyNumberFormat="1" applyFont="1" applyFill="1" applyBorder="1"/>
    <xf numFmtId="4" fontId="2" fillId="2" borderId="0" xfId="1" applyNumberFormat="1" applyFont="1" applyFill="1" applyBorder="1"/>
    <xf numFmtId="0" fontId="3" fillId="2" borderId="0" xfId="0" applyFont="1" applyFill="1" applyAlignment="1">
      <alignment horizontal="right"/>
    </xf>
    <xf numFmtId="4" fontId="3" fillId="2" borderId="10" xfId="0" applyNumberFormat="1" applyFont="1" applyFill="1" applyBorder="1"/>
    <xf numFmtId="0" fontId="2" fillId="2" borderId="8" xfId="0" quotePrefix="1" applyFont="1" applyFill="1" applyBorder="1"/>
    <xf numFmtId="2" fontId="3" fillId="2" borderId="8" xfId="0" applyNumberFormat="1" applyFont="1" applyFill="1" applyBorder="1"/>
    <xf numFmtId="0" fontId="4" fillId="2" borderId="8" xfId="0" quotePrefix="1" applyFont="1" applyFill="1" applyBorder="1"/>
    <xf numFmtId="0" fontId="3" fillId="2" borderId="0" xfId="0" applyFont="1" applyFill="1" applyBorder="1"/>
    <xf numFmtId="0" fontId="7" fillId="2" borderId="0" xfId="0" applyFont="1" applyFill="1" applyBorder="1"/>
    <xf numFmtId="4" fontId="2" fillId="2" borderId="10" xfId="0" applyNumberFormat="1" applyFont="1" applyFill="1" applyBorder="1"/>
    <xf numFmtId="4" fontId="2" fillId="2" borderId="11" xfId="0" applyNumberFormat="1" applyFont="1" applyFill="1" applyBorder="1"/>
    <xf numFmtId="2" fontId="2" fillId="2" borderId="11" xfId="0" applyNumberFormat="1" applyFont="1" applyFill="1" applyBorder="1"/>
    <xf numFmtId="0" fontId="8" fillId="2" borderId="0" xfId="0" applyFont="1" applyFill="1"/>
    <xf numFmtId="4" fontId="6" fillId="2" borderId="0" xfId="0" applyNumberFormat="1" applyFont="1" applyFill="1" applyBorder="1"/>
    <xf numFmtId="4" fontId="2" fillId="2" borderId="7" xfId="0" applyNumberFormat="1" applyFont="1" applyFill="1" applyBorder="1"/>
    <xf numFmtId="0" fontId="2" fillId="2" borderId="12" xfId="0" applyFont="1" applyFill="1" applyBorder="1"/>
    <xf numFmtId="0" fontId="2" fillId="2" borderId="13" xfId="0" applyFont="1" applyFill="1" applyBorder="1"/>
    <xf numFmtId="0" fontId="4" fillId="2" borderId="15" xfId="0" applyFont="1" applyFill="1" applyBorder="1"/>
    <xf numFmtId="0" fontId="5" fillId="3" borderId="8" xfId="0" applyFont="1" applyFill="1" applyBorder="1" applyAlignment="1">
      <alignment horizontal="center"/>
    </xf>
    <xf numFmtId="0" fontId="3" fillId="0" borderId="0" xfId="0" applyFont="1" applyFill="1"/>
    <xf numFmtId="4" fontId="3" fillId="0" borderId="0" xfId="0" applyNumberFormat="1" applyFont="1" applyFill="1"/>
    <xf numFmtId="0" fontId="9" fillId="0" borderId="0" xfId="0" applyFont="1" applyFill="1"/>
    <xf numFmtId="0" fontId="2" fillId="0" borderId="0" xfId="0" applyFont="1" applyFill="1"/>
    <xf numFmtId="0" fontId="6" fillId="0" borderId="0" xfId="0" applyFont="1"/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4" fillId="2" borderId="8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4" fillId="2" borderId="8" xfId="0" applyFont="1" applyFill="1" applyBorder="1"/>
    <xf numFmtId="0" fontId="6" fillId="2" borderId="8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3" fillId="2" borderId="10" xfId="0" applyFont="1" applyFill="1" applyBorder="1"/>
    <xf numFmtId="0" fontId="3" fillId="2" borderId="15" xfId="0" applyFont="1" applyFill="1" applyBorder="1"/>
    <xf numFmtId="0" fontId="3" fillId="2" borderId="5" xfId="0" applyFont="1" applyFill="1" applyBorder="1" applyAlignment="1">
      <alignment horizontal="center"/>
    </xf>
  </cellXfs>
  <cellStyles count="4">
    <cellStyle name="Millares" xfId="1" builtinId="3"/>
    <cellStyle name="Normal" xfId="0" builtinId="0"/>
    <cellStyle name="Normal 17 2" xfId="3" xr:uid="{182CEFDE-A743-490E-8199-8C19E11FE58A}"/>
    <cellStyle name="Normal 2" xfId="2" xr:uid="{ECE2480F-2240-433A-BBC2-69AE797279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8</xdr:row>
      <xdr:rowOff>57150</xdr:rowOff>
    </xdr:from>
    <xdr:to>
      <xdr:col>10</xdr:col>
      <xdr:colOff>9525</xdr:colOff>
      <xdr:row>8</xdr:row>
      <xdr:rowOff>57150</xdr:rowOff>
    </xdr:to>
    <xdr:sp macro="" textlink="">
      <xdr:nvSpPr>
        <xdr:cNvPr id="2" name="Line 2">
          <a:extLst>
            <a:ext uri="{FF2B5EF4-FFF2-40B4-BE49-F238E27FC236}">
              <a16:creationId xmlns:a16="http://schemas.microsoft.com/office/drawing/2014/main" id="{5DA74B5D-F164-4349-B067-94414AFCC0E1}"/>
            </a:ext>
          </a:extLst>
        </xdr:cNvPr>
        <xdr:cNvSpPr>
          <a:spLocks noChangeShapeType="1"/>
        </xdr:cNvSpPr>
      </xdr:nvSpPr>
      <xdr:spPr bwMode="auto">
        <a:xfrm>
          <a:off x="495300" y="1209675"/>
          <a:ext cx="7115175" cy="0"/>
        </a:xfrm>
        <a:prstGeom prst="line">
          <a:avLst/>
        </a:prstGeom>
        <a:noFill/>
        <a:ln w="38100" cmpd="dbl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57150</xdr:rowOff>
    </xdr:from>
    <xdr:to>
      <xdr:col>10</xdr:col>
      <xdr:colOff>9525</xdr:colOff>
      <xdr:row>8</xdr:row>
      <xdr:rowOff>57150</xdr:rowOff>
    </xdr:to>
    <xdr:sp macro="" textlink="">
      <xdr:nvSpPr>
        <xdr:cNvPr id="3" name="Line 3">
          <a:extLst>
            <a:ext uri="{FF2B5EF4-FFF2-40B4-BE49-F238E27FC236}">
              <a16:creationId xmlns:a16="http://schemas.microsoft.com/office/drawing/2014/main" id="{E6BBB0DA-05D3-443D-904B-666A660F5857}"/>
            </a:ext>
          </a:extLst>
        </xdr:cNvPr>
        <xdr:cNvSpPr>
          <a:spLocks noChangeShapeType="1"/>
        </xdr:cNvSpPr>
      </xdr:nvSpPr>
      <xdr:spPr bwMode="auto">
        <a:xfrm>
          <a:off x="495300" y="1209675"/>
          <a:ext cx="7115175" cy="0"/>
        </a:xfrm>
        <a:prstGeom prst="line">
          <a:avLst/>
        </a:prstGeom>
        <a:noFill/>
        <a:ln w="38100" cmpd="dbl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57150</xdr:rowOff>
    </xdr:from>
    <xdr:to>
      <xdr:col>10</xdr:col>
      <xdr:colOff>9525</xdr:colOff>
      <xdr:row>8</xdr:row>
      <xdr:rowOff>57150</xdr:rowOff>
    </xdr:to>
    <xdr:sp macro="" textlink="">
      <xdr:nvSpPr>
        <xdr:cNvPr id="5" name="Line 6">
          <a:extLst>
            <a:ext uri="{FF2B5EF4-FFF2-40B4-BE49-F238E27FC236}">
              <a16:creationId xmlns:a16="http://schemas.microsoft.com/office/drawing/2014/main" id="{F71FA401-637C-4CDE-9174-3F79AF0DDDA5}"/>
            </a:ext>
          </a:extLst>
        </xdr:cNvPr>
        <xdr:cNvSpPr>
          <a:spLocks noChangeShapeType="1"/>
        </xdr:cNvSpPr>
      </xdr:nvSpPr>
      <xdr:spPr bwMode="auto">
        <a:xfrm>
          <a:off x="495300" y="1209675"/>
          <a:ext cx="7115175" cy="0"/>
        </a:xfrm>
        <a:prstGeom prst="line">
          <a:avLst/>
        </a:prstGeom>
        <a:noFill/>
        <a:ln w="38100" cmpd="dbl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57150</xdr:rowOff>
    </xdr:from>
    <xdr:to>
      <xdr:col>10</xdr:col>
      <xdr:colOff>9525</xdr:colOff>
      <xdr:row>8</xdr:row>
      <xdr:rowOff>57150</xdr:rowOff>
    </xdr:to>
    <xdr:sp macro="" textlink="">
      <xdr:nvSpPr>
        <xdr:cNvPr id="6" name="Line 7">
          <a:extLst>
            <a:ext uri="{FF2B5EF4-FFF2-40B4-BE49-F238E27FC236}">
              <a16:creationId xmlns:a16="http://schemas.microsoft.com/office/drawing/2014/main" id="{A997B01D-FCA3-4FD3-8CFA-F9BF419E8E27}"/>
            </a:ext>
          </a:extLst>
        </xdr:cNvPr>
        <xdr:cNvSpPr>
          <a:spLocks noChangeShapeType="1"/>
        </xdr:cNvSpPr>
      </xdr:nvSpPr>
      <xdr:spPr bwMode="auto">
        <a:xfrm>
          <a:off x="495300" y="1209675"/>
          <a:ext cx="7115175" cy="0"/>
        </a:xfrm>
        <a:prstGeom prst="line">
          <a:avLst/>
        </a:prstGeom>
        <a:noFill/>
        <a:ln w="38100" cmpd="dbl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267074</xdr:colOff>
      <xdr:row>5</xdr:row>
      <xdr:rowOff>141568</xdr:rowOff>
    </xdr:from>
    <xdr:to>
      <xdr:col>5</xdr:col>
      <xdr:colOff>419474</xdr:colOff>
      <xdr:row>6</xdr:row>
      <xdr:rowOff>151877</xdr:rowOff>
    </xdr:to>
    <xdr:sp macro="" textlink="">
      <xdr:nvSpPr>
        <xdr:cNvPr id="7" name="Rectangle 8">
          <a:extLst>
            <a:ext uri="{FF2B5EF4-FFF2-40B4-BE49-F238E27FC236}">
              <a16:creationId xmlns:a16="http://schemas.microsoft.com/office/drawing/2014/main" id="{2BD88F9D-FC0D-4905-B055-FF84661E85E3}"/>
            </a:ext>
          </a:extLst>
        </xdr:cNvPr>
        <xdr:cNvSpPr>
          <a:spLocks noChangeArrowheads="1"/>
        </xdr:cNvSpPr>
      </xdr:nvSpPr>
      <xdr:spPr bwMode="auto">
        <a:xfrm>
          <a:off x="4936192" y="940921"/>
          <a:ext cx="152400" cy="1522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C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s-EC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6</xdr:col>
      <xdr:colOff>500530</xdr:colOff>
      <xdr:row>6</xdr:row>
      <xdr:rowOff>0</xdr:rowOff>
    </xdr:from>
    <xdr:to>
      <xdr:col>6</xdr:col>
      <xdr:colOff>652930</xdr:colOff>
      <xdr:row>6</xdr:row>
      <xdr:rowOff>152250</xdr:rowOff>
    </xdr:to>
    <xdr:sp macro="" textlink="">
      <xdr:nvSpPr>
        <xdr:cNvPr id="10" name="Rectangle 8">
          <a:extLst>
            <a:ext uri="{FF2B5EF4-FFF2-40B4-BE49-F238E27FC236}">
              <a16:creationId xmlns:a16="http://schemas.microsoft.com/office/drawing/2014/main" id="{91552EA3-3C1D-4C88-A902-3604E4986826}"/>
            </a:ext>
          </a:extLst>
        </xdr:cNvPr>
        <xdr:cNvSpPr>
          <a:spLocks noChangeArrowheads="1"/>
        </xdr:cNvSpPr>
      </xdr:nvSpPr>
      <xdr:spPr bwMode="auto">
        <a:xfrm>
          <a:off x="6462059" y="941294"/>
          <a:ext cx="152400" cy="152250"/>
        </a:xfrm>
        <a:prstGeom prst="rect">
          <a:avLst/>
        </a:prstGeom>
        <a:solidFill>
          <a:schemeClr val="accent6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C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s-EC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7</xdr:col>
      <xdr:colOff>1023471</xdr:colOff>
      <xdr:row>5</xdr:row>
      <xdr:rowOff>127000</xdr:rowOff>
    </xdr:from>
    <xdr:to>
      <xdr:col>8</xdr:col>
      <xdr:colOff>17929</xdr:colOff>
      <xdr:row>6</xdr:row>
      <xdr:rowOff>137309</xdr:rowOff>
    </xdr:to>
    <xdr:sp macro="" textlink="">
      <xdr:nvSpPr>
        <xdr:cNvPr id="11" name="Rectangle 8">
          <a:extLst>
            <a:ext uri="{FF2B5EF4-FFF2-40B4-BE49-F238E27FC236}">
              <a16:creationId xmlns:a16="http://schemas.microsoft.com/office/drawing/2014/main" id="{A005A2A8-D5EC-4F3E-A5A9-A8F70B87137F}"/>
            </a:ext>
          </a:extLst>
        </xdr:cNvPr>
        <xdr:cNvSpPr>
          <a:spLocks noChangeArrowheads="1"/>
        </xdr:cNvSpPr>
      </xdr:nvSpPr>
      <xdr:spPr bwMode="auto">
        <a:xfrm>
          <a:off x="8382000" y="926353"/>
          <a:ext cx="152400" cy="1522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C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s-EC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E1A5D-7F14-42C6-AA63-BE0194AD1927}">
  <dimension ref="B4:K77"/>
  <sheetViews>
    <sheetView showGridLines="0" tabSelected="1" zoomScale="85" zoomScaleNormal="85" zoomScaleSheetLayoutView="85" workbookViewId="0">
      <selection activeCell="F13" sqref="F13"/>
    </sheetView>
  </sheetViews>
  <sheetFormatPr baseColWidth="10" defaultColWidth="11.453125" defaultRowHeight="12.5" x14ac:dyDescent="0.25"/>
  <cols>
    <col min="1" max="1" width="3.26953125" style="1" customWidth="1"/>
    <col min="2" max="2" width="5.81640625" style="1" customWidth="1"/>
    <col min="3" max="3" width="19.1796875" style="1" customWidth="1"/>
    <col min="4" max="4" width="5.1796875" style="1" customWidth="1"/>
    <col min="5" max="5" width="23.81640625" style="1" customWidth="1"/>
    <col min="6" max="6" width="18.54296875" style="1" customWidth="1"/>
    <col min="7" max="7" width="20" style="1" customWidth="1"/>
    <col min="8" max="8" width="16.54296875" style="1" customWidth="1"/>
    <col min="9" max="9" width="14.81640625" style="1" customWidth="1"/>
    <col min="10" max="10" width="11.453125" style="1"/>
    <col min="11" max="11" width="20.81640625" style="1" customWidth="1"/>
    <col min="12" max="16384" width="11.453125" style="1"/>
  </cols>
  <sheetData>
    <row r="4" spans="2:11" ht="13" thickBot="1" x14ac:dyDescent="0.3">
      <c r="J4" s="2"/>
    </row>
    <row r="5" spans="2:11" ht="37.5" customHeight="1" x14ac:dyDescent="0.25">
      <c r="B5" s="3"/>
      <c r="C5" s="4"/>
      <c r="D5" s="4"/>
      <c r="E5" s="4"/>
      <c r="F5" s="4"/>
      <c r="G5" s="4"/>
      <c r="H5" s="4"/>
      <c r="I5" s="4"/>
      <c r="K5" s="5"/>
    </row>
    <row r="6" spans="2:11" ht="11.25" customHeight="1" x14ac:dyDescent="0.25">
      <c r="B6" s="6"/>
      <c r="K6" s="7"/>
    </row>
    <row r="7" spans="2:11" x14ac:dyDescent="0.25">
      <c r="B7" s="63" t="s">
        <v>10</v>
      </c>
      <c r="C7" s="54"/>
      <c r="D7" s="54"/>
      <c r="E7" s="54"/>
      <c r="F7" s="54"/>
      <c r="G7" s="54"/>
      <c r="H7" s="54"/>
      <c r="I7" s="54"/>
      <c r="J7" s="54"/>
      <c r="K7" s="7"/>
    </row>
    <row r="8" spans="2:11" x14ac:dyDescent="0.25">
      <c r="B8" s="6"/>
      <c r="C8" s="54"/>
      <c r="D8" s="54"/>
      <c r="K8" s="7"/>
    </row>
    <row r="9" spans="2:11" x14ac:dyDescent="0.25">
      <c r="B9" s="6"/>
      <c r="K9" s="7"/>
    </row>
    <row r="10" spans="2:11" x14ac:dyDescent="0.25">
      <c r="B10" s="6"/>
      <c r="C10" s="1" t="s">
        <v>0</v>
      </c>
      <c r="E10" s="8" t="s">
        <v>30</v>
      </c>
      <c r="F10" s="9" t="s">
        <v>31</v>
      </c>
      <c r="G10" s="9" t="s">
        <v>32</v>
      </c>
      <c r="H10" s="8"/>
      <c r="I10" s="9" t="s">
        <v>33</v>
      </c>
      <c r="K10" s="7"/>
    </row>
    <row r="11" spans="2:11" x14ac:dyDescent="0.25">
      <c r="B11" s="6"/>
      <c r="C11" s="9"/>
      <c r="F11" s="8"/>
      <c r="J11" s="8"/>
      <c r="K11" s="7"/>
    </row>
    <row r="12" spans="2:11" x14ac:dyDescent="0.25">
      <c r="B12" s="6"/>
      <c r="C12" s="1" t="s">
        <v>1</v>
      </c>
      <c r="F12" s="10"/>
      <c r="G12" s="11"/>
      <c r="H12" s="9" t="s">
        <v>5</v>
      </c>
      <c r="K12" s="7"/>
    </row>
    <row r="13" spans="2:11" x14ac:dyDescent="0.25">
      <c r="B13" s="6"/>
      <c r="C13" s="10"/>
      <c r="D13" s="11"/>
      <c r="E13" s="11"/>
      <c r="F13" s="10"/>
      <c r="H13" s="9"/>
      <c r="K13" s="7"/>
    </row>
    <row r="14" spans="2:11" x14ac:dyDescent="0.25">
      <c r="B14" s="6"/>
      <c r="C14" s="8"/>
      <c r="K14" s="7"/>
    </row>
    <row r="15" spans="2:11" x14ac:dyDescent="0.25">
      <c r="B15" s="6"/>
      <c r="F15" s="8" t="s">
        <v>22</v>
      </c>
      <c r="K15" s="7"/>
    </row>
    <row r="16" spans="2:11" x14ac:dyDescent="0.25">
      <c r="B16" s="6"/>
      <c r="F16" s="43" t="s">
        <v>11</v>
      </c>
      <c r="G16" s="43" t="s">
        <v>12</v>
      </c>
      <c r="H16" s="43" t="s">
        <v>6</v>
      </c>
      <c r="I16" s="50"/>
      <c r="K16" s="7"/>
    </row>
    <row r="17" spans="2:11" x14ac:dyDescent="0.25">
      <c r="B17" s="6"/>
      <c r="F17" s="12">
        <v>100</v>
      </c>
      <c r="G17" s="13"/>
      <c r="H17" s="14">
        <f>F17*G17</f>
        <v>0</v>
      </c>
      <c r="I17" s="15"/>
      <c r="K17" s="7"/>
    </row>
    <row r="18" spans="2:11" x14ac:dyDescent="0.25">
      <c r="B18" s="6"/>
      <c r="F18" s="12">
        <v>50</v>
      </c>
      <c r="G18" s="13"/>
      <c r="H18" s="14">
        <f t="shared" ref="H18:H22" si="0">F18*G18</f>
        <v>0</v>
      </c>
      <c r="I18" s="15"/>
      <c r="K18" s="7"/>
    </row>
    <row r="19" spans="2:11" x14ac:dyDescent="0.25">
      <c r="B19" s="6"/>
      <c r="F19" s="12">
        <v>20</v>
      </c>
      <c r="G19" s="13"/>
      <c r="H19" s="14">
        <f t="shared" si="0"/>
        <v>0</v>
      </c>
      <c r="I19" s="15"/>
      <c r="K19" s="7"/>
    </row>
    <row r="20" spans="2:11" x14ac:dyDescent="0.25">
      <c r="B20" s="6"/>
      <c r="F20" s="12">
        <v>10</v>
      </c>
      <c r="G20" s="13"/>
      <c r="H20" s="14">
        <f t="shared" si="0"/>
        <v>0</v>
      </c>
      <c r="I20" s="15"/>
      <c r="K20" s="7"/>
    </row>
    <row r="21" spans="2:11" x14ac:dyDescent="0.25">
      <c r="B21" s="6"/>
      <c r="F21" s="12">
        <v>5</v>
      </c>
      <c r="G21" s="13"/>
      <c r="H21" s="14">
        <f t="shared" si="0"/>
        <v>0</v>
      </c>
      <c r="I21" s="15"/>
      <c r="K21" s="7"/>
    </row>
    <row r="22" spans="2:11" x14ac:dyDescent="0.25">
      <c r="B22" s="6"/>
      <c r="F22" s="16">
        <v>1</v>
      </c>
      <c r="G22" s="13"/>
      <c r="H22" s="14">
        <f t="shared" si="0"/>
        <v>0</v>
      </c>
      <c r="I22" s="15"/>
      <c r="K22" s="7"/>
    </row>
    <row r="23" spans="2:11" ht="8.5" customHeight="1" x14ac:dyDescent="0.25">
      <c r="B23" s="6"/>
      <c r="F23" s="17"/>
      <c r="G23" s="18"/>
      <c r="H23" s="19"/>
      <c r="I23" s="15"/>
      <c r="K23" s="7"/>
    </row>
    <row r="24" spans="2:11" ht="13" thickBot="1" x14ac:dyDescent="0.3">
      <c r="B24" s="6"/>
      <c r="F24" s="20" t="s">
        <v>24</v>
      </c>
      <c r="G24" s="21" t="s">
        <v>2</v>
      </c>
      <c r="H24" s="22">
        <f>SUM(H17:H22)</f>
        <v>0</v>
      </c>
      <c r="I24" s="23"/>
      <c r="K24" s="7"/>
    </row>
    <row r="25" spans="2:11" ht="13" thickTop="1" x14ac:dyDescent="0.25">
      <c r="B25" s="6"/>
      <c r="K25" s="7"/>
    </row>
    <row r="26" spans="2:11" ht="14.25" customHeight="1" x14ac:dyDescent="0.25">
      <c r="B26" s="6"/>
      <c r="C26" s="8"/>
      <c r="E26" s="15"/>
      <c r="F26" s="8" t="s">
        <v>23</v>
      </c>
      <c r="I26" s="23"/>
      <c r="K26" s="7"/>
    </row>
    <row r="27" spans="2:11" ht="14.25" customHeight="1" x14ac:dyDescent="0.25">
      <c r="B27" s="6"/>
      <c r="F27" s="43" t="s">
        <v>11</v>
      </c>
      <c r="G27" s="43" t="s">
        <v>12</v>
      </c>
      <c r="H27" s="43" t="s">
        <v>6</v>
      </c>
      <c r="K27" s="7"/>
    </row>
    <row r="28" spans="2:11" ht="14.25" customHeight="1" x14ac:dyDescent="0.25">
      <c r="B28" s="6"/>
      <c r="F28" s="24">
        <v>1</v>
      </c>
      <c r="G28" s="14"/>
      <c r="H28" s="14">
        <f>F28*G28</f>
        <v>0</v>
      </c>
      <c r="K28" s="7"/>
    </row>
    <row r="29" spans="2:11" x14ac:dyDescent="0.25">
      <c r="B29" s="6"/>
      <c r="F29" s="24">
        <v>0.5</v>
      </c>
      <c r="G29" s="14"/>
      <c r="H29" s="14">
        <f t="shared" ref="H29:H33" si="1">F29*G29</f>
        <v>0</v>
      </c>
      <c r="K29" s="7"/>
    </row>
    <row r="30" spans="2:11" x14ac:dyDescent="0.25">
      <c r="B30" s="6"/>
      <c r="F30" s="24">
        <v>0.25</v>
      </c>
      <c r="G30" s="14"/>
      <c r="H30" s="14">
        <f t="shared" si="1"/>
        <v>0</v>
      </c>
      <c r="K30" s="7"/>
    </row>
    <row r="31" spans="2:11" x14ac:dyDescent="0.25">
      <c r="B31" s="6"/>
      <c r="F31" s="24">
        <v>0.1</v>
      </c>
      <c r="G31" s="14"/>
      <c r="H31" s="14">
        <f t="shared" si="1"/>
        <v>0</v>
      </c>
      <c r="K31" s="7"/>
    </row>
    <row r="32" spans="2:11" x14ac:dyDescent="0.25">
      <c r="B32" s="6"/>
      <c r="F32" s="25">
        <v>0.05</v>
      </c>
      <c r="G32" s="14"/>
      <c r="H32" s="14">
        <f t="shared" si="1"/>
        <v>0</v>
      </c>
      <c r="K32" s="7"/>
    </row>
    <row r="33" spans="2:11" x14ac:dyDescent="0.25">
      <c r="B33" s="6"/>
      <c r="F33" s="24">
        <v>0.01</v>
      </c>
      <c r="G33" s="14"/>
      <c r="H33" s="14">
        <f t="shared" si="1"/>
        <v>0</v>
      </c>
      <c r="K33" s="7"/>
    </row>
    <row r="34" spans="2:11" ht="8" customHeight="1" x14ac:dyDescent="0.25">
      <c r="B34" s="6"/>
      <c r="F34" s="26"/>
      <c r="G34" s="19"/>
      <c r="H34" s="19"/>
      <c r="K34" s="7"/>
    </row>
    <row r="35" spans="2:11" ht="13" thickBot="1" x14ac:dyDescent="0.3">
      <c r="B35" s="6"/>
      <c r="F35" s="20" t="s">
        <v>24</v>
      </c>
      <c r="G35" s="21" t="s">
        <v>2</v>
      </c>
      <c r="H35" s="22">
        <f>SUM(H28:H33)</f>
        <v>0</v>
      </c>
      <c r="K35" s="7"/>
    </row>
    <row r="36" spans="2:11" ht="13" thickTop="1" x14ac:dyDescent="0.25">
      <c r="B36" s="6"/>
      <c r="K36" s="7"/>
    </row>
    <row r="37" spans="2:11" x14ac:dyDescent="0.25">
      <c r="B37" s="6"/>
      <c r="K37" s="7"/>
    </row>
    <row r="38" spans="2:11" x14ac:dyDescent="0.25">
      <c r="B38" s="6"/>
      <c r="F38" s="8" t="s">
        <v>25</v>
      </c>
      <c r="G38" s="27" t="s">
        <v>2</v>
      </c>
      <c r="H38" s="28">
        <f>H24+H35</f>
        <v>0</v>
      </c>
      <c r="K38" s="7"/>
    </row>
    <row r="39" spans="2:11" ht="5.25" customHeight="1" x14ac:dyDescent="0.25">
      <c r="B39" s="6"/>
      <c r="K39" s="7"/>
    </row>
    <row r="40" spans="2:11" ht="14.25" customHeight="1" x14ac:dyDescent="0.25">
      <c r="B40" s="6"/>
      <c r="C40" s="8" t="s">
        <v>26</v>
      </c>
      <c r="E40" s="15"/>
      <c r="K40" s="7"/>
    </row>
    <row r="41" spans="2:11" ht="7.5" customHeight="1" x14ac:dyDescent="0.25">
      <c r="B41" s="6"/>
      <c r="C41" s="8"/>
      <c r="E41" s="15"/>
      <c r="K41" s="7"/>
    </row>
    <row r="42" spans="2:11" ht="14.25" customHeight="1" x14ac:dyDescent="0.25">
      <c r="B42" s="6"/>
      <c r="C42" s="56" t="s">
        <v>9</v>
      </c>
      <c r="D42" s="56"/>
      <c r="E42" s="56"/>
      <c r="F42" s="56"/>
      <c r="G42" s="51" t="s">
        <v>13</v>
      </c>
      <c r="H42" s="51" t="s">
        <v>14</v>
      </c>
      <c r="I42" s="51" t="s">
        <v>27</v>
      </c>
      <c r="K42" s="7"/>
    </row>
    <row r="43" spans="2:11" ht="14.25" customHeight="1" x14ac:dyDescent="0.25">
      <c r="B43" s="6"/>
      <c r="C43" s="57"/>
      <c r="D43" s="57"/>
      <c r="E43" s="57"/>
      <c r="F43" s="57"/>
      <c r="G43" s="52"/>
      <c r="H43" s="29"/>
      <c r="I43" s="30"/>
      <c r="K43" s="7"/>
    </row>
    <row r="44" spans="2:11" ht="14.25" customHeight="1" x14ac:dyDescent="0.25">
      <c r="B44" s="6"/>
      <c r="C44" s="57"/>
      <c r="D44" s="57"/>
      <c r="E44" s="57"/>
      <c r="F44" s="57"/>
      <c r="G44" s="52"/>
      <c r="H44" s="52"/>
      <c r="I44" s="30"/>
      <c r="K44" s="7"/>
    </row>
    <row r="45" spans="2:11" ht="14.25" customHeight="1" x14ac:dyDescent="0.25">
      <c r="B45" s="6"/>
      <c r="C45" s="57"/>
      <c r="D45" s="57"/>
      <c r="E45" s="57"/>
      <c r="F45" s="57"/>
      <c r="G45" s="52"/>
      <c r="H45" s="52"/>
      <c r="I45" s="30"/>
      <c r="K45" s="7"/>
    </row>
    <row r="46" spans="2:11" ht="14.25" customHeight="1" x14ac:dyDescent="0.25">
      <c r="B46" s="6"/>
      <c r="C46" s="57"/>
      <c r="D46" s="57"/>
      <c r="E46" s="57"/>
      <c r="F46" s="57"/>
      <c r="G46" s="52"/>
      <c r="H46" s="52"/>
      <c r="I46" s="30"/>
      <c r="K46" s="7"/>
    </row>
    <row r="47" spans="2:11" ht="14.25" customHeight="1" x14ac:dyDescent="0.25">
      <c r="B47" s="6"/>
      <c r="C47" s="58" t="s">
        <v>28</v>
      </c>
      <c r="D47" s="58"/>
      <c r="E47" s="58"/>
      <c r="F47" s="58"/>
      <c r="G47" s="52"/>
      <c r="H47" s="13"/>
      <c r="I47" s="30"/>
      <c r="K47" s="7"/>
    </row>
    <row r="48" spans="2:11" ht="14.25" customHeight="1" x14ac:dyDescent="0.25">
      <c r="B48" s="6"/>
      <c r="C48" s="58" t="s">
        <v>29</v>
      </c>
      <c r="D48" s="58"/>
      <c r="E48" s="58"/>
      <c r="F48" s="58"/>
      <c r="G48" s="52"/>
      <c r="H48" s="31"/>
      <c r="I48" s="30"/>
      <c r="K48" s="7"/>
    </row>
    <row r="49" spans="2:11" ht="14.25" customHeight="1" x14ac:dyDescent="0.25">
      <c r="B49" s="6"/>
      <c r="C49" s="57"/>
      <c r="D49" s="57"/>
      <c r="E49" s="57"/>
      <c r="F49" s="57"/>
      <c r="G49" s="52"/>
      <c r="H49" s="52"/>
      <c r="I49" s="30"/>
      <c r="K49" s="7"/>
    </row>
    <row r="50" spans="2:11" ht="14.25" customHeight="1" x14ac:dyDescent="0.25">
      <c r="B50" s="6"/>
      <c r="C50" s="59"/>
      <c r="D50" s="59"/>
      <c r="E50" s="59"/>
      <c r="F50" s="59"/>
      <c r="G50" s="52"/>
      <c r="H50" s="52"/>
      <c r="I50" s="53"/>
      <c r="K50" s="7"/>
    </row>
    <row r="51" spans="2:11" ht="14.25" customHeight="1" x14ac:dyDescent="0.25">
      <c r="B51" s="6"/>
      <c r="C51" s="60"/>
      <c r="D51" s="61"/>
      <c r="E51" s="61"/>
      <c r="F51" s="62"/>
      <c r="G51" s="42"/>
      <c r="H51" s="13"/>
      <c r="I51" s="53"/>
      <c r="K51" s="7"/>
    </row>
    <row r="52" spans="2:11" ht="14.25" customHeight="1" x14ac:dyDescent="0.25">
      <c r="B52" s="6"/>
      <c r="C52" s="60"/>
      <c r="D52" s="61"/>
      <c r="E52" s="61"/>
      <c r="F52" s="62"/>
      <c r="G52" s="42"/>
      <c r="H52" s="13"/>
      <c r="I52" s="53"/>
      <c r="K52" s="7"/>
    </row>
    <row r="53" spans="2:11" ht="14.25" customHeight="1" x14ac:dyDescent="0.25">
      <c r="B53" s="6"/>
      <c r="C53" s="32"/>
      <c r="D53" s="18"/>
      <c r="E53" s="19"/>
      <c r="F53" s="18"/>
      <c r="G53" s="18"/>
      <c r="H53" s="18"/>
      <c r="I53" s="33"/>
      <c r="K53" s="7"/>
    </row>
    <row r="54" spans="2:11" ht="14.25" customHeight="1" x14ac:dyDescent="0.25">
      <c r="B54" s="6"/>
      <c r="C54" s="32"/>
      <c r="D54" s="18"/>
      <c r="E54" s="19"/>
      <c r="F54" s="18"/>
      <c r="G54" s="18"/>
      <c r="H54" s="18"/>
      <c r="I54" s="18"/>
      <c r="K54" s="7"/>
    </row>
    <row r="55" spans="2:11" ht="14.25" customHeight="1" x14ac:dyDescent="0.25">
      <c r="B55" s="6"/>
      <c r="K55" s="7"/>
    </row>
    <row r="56" spans="2:11" ht="14.25" customHeight="1" x14ac:dyDescent="0.25">
      <c r="B56" s="6"/>
      <c r="E56" s="44" t="s">
        <v>15</v>
      </c>
      <c r="H56" s="27" t="s">
        <v>2</v>
      </c>
      <c r="I56" s="34">
        <f>SUM(I43:I54)</f>
        <v>0</v>
      </c>
      <c r="K56" s="7"/>
    </row>
    <row r="57" spans="2:11" ht="9" customHeight="1" x14ac:dyDescent="0.25">
      <c r="B57" s="6"/>
      <c r="C57" s="8"/>
      <c r="D57" s="8"/>
      <c r="E57" s="45"/>
      <c r="F57" s="8"/>
      <c r="H57" s="23"/>
      <c r="I57" s="8"/>
      <c r="J57" s="8"/>
      <c r="K57" s="7"/>
    </row>
    <row r="58" spans="2:11" ht="14.25" customHeight="1" x14ac:dyDescent="0.25">
      <c r="B58" s="6"/>
      <c r="C58" s="8"/>
      <c r="D58" s="8"/>
      <c r="E58" s="44" t="s">
        <v>16</v>
      </c>
      <c r="H58" s="27" t="s">
        <v>2</v>
      </c>
      <c r="I58" s="35">
        <f>H38</f>
        <v>0</v>
      </c>
      <c r="J58" s="23"/>
      <c r="K58" s="7"/>
    </row>
    <row r="59" spans="2:11" ht="14.25" customHeight="1" x14ac:dyDescent="0.25">
      <c r="B59" s="6"/>
      <c r="C59" s="8"/>
      <c r="D59" s="8"/>
      <c r="E59" s="44"/>
      <c r="F59" s="8"/>
      <c r="H59" s="27"/>
      <c r="J59" s="8"/>
      <c r="K59" s="7"/>
    </row>
    <row r="60" spans="2:11" ht="14.25" customHeight="1" x14ac:dyDescent="0.25">
      <c r="B60" s="6"/>
      <c r="C60" s="8"/>
      <c r="D60" s="8"/>
      <c r="E60" s="44" t="s">
        <v>17</v>
      </c>
      <c r="H60" s="27" t="s">
        <v>2</v>
      </c>
      <c r="I60" s="36"/>
      <c r="J60" s="37"/>
      <c r="K60" s="7"/>
    </row>
    <row r="61" spans="2:11" ht="14.25" customHeight="1" x14ac:dyDescent="0.25">
      <c r="B61" s="6"/>
      <c r="C61" s="8"/>
      <c r="D61" s="8"/>
      <c r="E61" s="8"/>
      <c r="F61" s="8"/>
      <c r="H61" s="27"/>
      <c r="J61" s="8"/>
      <c r="K61" s="7"/>
    </row>
    <row r="62" spans="2:11" ht="14.25" customHeight="1" x14ac:dyDescent="0.25">
      <c r="B62" s="6"/>
      <c r="C62" s="8"/>
      <c r="D62" s="8"/>
      <c r="E62" s="8"/>
      <c r="F62" s="8" t="s">
        <v>7</v>
      </c>
      <c r="H62" s="27" t="s">
        <v>2</v>
      </c>
      <c r="I62" s="35">
        <f>I60-I58-I56</f>
        <v>0</v>
      </c>
      <c r="J62" s="8"/>
      <c r="K62" s="7"/>
    </row>
    <row r="63" spans="2:11" x14ac:dyDescent="0.25">
      <c r="B63" s="6"/>
      <c r="K63" s="7"/>
    </row>
    <row r="64" spans="2:11" x14ac:dyDescent="0.25">
      <c r="B64" s="6"/>
      <c r="C64" s="9" t="s">
        <v>3</v>
      </c>
      <c r="K64" s="7"/>
    </row>
    <row r="65" spans="2:11" x14ac:dyDescent="0.25">
      <c r="B65" s="6"/>
      <c r="C65" s="9" t="s">
        <v>4</v>
      </c>
      <c r="K65" s="7"/>
    </row>
    <row r="66" spans="2:11" x14ac:dyDescent="0.25">
      <c r="B66" s="6"/>
      <c r="C66" s="9"/>
      <c r="K66" s="7"/>
    </row>
    <row r="67" spans="2:11" x14ac:dyDescent="0.25">
      <c r="B67" s="6"/>
      <c r="C67" s="46" t="s">
        <v>18</v>
      </c>
      <c r="F67" s="55"/>
      <c r="G67" s="55"/>
      <c r="H67" s="47"/>
      <c r="K67" s="7"/>
    </row>
    <row r="68" spans="2:11" x14ac:dyDescent="0.25">
      <c r="B68" s="6"/>
      <c r="C68" s="38" t="s">
        <v>8</v>
      </c>
      <c r="K68" s="7"/>
    </row>
    <row r="69" spans="2:11" ht="14.25" customHeight="1" x14ac:dyDescent="0.25">
      <c r="B69" s="6"/>
      <c r="C69" s="39"/>
      <c r="D69" s="11"/>
      <c r="E69" s="11"/>
      <c r="F69" s="11"/>
      <c r="G69" s="11"/>
      <c r="H69" s="11"/>
      <c r="I69" s="11"/>
      <c r="J69" s="11"/>
      <c r="K69" s="7"/>
    </row>
    <row r="70" spans="2:11" ht="14.25" customHeight="1" x14ac:dyDescent="0.25">
      <c r="B70" s="6"/>
      <c r="C70" s="11"/>
      <c r="D70" s="11"/>
      <c r="E70" s="11"/>
      <c r="F70" s="11"/>
      <c r="G70" s="11"/>
      <c r="H70" s="11"/>
      <c r="I70" s="11"/>
      <c r="J70" s="11"/>
      <c r="K70" s="7"/>
    </row>
    <row r="71" spans="2:11" ht="14.25" customHeight="1" x14ac:dyDescent="0.25">
      <c r="B71" s="6"/>
      <c r="K71" s="7"/>
    </row>
    <row r="72" spans="2:11" ht="14.25" customHeight="1" x14ac:dyDescent="0.25">
      <c r="B72" s="6"/>
      <c r="K72" s="7"/>
    </row>
    <row r="73" spans="2:11" x14ac:dyDescent="0.25">
      <c r="B73" s="6"/>
      <c r="C73" s="11"/>
      <c r="D73" s="11"/>
      <c r="F73" s="11"/>
      <c r="G73" s="11"/>
      <c r="I73" s="11"/>
      <c r="J73" s="11"/>
      <c r="K73" s="7"/>
    </row>
    <row r="74" spans="2:11" x14ac:dyDescent="0.25">
      <c r="B74" s="6"/>
      <c r="C74" s="54" t="s">
        <v>20</v>
      </c>
      <c r="D74" s="54"/>
      <c r="E74" s="8"/>
      <c r="F74" s="55" t="s">
        <v>19</v>
      </c>
      <c r="G74" s="55"/>
      <c r="H74" s="8"/>
      <c r="I74" s="54" t="s">
        <v>21</v>
      </c>
      <c r="J74" s="54"/>
      <c r="K74" s="7"/>
    </row>
    <row r="75" spans="2:11" ht="13" thickBot="1" x14ac:dyDescent="0.3">
      <c r="B75" s="40"/>
      <c r="C75" s="2"/>
      <c r="D75" s="2"/>
      <c r="E75" s="2"/>
      <c r="F75" s="2"/>
      <c r="G75" s="2"/>
      <c r="H75" s="2"/>
      <c r="I75" s="2"/>
      <c r="J75" s="2"/>
      <c r="K75" s="41"/>
    </row>
    <row r="77" spans="2:11" ht="15" customHeight="1" x14ac:dyDescent="0.25">
      <c r="B77" s="48"/>
      <c r="C77" s="49"/>
      <c r="D77" s="9"/>
      <c r="E77" s="9"/>
    </row>
  </sheetData>
  <mergeCells count="17">
    <mergeCell ref="B7:J7"/>
    <mergeCell ref="C8:D8"/>
    <mergeCell ref="F67:G67"/>
    <mergeCell ref="C74:D74"/>
    <mergeCell ref="F74:G74"/>
    <mergeCell ref="I74:J74"/>
    <mergeCell ref="C42:F42"/>
    <mergeCell ref="C43:F43"/>
    <mergeCell ref="C44:F44"/>
    <mergeCell ref="C45:F45"/>
    <mergeCell ref="C46:F46"/>
    <mergeCell ref="C47:F47"/>
    <mergeCell ref="C48:F48"/>
    <mergeCell ref="C49:F49"/>
    <mergeCell ref="C50:F50"/>
    <mergeCell ref="C51:F51"/>
    <mergeCell ref="C52:F52"/>
  </mergeCells>
  <printOptions verticalCentered="1"/>
  <pageMargins left="0.23622047244094491" right="0.23622047244094491" top="0.74803149606299213" bottom="0.74803149606299213" header="0.31496062992125984" footer="0.31496062992125984"/>
  <pageSetup paperSize="9" scale="6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140.10</vt:lpstr>
      <vt:lpstr>'140.10'!Área_de_impresión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Kreston Ecuador</dc:creator>
  <cp:lastModifiedBy>Admin</cp:lastModifiedBy>
  <cp:lastPrinted>2023-09-29T17:49:47Z</cp:lastPrinted>
  <dcterms:created xsi:type="dcterms:W3CDTF">2023-03-13T20:57:26Z</dcterms:created>
  <dcterms:modified xsi:type="dcterms:W3CDTF">2026-04-16T23:57:54Z</dcterms:modified>
</cp:coreProperties>
</file>