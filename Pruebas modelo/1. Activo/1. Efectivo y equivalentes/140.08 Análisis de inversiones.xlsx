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7DDB0340-7712-4970-9819-3394D5509D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40.08" sheetId="1" r:id="rId1"/>
    <sheet name="PPC Detalle de inversiones" sheetId="2" r:id="rId2"/>
    <sheet name="Base Mayores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'140.08'!$B$48:$R$54</definedName>
    <definedName name="AS2DocOpenMode" hidden="1">"AS2DocumentEdit"</definedName>
    <definedName name="AS2HasNoAutoHeaderFooter" hidden="1">" "</definedName>
    <definedName name="AS2NamedRange" hidden="1">2</definedName>
    <definedName name="otros" localSheetId="0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TextRefCopyRangeCount" localSheetId="0" hidden="1">16</definedName>
    <definedName name="TextRefCopyRangeCount" hidden="1">1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Diario._.de._.costos." localSheetId="0" hidden="1">{#N/A,#N/A,FALSE,"diario";#N/A,#N/A,FALSE,"diario"}</definedName>
    <definedName name="wrn.Diario._.de._.costos." hidden="1">{#N/A,#N/A,FALSE,"diario";#N/A,#N/A,FALSE,"diario"}</definedName>
    <definedName name="XREF_COLUMN_11" hidden="1">#REF!</definedName>
    <definedName name="XREF_COLUMN_14" hidden="1">#REF!</definedName>
    <definedName name="XREF_COLUMN_16" hidden="1">'[1]Análisis IVA'!#REF!</definedName>
    <definedName name="XREF_COLUMN_17" hidden="1">'[1]Análisis IVA'!#REF!</definedName>
    <definedName name="XREF_COLUMN_18" hidden="1">'[1]Análisis IVA'!#REF!</definedName>
    <definedName name="XREF_COLUMN_3" hidden="1">'[2]Análisis Ret Fuente'!#REF!</definedName>
    <definedName name="XREF_COLUMN_9" hidden="1">'[3]Varios dólares'!#REF!</definedName>
    <definedName name="XRefActiveRow" hidden="1">#REF!</definedName>
    <definedName name="XRefColumnsCount" localSheetId="0" hidden="1">4</definedName>
    <definedName name="XRefColumnsCount" hidden="1">5</definedName>
    <definedName name="XRefCopy1Row" hidden="1">[1]XREF!#REF!</definedName>
    <definedName name="XRefCopyRangeCount" localSheetId="0" hidden="1">4</definedName>
    <definedName name="XRefCopyRangeCount" hidden="1">7</definedName>
    <definedName name="XRefPaste10Row" hidden="1">[1]XREF!#REF!</definedName>
    <definedName name="XRefPaste11Row" hidden="1">[1]XREF!#REF!</definedName>
    <definedName name="XRefPaste16" hidden="1">#REF!</definedName>
    <definedName name="XRefPaste17" hidden="1">#REF!</definedName>
    <definedName name="XRefPaste22" hidden="1">#REF!</definedName>
    <definedName name="XRefPaste22Row" hidden="1">#REF!</definedName>
    <definedName name="XRefPaste3" hidden="1">#REF!</definedName>
    <definedName name="XRefPaste4Row" hidden="1">[1]XREF!#REF!</definedName>
    <definedName name="XRefPaste9Row" hidden="1">[1]XREF!#REF!</definedName>
    <definedName name="XRefPasteRangeCount" localSheetId="0" hidden="1">3</definedName>
    <definedName name="XRefPasteRangeCount" hidden="1">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52" i="1" l="1"/>
  <c r="O52" i="1"/>
  <c r="R52" i="1"/>
  <c r="Q52" i="1"/>
  <c r="R51" i="1"/>
  <c r="Q51" i="1"/>
  <c r="K52" i="1"/>
  <c r="J52" i="1"/>
  <c r="L52" i="1" s="1"/>
  <c r="I52" i="1"/>
  <c r="P52" i="1" s="1"/>
  <c r="I51" i="1"/>
  <c r="P51" i="1" s="1"/>
  <c r="N50" i="1"/>
  <c r="D74" i="1" s="1"/>
  <c r="O51" i="1"/>
  <c r="K51" i="1"/>
  <c r="J51" i="1"/>
  <c r="N51" i="1" s="1"/>
  <c r="R50" i="1"/>
  <c r="K50" i="1"/>
  <c r="O50" i="1" s="1"/>
  <c r="Q50" i="1"/>
  <c r="M52" i="1" l="1"/>
  <c r="L51" i="1"/>
  <c r="I50" i="1"/>
  <c r="P50" i="1" s="1"/>
  <c r="J50" i="1"/>
  <c r="L50" i="1" s="1"/>
  <c r="M50" i="1" l="1"/>
  <c r="D75" i="1"/>
  <c r="G41" i="1"/>
  <c r="H41" i="1" s="1"/>
  <c r="D65" i="1" l="1"/>
  <c r="D64" i="1"/>
  <c r="D66" i="1" l="1"/>
</calcChain>
</file>

<file path=xl/sharedStrings.xml><?xml version="1.0" encoding="utf-8"?>
<sst xmlns="http://schemas.openxmlformats.org/spreadsheetml/2006/main" count="127" uniqueCount="106">
  <si>
    <t>Institución</t>
  </si>
  <si>
    <t>Fecha</t>
  </si>
  <si>
    <t>Interés</t>
  </si>
  <si>
    <t>Inicio</t>
  </si>
  <si>
    <t>Plazo en días</t>
  </si>
  <si>
    <t>Conclusión:</t>
  </si>
  <si>
    <t>Preparado por:</t>
  </si>
  <si>
    <t>Revisado por:</t>
  </si>
  <si>
    <t>Objetivo:</t>
  </si>
  <si>
    <t>Ref.</t>
  </si>
  <si>
    <t>Base de decisión: Materialidad</t>
  </si>
  <si>
    <t>General</t>
  </si>
  <si>
    <t>Desempeño</t>
  </si>
  <si>
    <t>Errores Triviales</t>
  </si>
  <si>
    <t>Procedimientos:</t>
  </si>
  <si>
    <t xml:space="preserve">Desarrollo: </t>
  </si>
  <si>
    <t>Marcas de auditoría:</t>
  </si>
  <si>
    <t xml:space="preserve">Sumatoria </t>
  </si>
  <si>
    <t>Cálculos de Auditoría</t>
  </si>
  <si>
    <t>2.-</t>
  </si>
  <si>
    <t>3.-</t>
  </si>
  <si>
    <t>1.-</t>
  </si>
  <si>
    <t>4.-</t>
  </si>
  <si>
    <t>[1]</t>
  </si>
  <si>
    <t>[2]</t>
  </si>
  <si>
    <t>[3]</t>
  </si>
  <si>
    <t>Tasa (anual)</t>
  </si>
  <si>
    <t>Preliminar</t>
  </si>
  <si>
    <t xml:space="preserve">Final </t>
  </si>
  <si>
    <t>5.-</t>
  </si>
  <si>
    <t xml:space="preserve">Código cuenta contable </t>
  </si>
  <si>
    <t xml:space="preserve">Nombre cuenta contable </t>
  </si>
  <si>
    <t xml:space="preserve">Nuevas inversiones </t>
  </si>
  <si>
    <t>Días transcurridos</t>
  </si>
  <si>
    <t xml:space="preserve">Diferencia </t>
  </si>
  <si>
    <t xml:space="preserve">Realizar el movimiento de la cuenta de inversiones. </t>
  </si>
  <si>
    <t>Realizar el recálculo de los intereses de inversiones.</t>
  </si>
  <si>
    <t xml:space="preserve">Conciliar los saldos del detalle y del recálculo con los estados financieros. </t>
  </si>
  <si>
    <t>Documentar el papel de trabajo y concluir en base al objetivo.</t>
  </si>
  <si>
    <t>6.-</t>
  </si>
  <si>
    <t xml:space="preserve">Cruce con estados financieros </t>
  </si>
  <si>
    <t xml:space="preserve">Ref. </t>
  </si>
  <si>
    <t xml:space="preserve">Vencimiento </t>
  </si>
  <si>
    <t>Información proporcionada por el cliente</t>
  </si>
  <si>
    <t xml:space="preserve">Disposición de inversiones </t>
  </si>
  <si>
    <t>Interés total</t>
  </si>
  <si>
    <t xml:space="preserve">2) Cruce del ingreso interés vs estado de resultados </t>
  </si>
  <si>
    <t>Movimiento de inversiones</t>
  </si>
  <si>
    <t>Recálculo de intereses de inversión</t>
  </si>
  <si>
    <t>Capital</t>
  </si>
  <si>
    <t xml:space="preserve">Vigencia </t>
  </si>
  <si>
    <t xml:space="preserve">Movimiento de inversiones </t>
  </si>
  <si>
    <t>Saldo nueva inversión</t>
  </si>
  <si>
    <t xml:space="preserve">Saldo disposición de inversión </t>
  </si>
  <si>
    <t>7.-</t>
  </si>
  <si>
    <t>p/t 141</t>
  </si>
  <si>
    <t xml:space="preserve">Nro. de operación </t>
  </si>
  <si>
    <t>1) Cruce del capital e interés por cobrar vs estado de situación financiera</t>
  </si>
  <si>
    <t>Saldo capital según detalle de inversiones</t>
  </si>
  <si>
    <t>Saldo interés según recálculo</t>
  </si>
  <si>
    <t>Saldo capital de inversiones vigentes</t>
  </si>
  <si>
    <t>p/t 1700</t>
  </si>
  <si>
    <t>Interés ganado en períodos anteriores</t>
  </si>
  <si>
    <t>Interés ganado en el año 2023</t>
  </si>
  <si>
    <t>***Colocar la base de mayores con el cual se realiza el movimiento</t>
  </si>
  <si>
    <t>***Detalle de inversiones proporcionado por el cliente</t>
  </si>
  <si>
    <t>XX</t>
  </si>
  <si>
    <t>COMPAÑÍA MODELO S.A.</t>
  </si>
  <si>
    <t xml:space="preserve">ANÁLISIS DE INVERSIONES </t>
  </si>
  <si>
    <t>AL 31 DE DICIEMBRE DE 20XX</t>
  </si>
  <si>
    <t>FECHA DE CORTE: XX/XX/20XX</t>
  </si>
  <si>
    <t xml:space="preserve">Verificar la integridad, exactitud y presentación de los saldos de inversiones que mantiene la Compañía al XX/XX/20XX </t>
  </si>
  <si>
    <t>Verificar la valuación del ingreso interés de inversiones al XX/XX/20XX</t>
  </si>
  <si>
    <t>XXXXXX</t>
  </si>
  <si>
    <r>
      <t xml:space="preserve">Solicitar a la Compañía los Estados Financieros al xx/xx/20xx </t>
    </r>
    <r>
      <rPr>
        <b/>
        <sz val="10"/>
        <color rgb="FFFF0000"/>
        <rFont val="Tahoma"/>
        <family val="2"/>
      </rPr>
      <t>***</t>
    </r>
    <r>
      <rPr>
        <b/>
        <sz val="8"/>
        <color rgb="FFFF0000"/>
        <rFont val="Tahoma"/>
        <family val="2"/>
      </rPr>
      <t>(Fecha de revisión)</t>
    </r>
    <r>
      <rPr>
        <sz val="8"/>
        <color rgb="FFFF0000"/>
        <rFont val="Tahoma"/>
        <family val="2"/>
      </rPr>
      <t xml:space="preserve"> </t>
    </r>
  </si>
  <si>
    <r>
      <t xml:space="preserve">Solicitar a la Compañía los mayores contables al xx/xx/xxxx </t>
    </r>
    <r>
      <rPr>
        <b/>
        <sz val="8"/>
        <color rgb="FFFF0000"/>
        <rFont val="Tahoma"/>
        <family val="2"/>
      </rPr>
      <t>***(Fecha de revisión)</t>
    </r>
  </si>
  <si>
    <r>
      <t xml:space="preserve">Solicitar a la Compañía el detalle de las inversiones que mantiene al xx/xx/xxxx </t>
    </r>
    <r>
      <rPr>
        <b/>
        <sz val="10"/>
        <color rgb="FFFF0000"/>
        <rFont val="Tahoma"/>
        <family val="2"/>
      </rPr>
      <t>***(Fecha de revisión)</t>
    </r>
    <r>
      <rPr>
        <sz val="10"/>
        <color theme="1"/>
        <rFont val="Tahoma"/>
        <family val="2"/>
      </rPr>
      <t xml:space="preserve">. </t>
    </r>
    <r>
      <rPr>
        <b/>
        <sz val="10"/>
        <color rgb="FFFF0000"/>
        <rFont val="Tahoma"/>
        <family val="2"/>
      </rPr>
      <t>PPC Detalle de inversiones</t>
    </r>
  </si>
  <si>
    <t>Saldo según EEFF al xx/xx/20xx</t>
  </si>
  <si>
    <t>31/12/20xx</t>
  </si>
  <si>
    <t xml:space="preserve">***Fecha inicio de revisión </t>
  </si>
  <si>
    <t>xx/xx/20xx</t>
  </si>
  <si>
    <t xml:space="preserve">***Cuenta de otros ingresos </t>
  </si>
  <si>
    <t>Tomado de mayores contables al 31/xx/20xx (Año de revisión)</t>
  </si>
  <si>
    <t>Según Estado Financiero al 31/12/202x (Año anterior)</t>
  </si>
  <si>
    <t>Según Estado Financiero al 31/12/202x (Año de revisión)</t>
  </si>
  <si>
    <t>Verificaciones: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</si>
  <si>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</si>
  <si>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</si>
  <si>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</si>
  <si>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</si>
  <si>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</si>
  <si>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</si>
  <si>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</si>
  <si>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</si>
  <si>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</si>
  <si>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</si>
  <si>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</si>
  <si>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***(Concluir en base al objetivo)</t>
  </si>
  <si>
    <t>Total de interés ganado (por cobrar) al 30/09/2023</t>
  </si>
  <si>
    <t>Nota: ***Depende de la política de la Compañía el registro del interés por cobrar, algunas compañías lo realizan al finalizar cada mes, otras al finalizar el año u otras al vencimiento de la póliza.</t>
  </si>
  <si>
    <t>***Tomar en consideración que si corresponde a inversiones de equivalentes de efectivo se colocar 140.xx</t>
  </si>
  <si>
    <t xml:space="preserve">***Fórmula para inversiones que se apertura y vencen en el mismo período de revisión </t>
  </si>
  <si>
    <t>***Fórmula para inversiones que se apertura en el año anterior y se vencen antes o en la fecha de corte</t>
  </si>
  <si>
    <t>***Fecha de corte</t>
  </si>
  <si>
    <t>***Fórmula para inversiones que se apertura en el año anterior y se vencen posterior a la fecha de corte</t>
  </si>
  <si>
    <t>140.08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</si>
</sst>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dd\-mmm\-yy;@"/>
    <numFmt numFmtId="168" formatCode="0.000%"/>
    <numFmt numFmtId="169" formatCode="_ * #,##0_ ;_ * \-#,##0_ ;_ * &quot;-&quot;??_ ;_ @_ "/>
    <numFmt numFmtId="170" formatCode="_-* #,##0.00\ _€_-;\-* #,##0.00\ _€_-;_-* &quot;-&quot;??\ _€_-;_-@_-"/>
    <numFmt numFmtId="171" formatCode="yyyy\-mm\-dd;@"/>
    <numFmt numFmtId="172" formatCode="_(* #,##0.0_);_(* \(#,##0.0\);_(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2.1"/>
      <color theme="10"/>
      <name val="Calibri"/>
      <family val="2"/>
    </font>
    <font>
      <u/>
      <sz val="11"/>
      <color theme="10"/>
      <name val="Calibri"/>
      <family val="2"/>
    </font>
    <font>
      <b/>
      <sz val="10"/>
      <name val="Tahoma"/>
      <family val="2"/>
    </font>
    <font>
      <sz val="8"/>
      <color theme="1"/>
      <name val="Futura-Book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color theme="1"/>
      <name val="Tahoma"/>
      <family val="2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b/>
      <sz val="10"/>
      <color indexed="50"/>
      <name val="Tahoma"/>
      <family val="2"/>
    </font>
    <font>
      <sz val="10"/>
      <color theme="0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b/>
      <u/>
      <sz val="10"/>
      <color theme="8" tint="-0.249977111117893"/>
      <name val="Tahoma"/>
      <family val="2"/>
    </font>
    <font>
      <sz val="10"/>
      <color rgb="FF002060"/>
      <name val="Tahoma"/>
      <family val="2"/>
    </font>
    <font>
      <b/>
      <sz val="10"/>
      <color rgb="FF0000FF"/>
      <name val="Tahoma"/>
      <family val="2"/>
    </font>
    <font>
      <sz val="10"/>
      <color theme="4" tint="-0.249977111117893"/>
      <name val="Tahoma"/>
      <family val="2"/>
    </font>
    <font>
      <sz val="10"/>
      <color rgb="FFFF0000"/>
      <name val="Tahoma"/>
      <family val="2"/>
    </font>
    <font>
      <i/>
      <sz val="10"/>
      <color theme="1"/>
      <name val="Tahoma"/>
      <family val="2"/>
    </font>
    <font>
      <b/>
      <sz val="10"/>
      <color rgb="FF92D050"/>
      <name val="Tahoma"/>
      <family val="2"/>
    </font>
    <font>
      <b/>
      <u/>
      <sz val="10"/>
      <color theme="1"/>
      <name val="Tahoma"/>
      <family val="2"/>
    </font>
    <font>
      <sz val="9"/>
      <name val="Tahoma"/>
      <family val="2"/>
    </font>
    <font>
      <b/>
      <sz val="8"/>
      <color rgb="FFFF0000"/>
      <name val="Tahoma"/>
      <family val="2"/>
    </font>
    <font>
      <sz val="8"/>
      <color rgb="FFFF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9" fillId="0" borderId="0"/>
  </cellStyleXfs>
  <cellXfs count="135">
    <xf numFmtId="0" fontId="0" fillId="0" borderId="0" xfId="0"/>
    <xf numFmtId="0" fontId="11" fillId="3" borderId="0" xfId="8" applyFont="1" applyFill="1"/>
    <xf numFmtId="0" fontId="12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4" fontId="13" fillId="3" borderId="0" xfId="0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" fontId="8" fillId="3" borderId="0" xfId="2" quotePrefix="1" applyNumberFormat="1" applyFont="1" applyFill="1" applyAlignment="1">
      <alignment horizontal="left" vertical="center"/>
    </xf>
    <xf numFmtId="15" fontId="8" fillId="4" borderId="0" xfId="2" applyNumberFormat="1" applyFont="1" applyFill="1" applyAlignment="1">
      <alignment horizontal="left" vertical="center"/>
    </xf>
    <xf numFmtId="0" fontId="15" fillId="4" borderId="0" xfId="2" applyFont="1" applyFill="1" applyAlignment="1">
      <alignment horizontal="left" vertical="center"/>
    </xf>
    <xf numFmtId="0" fontId="5" fillId="5" borderId="0" xfId="2" applyFont="1" applyFill="1" applyAlignment="1">
      <alignment vertical="center"/>
    </xf>
    <xf numFmtId="166" fontId="12" fillId="0" borderId="0" xfId="0" applyNumberFormat="1" applyFont="1" applyAlignment="1">
      <alignment vertical="center"/>
    </xf>
    <xf numFmtId="0" fontId="13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14" fontId="16" fillId="2" borderId="0" xfId="0" applyNumberFormat="1" applyFont="1" applyFill="1" applyAlignment="1">
      <alignment vertical="center"/>
    </xf>
    <xf numFmtId="0" fontId="18" fillId="2" borderId="0" xfId="0" applyFont="1" applyFill="1" applyAlignment="1">
      <alignment horizontal="right" vertical="center" wrapText="1"/>
    </xf>
    <xf numFmtId="0" fontId="18" fillId="2" borderId="0" xfId="0" applyFont="1" applyFill="1" applyAlignment="1">
      <alignment horizontal="center" vertical="center" wrapText="1"/>
    </xf>
    <xf numFmtId="164" fontId="9" fillId="0" borderId="0" xfId="0" applyNumberFormat="1" applyFont="1" applyAlignment="1">
      <alignment vertical="center"/>
    </xf>
    <xf numFmtId="165" fontId="18" fillId="2" borderId="0" xfId="1" applyFont="1" applyFill="1" applyBorder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166" fontId="18" fillId="2" borderId="0" xfId="1" applyNumberFormat="1" applyFont="1" applyFill="1" applyBorder="1" applyAlignment="1">
      <alignment horizontal="right" vertical="center" wrapText="1"/>
    </xf>
    <xf numFmtId="166" fontId="12" fillId="2" borderId="0" xfId="0" applyNumberFormat="1" applyFont="1" applyFill="1" applyAlignment="1">
      <alignment vertical="center"/>
    </xf>
    <xf numFmtId="166" fontId="12" fillId="2" borderId="0" xfId="1" applyNumberFormat="1" applyFont="1" applyFill="1" applyAlignment="1">
      <alignment vertical="center"/>
    </xf>
    <xf numFmtId="0" fontId="12" fillId="0" borderId="0" xfId="0" applyFont="1"/>
    <xf numFmtId="0" fontId="8" fillId="2" borderId="1" xfId="9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12" fillId="0" borderId="4" xfId="0" applyFont="1" applyBorder="1"/>
    <xf numFmtId="0" fontId="19" fillId="0" borderId="0" xfId="0" applyFont="1" applyAlignment="1" applyProtection="1">
      <alignment horizontal="left" vertical="center"/>
      <protection hidden="1"/>
    </xf>
    <xf numFmtId="0" fontId="19" fillId="2" borderId="0" xfId="0" applyFont="1" applyFill="1" applyAlignment="1" applyProtection="1">
      <alignment horizontal="left" vertical="center"/>
      <protection hidden="1"/>
    </xf>
    <xf numFmtId="0" fontId="19" fillId="0" borderId="0" xfId="0" applyFont="1" applyAlignment="1">
      <alignment vertical="center"/>
    </xf>
    <xf numFmtId="0" fontId="20" fillId="0" borderId="0" xfId="8" applyFont="1"/>
    <xf numFmtId="0" fontId="21" fillId="0" borderId="0" xfId="8" applyFont="1"/>
    <xf numFmtId="0" fontId="20" fillId="3" borderId="0" xfId="8" applyFont="1" applyFill="1"/>
    <xf numFmtId="0" fontId="14" fillId="0" borderId="0" xfId="9" applyFont="1"/>
    <xf numFmtId="14" fontId="17" fillId="2" borderId="0" xfId="0" applyNumberFormat="1" applyFont="1" applyFill="1" applyAlignment="1">
      <alignment vertical="center"/>
    </xf>
    <xf numFmtId="0" fontId="20" fillId="2" borderId="0" xfId="6" applyFont="1" applyFill="1"/>
    <xf numFmtId="0" fontId="13" fillId="2" borderId="0" xfId="0" applyFont="1" applyFill="1" applyAlignment="1">
      <alignment horizontal="center" vertical="center" wrapText="1"/>
    </xf>
    <xf numFmtId="167" fontId="13" fillId="2" borderId="0" xfId="0" applyNumberFormat="1" applyFont="1" applyFill="1" applyAlignment="1">
      <alignment vertical="center" wrapText="1"/>
    </xf>
    <xf numFmtId="166" fontId="13" fillId="0" borderId="0" xfId="3" applyNumberFormat="1" applyFont="1" applyFill="1" applyBorder="1" applyAlignment="1">
      <alignment horizontal="right" vertical="center" wrapText="1"/>
    </xf>
    <xf numFmtId="10" fontId="13" fillId="0" borderId="0" xfId="0" applyNumberFormat="1" applyFont="1" applyAlignment="1">
      <alignment horizontal="center" vertical="center" wrapText="1"/>
    </xf>
    <xf numFmtId="0" fontId="13" fillId="0" borderId="0" xfId="3" applyNumberFormat="1" applyFont="1" applyFill="1" applyBorder="1" applyAlignment="1">
      <alignment horizontal="center" vertical="center" wrapText="1"/>
    </xf>
    <xf numFmtId="166" fontId="13" fillId="0" borderId="0" xfId="0" applyNumberFormat="1" applyFont="1" applyAlignment="1">
      <alignment vertical="center"/>
    </xf>
    <xf numFmtId="166" fontId="9" fillId="2" borderId="0" xfId="0" applyNumberFormat="1" applyFont="1" applyFill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3" borderId="0" xfId="8" applyFont="1" applyFill="1"/>
    <xf numFmtId="0" fontId="12" fillId="0" borderId="0" xfId="0" applyFont="1" applyAlignment="1">
      <alignment horizontal="right"/>
    </xf>
    <xf numFmtId="0" fontId="23" fillId="2" borderId="0" xfId="6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6" fontId="18" fillId="0" borderId="0" xfId="1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165" fontId="18" fillId="0" borderId="0" xfId="1" applyFont="1" applyFill="1" applyBorder="1" applyAlignment="1">
      <alignment horizontal="right" vertical="center" wrapText="1"/>
    </xf>
    <xf numFmtId="0" fontId="19" fillId="2" borderId="0" xfId="0" applyFont="1" applyFill="1" applyAlignment="1">
      <alignment horizontal="left" vertical="top"/>
    </xf>
    <xf numFmtId="0" fontId="19" fillId="6" borderId="2" xfId="0" applyFont="1" applyFill="1" applyBorder="1" applyAlignment="1" applyProtection="1">
      <alignment horizontal="center" vertical="center"/>
      <protection hidden="1"/>
    </xf>
    <xf numFmtId="0" fontId="19" fillId="6" borderId="1" xfId="0" applyFont="1" applyFill="1" applyBorder="1" applyAlignment="1" applyProtection="1">
      <alignment horizontal="center" vertical="center"/>
      <protection hidden="1"/>
    </xf>
    <xf numFmtId="15" fontId="8" fillId="4" borderId="1" xfId="2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66" fontId="13" fillId="2" borderId="1" xfId="3" applyNumberFormat="1" applyFont="1" applyFill="1" applyBorder="1" applyAlignment="1">
      <alignment horizontal="right" vertical="center" wrapText="1"/>
    </xf>
    <xf numFmtId="10" fontId="13" fillId="2" borderId="1" xfId="0" applyNumberFormat="1" applyFont="1" applyFill="1" applyBorder="1" applyAlignment="1">
      <alignment horizontal="center" vertical="center" wrapText="1"/>
    </xf>
    <xf numFmtId="165" fontId="13" fillId="2" borderId="1" xfId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vertical="center"/>
    </xf>
    <xf numFmtId="0" fontId="22" fillId="0" borderId="0" xfId="0" applyFont="1"/>
    <xf numFmtId="0" fontId="19" fillId="8" borderId="1" xfId="0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 wrapText="1"/>
    </xf>
    <xf numFmtId="0" fontId="25" fillId="2" borderId="0" xfId="0" applyFont="1" applyFill="1" applyAlignment="1">
      <alignment horizontal="right" vertical="center" wrapText="1"/>
    </xf>
    <xf numFmtId="0" fontId="23" fillId="2" borderId="0" xfId="6" applyFont="1" applyFill="1" applyAlignment="1">
      <alignment horizontal="left"/>
    </xf>
    <xf numFmtId="164" fontId="9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164" fontId="18" fillId="2" borderId="0" xfId="0" applyNumberFormat="1" applyFont="1" applyFill="1" applyAlignment="1">
      <alignment horizontal="right" vertical="center" wrapText="1"/>
    </xf>
    <xf numFmtId="0" fontId="22" fillId="0" borderId="0" xfId="0" applyFont="1" applyAlignment="1">
      <alignment vertical="center"/>
    </xf>
    <xf numFmtId="0" fontId="13" fillId="2" borderId="0" xfId="0" applyFont="1" applyFill="1" applyAlignment="1">
      <alignment horizontal="right" vertical="center"/>
    </xf>
    <xf numFmtId="166" fontId="9" fillId="2" borderId="0" xfId="0" applyNumberFormat="1" applyFont="1" applyFill="1" applyAlignment="1">
      <alignment horizontal="left" vertical="center" wrapText="1"/>
    </xf>
    <xf numFmtId="0" fontId="20" fillId="0" borderId="0" xfId="0" applyFont="1"/>
    <xf numFmtId="0" fontId="19" fillId="0" borderId="0" xfId="0" applyFont="1" applyAlignment="1">
      <alignment horizontal="center"/>
    </xf>
    <xf numFmtId="0" fontId="26" fillId="2" borderId="0" xfId="0" applyFont="1" applyFill="1" applyAlignment="1">
      <alignment vertical="center"/>
    </xf>
    <xf numFmtId="14" fontId="12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27" fillId="2" borderId="0" xfId="5" applyNumberFormat="1" applyFont="1" applyFill="1" applyAlignment="1" applyProtection="1">
      <alignment horizontal="center" vertical="center"/>
    </xf>
    <xf numFmtId="0" fontId="16" fillId="2" borderId="0" xfId="0" applyFont="1" applyFill="1" applyAlignment="1">
      <alignment horizontal="right" vertical="center"/>
    </xf>
    <xf numFmtId="0" fontId="28" fillId="2" borderId="0" xfId="10" applyFont="1" applyFill="1" applyAlignment="1">
      <alignment horizontal="left"/>
    </xf>
    <xf numFmtId="0" fontId="12" fillId="6" borderId="1" xfId="0" applyFont="1" applyFill="1" applyBorder="1" applyAlignment="1">
      <alignment horizontal="center"/>
    </xf>
    <xf numFmtId="0" fontId="12" fillId="6" borderId="1" xfId="0" applyFont="1" applyFill="1" applyBorder="1"/>
    <xf numFmtId="0" fontId="8" fillId="0" borderId="0" xfId="11" applyFont="1"/>
    <xf numFmtId="0" fontId="8" fillId="0" borderId="0" xfId="12" applyFont="1"/>
    <xf numFmtId="166" fontId="12" fillId="2" borderId="1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164" fontId="9" fillId="2" borderId="5" xfId="0" applyNumberFormat="1" applyFont="1" applyFill="1" applyBorder="1" applyAlignment="1">
      <alignment horizontal="right" vertical="center" wrapText="1"/>
    </xf>
    <xf numFmtId="14" fontId="7" fillId="0" borderId="0" xfId="0" applyNumberFormat="1" applyFont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19" fillId="0" borderId="0" xfId="8" applyFont="1"/>
    <xf numFmtId="0" fontId="19" fillId="3" borderId="0" xfId="8" applyFont="1" applyFill="1"/>
    <xf numFmtId="169" fontId="8" fillId="0" borderId="1" xfId="1" applyNumberFormat="1" applyFont="1" applyBorder="1" applyAlignment="1">
      <alignment horizontal="center"/>
    </xf>
    <xf numFmtId="166" fontId="8" fillId="4" borderId="1" xfId="1" applyNumberFormat="1" applyFont="1" applyFill="1" applyBorder="1" applyAlignment="1">
      <alignment horizontal="left" vertical="center"/>
    </xf>
    <xf numFmtId="1" fontId="8" fillId="4" borderId="1" xfId="2" applyNumberFormat="1" applyFont="1" applyFill="1" applyBorder="1" applyAlignment="1">
      <alignment horizontal="left" vertical="center"/>
    </xf>
    <xf numFmtId="166" fontId="12" fillId="4" borderId="1" xfId="1" applyNumberFormat="1" applyFont="1" applyFill="1" applyBorder="1" applyAlignment="1">
      <alignment horizontal="left" vertical="center"/>
    </xf>
    <xf numFmtId="166" fontId="7" fillId="4" borderId="1" xfId="2" applyNumberFormat="1" applyFont="1" applyFill="1" applyBorder="1" applyAlignment="1">
      <alignment horizontal="left" vertical="center"/>
    </xf>
    <xf numFmtId="170" fontId="12" fillId="2" borderId="0" xfId="0" applyNumberFormat="1" applyFont="1" applyFill="1" applyAlignment="1">
      <alignment vertical="center"/>
    </xf>
    <xf numFmtId="166" fontId="13" fillId="2" borderId="1" xfId="1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6" fontId="18" fillId="2" borderId="0" xfId="0" applyNumberFormat="1" applyFont="1" applyFill="1" applyAlignment="1">
      <alignment horizontal="right" vertical="center" wrapText="1"/>
    </xf>
    <xf numFmtId="166" fontId="12" fillId="4" borderId="0" xfId="1" applyNumberFormat="1" applyFont="1" applyFill="1" applyBorder="1" applyAlignment="1">
      <alignment horizontal="left" vertical="center"/>
    </xf>
    <xf numFmtId="166" fontId="12" fillId="2" borderId="8" xfId="1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 wrapText="1"/>
    </xf>
    <xf numFmtId="0" fontId="25" fillId="0" borderId="0" xfId="0" applyFont="1"/>
    <xf numFmtId="0" fontId="9" fillId="4" borderId="0" xfId="2" applyFont="1" applyFill="1" applyAlignment="1">
      <alignment horizontal="left" vertical="center"/>
    </xf>
    <xf numFmtId="0" fontId="25" fillId="2" borderId="0" xfId="0" applyFont="1" applyFill="1" applyAlignment="1">
      <alignment vertical="center"/>
    </xf>
    <xf numFmtId="0" fontId="9" fillId="0" borderId="0" xfId="0" applyFont="1" applyAlignment="1">
      <alignment horizontal="left"/>
    </xf>
    <xf numFmtId="165" fontId="9" fillId="3" borderId="0" xfId="1" applyFont="1" applyFill="1" applyBorder="1" applyAlignment="1">
      <alignment horizontal="center"/>
    </xf>
    <xf numFmtId="164" fontId="13" fillId="2" borderId="0" xfId="8" applyNumberFormat="1" applyFont="1" applyFill="1" applyAlignment="1">
      <alignment horizontal="left"/>
    </xf>
    <xf numFmtId="0" fontId="25" fillId="2" borderId="1" xfId="0" applyFont="1" applyFill="1" applyBorder="1" applyAlignment="1">
      <alignment vertical="center"/>
    </xf>
    <xf numFmtId="171" fontId="13" fillId="2" borderId="1" xfId="0" applyNumberFormat="1" applyFont="1" applyFill="1" applyBorder="1" applyAlignment="1">
      <alignment vertical="center" wrapText="1"/>
    </xf>
    <xf numFmtId="172" fontId="12" fillId="2" borderId="1" xfId="1" applyNumberFormat="1" applyFont="1" applyFill="1" applyBorder="1" applyAlignment="1">
      <alignment vertical="center"/>
    </xf>
    <xf numFmtId="0" fontId="19" fillId="6" borderId="6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/>
    </xf>
  </cellXfs>
  <cellStyles count="14">
    <cellStyle name="Hipervínculo 2" xfId="4" xr:uid="{00000000-0005-0000-0000-000000000000}"/>
    <cellStyle name="Hipervínculo 3" xfId="5" xr:uid="{00000000-0005-0000-0000-000001000000}"/>
    <cellStyle name="Millares" xfId="1" builtinId="3"/>
    <cellStyle name="Millares 2" xfId="3" xr:uid="{00000000-0005-0000-0000-000003000000}"/>
    <cellStyle name="Normal" xfId="0" builtinId="0"/>
    <cellStyle name="Normal 17 2" xfId="12" xr:uid="{F9AF328D-A331-4DBA-8CA6-332DD663F3B5}"/>
    <cellStyle name="Normal 2" xfId="13" xr:uid="{09984456-5C39-4E04-ABBB-1BF6E5A589DE}"/>
    <cellStyle name="Normal 2 10" xfId="9" xr:uid="{7C56692F-C9A6-4CD1-8079-F90A4EE5ED2A}"/>
    <cellStyle name="Normal 2 2 2 10" xfId="6" xr:uid="{C11EA292-1802-4D8A-8D53-DDE1A6E9A803}"/>
    <cellStyle name="Normal 2 3 2" xfId="2" xr:uid="{00000000-0005-0000-0000-000005000000}"/>
    <cellStyle name="Normal 2 3 2 5" xfId="11" xr:uid="{B058F3F2-7480-4BAE-987C-F8AB9FBB52FE}"/>
    <cellStyle name="Normal 50" xfId="7" xr:uid="{DFB1CD4F-DAE0-403E-B802-C10113D5A024}"/>
    <cellStyle name="Normal_2102 Sumaria de Efectivo y Equivalentes" xfId="8" xr:uid="{F3F681B0-E0E2-49BF-BA28-BE13D52E2E7C}"/>
    <cellStyle name="Normal_2102.1.1 Analisis de Partidas Conciliatorias" xfId="10" xr:uid="{7C406ADC-C4EA-4925-BD3F-B39A58B14D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152402</xdr:colOff>
      <xdr:row>79</xdr:row>
      <xdr:rowOff>0</xdr:rowOff>
    </xdr:from>
    <xdr:to>
      <xdr:col>0</xdr:col>
      <xdr:colOff>311152</xdr:colOff>
      <xdr:row>80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D1237A5-FD01-4496-A3C3-2DF926A6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18220267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1664943</xdr:colOff>
      <xdr:row>37</xdr:row>
      <xdr:rowOff>100951</xdr:rowOff>
    </xdr:from>
    <xdr:to>
      <xdr:col>4</xdr:col>
      <xdr:colOff>214127</xdr:colOff>
      <xdr:row>38</xdr:row>
      <xdr:rowOff>150936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C0AC60-9754-48B0-8707-EE3F11BC0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6818" y="5919139"/>
          <a:ext cx="211297" cy="20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665878</xdr:colOff>
      <xdr:row>37</xdr:row>
      <xdr:rowOff>127101</xdr:rowOff>
    </xdr:from>
    <xdr:to>
      <xdr:col>3</xdr:col>
      <xdr:colOff>877175</xdr:colOff>
      <xdr:row>39</xdr:row>
      <xdr:rowOff>15775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2B0D79-6B89-44B5-9AAE-0BB0F17D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29816" y="4921351"/>
          <a:ext cx="211297" cy="206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143933</xdr:colOff>
      <xdr:row>80</xdr:row>
      <xdr:rowOff>16933</xdr:rowOff>
    </xdr:from>
    <xdr:to>
      <xdr:col>0</xdr:col>
      <xdr:colOff>302683</xdr:colOff>
      <xdr:row>81</xdr:row>
      <xdr:rowOff>16933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57D47D7-047F-4143-B930-273ECA478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3" y="1841500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143935</xdr:colOff>
      <xdr:row>82</xdr:row>
      <xdr:rowOff>16934</xdr:rowOff>
    </xdr:from>
    <xdr:ext cx="158750" cy="158750"/>
    <xdr:pic>
      <xdr:nvPicPr>
        <xdr:cNvPr id="13" name="Imagen 12">
          <a:extLst>
            <a:ext uri="{FF2B5EF4-FFF2-40B4-BE49-F238E27FC236}">
              <a16:creationId xmlns:a16="http://schemas.microsoft.com/office/drawing/2014/main" id="{7F969DB5-07B3-44DE-9A89-A51AF7CA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5" y="18592801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59531</xdr:colOff>
      <xdr:row>45</xdr:row>
      <xdr:rowOff>135730</xdr:rowOff>
    </xdr:from>
    <xdr:to>
      <xdr:col>1</xdr:col>
      <xdr:colOff>251619</xdr:colOff>
      <xdr:row>47</xdr:row>
      <xdr:rowOff>6085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36D1078-CE3F-489A-9C2C-7B806BB5A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844" y="6374605"/>
          <a:ext cx="192088" cy="18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251619</xdr:colOff>
      <xdr:row>46</xdr:row>
      <xdr:rowOff>67734</xdr:rowOff>
    </xdr:from>
    <xdr:to>
      <xdr:col>7</xdr:col>
      <xdr:colOff>1219200</xdr:colOff>
      <xdr:row>46</xdr:row>
      <xdr:rowOff>70908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FA583786-B9AF-4594-BD86-1626B23CF144}"/>
            </a:ext>
          </a:extLst>
        </xdr:cNvPr>
        <xdr:cNvCxnSpPr>
          <a:stCxn id="14" idx="3"/>
        </xdr:cNvCxnSpPr>
      </xdr:nvCxnSpPr>
      <xdr:spPr>
        <a:xfrm flipV="1">
          <a:off x="719932" y="6465359"/>
          <a:ext cx="9754393" cy="31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143936</xdr:colOff>
      <xdr:row>83</xdr:row>
      <xdr:rowOff>0</xdr:rowOff>
    </xdr:from>
    <xdr:to>
      <xdr:col>0</xdr:col>
      <xdr:colOff>302686</xdr:colOff>
      <xdr:row>84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13E4403-2647-4F72-B38B-AECECD51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6" y="1858433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1302016</xdr:colOff>
      <xdr:row>45</xdr:row>
      <xdr:rowOff>144196</xdr:rowOff>
    </xdr:from>
    <xdr:to>
      <xdr:col>8</xdr:col>
      <xdr:colOff>156370</xdr:colOff>
      <xdr:row>47</xdr:row>
      <xdr:rowOff>14551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0028018-F8B1-4AC2-8B29-A145499BE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6016" y="7391134"/>
          <a:ext cx="195792" cy="187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180181</xdr:colOff>
      <xdr:row>46</xdr:row>
      <xdr:rowOff>63500</xdr:rowOff>
    </xdr:from>
    <xdr:to>
      <xdr:col>17</xdr:col>
      <xdr:colOff>1265244</xdr:colOff>
      <xdr:row>46</xdr:row>
      <xdr:rowOff>71437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7D628FFF-E68E-497B-A741-75F7226F3C72}"/>
            </a:ext>
          </a:extLst>
        </xdr:cNvPr>
        <xdr:cNvCxnSpPr/>
      </xdr:nvCxnSpPr>
      <xdr:spPr>
        <a:xfrm flipV="1">
          <a:off x="10665619" y="7469188"/>
          <a:ext cx="10872000" cy="793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143671</xdr:colOff>
      <xdr:row>84</xdr:row>
      <xdr:rowOff>8202</xdr:rowOff>
    </xdr:from>
    <xdr:to>
      <xdr:col>0</xdr:col>
      <xdr:colOff>302421</xdr:colOff>
      <xdr:row>85</xdr:row>
      <xdr:rowOff>8202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0FAEE4A-90D8-43A1-A541-BCCDA537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71" y="1877033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177618</xdr:colOff>
      <xdr:row>38</xdr:row>
      <xdr:rowOff>46568</xdr:rowOff>
    </xdr:from>
    <xdr:to>
      <xdr:col>6</xdr:col>
      <xdr:colOff>1274743</xdr:colOff>
      <xdr:row>38</xdr:row>
      <xdr:rowOff>47626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2C21DF1F-21D7-4DCA-ADC6-F2193FFA5FB7}"/>
            </a:ext>
          </a:extLst>
        </xdr:cNvPr>
        <xdr:cNvCxnSpPr/>
      </xdr:nvCxnSpPr>
      <xdr:spPr>
        <a:xfrm>
          <a:off x="5416368" y="6023506"/>
          <a:ext cx="3780000" cy="10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183359</xdr:colOff>
      <xdr:row>38</xdr:row>
      <xdr:rowOff>39687</xdr:rowOff>
    </xdr:from>
    <xdr:to>
      <xdr:col>2</xdr:col>
      <xdr:colOff>1635125</xdr:colOff>
      <xdr:row>38</xdr:row>
      <xdr:rowOff>39688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1716486E-311D-42F5-86ED-41A382C37F7B}"/>
            </a:ext>
          </a:extLst>
        </xdr:cNvPr>
        <xdr:cNvCxnSpPr>
          <a:cxnSpLocks/>
        </xdr:cNvCxnSpPr>
      </xdr:nvCxnSpPr>
      <xdr:spPr>
        <a:xfrm>
          <a:off x="651672" y="5326062"/>
          <a:ext cx="2880516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457915</xdr:colOff>
      <xdr:row>37</xdr:row>
      <xdr:rowOff>108665</xdr:rowOff>
    </xdr:from>
    <xdr:to>
      <xdr:col>1</xdr:col>
      <xdr:colOff>192962</xdr:colOff>
      <xdr:row>39</xdr:row>
      <xdr:rowOff>2462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3E2B4C6-2693-4C01-B2A3-B486E984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915" y="5712540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529352</xdr:colOff>
      <xdr:row>37</xdr:row>
      <xdr:rowOff>116602</xdr:rowOff>
    </xdr:from>
    <xdr:to>
      <xdr:col>7</xdr:col>
      <xdr:colOff>740649</xdr:colOff>
      <xdr:row>39</xdr:row>
      <xdr:rowOff>10399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5EB5336-A501-4722-8E58-AE38E321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3352" y="5720477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127004</xdr:colOff>
      <xdr:row>81</xdr:row>
      <xdr:rowOff>0</xdr:rowOff>
    </xdr:from>
    <xdr:to>
      <xdr:col>0</xdr:col>
      <xdr:colOff>285754</xdr:colOff>
      <xdr:row>82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B50A4AC-C3C4-4DCB-A37F-EE042F04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4" y="1320006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430%20An&#225;lisis%20de%20Retenciones%20en%20la%20Fuente%20y%20del%20Impuesto%20al%20Valor%20Agregad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1162.%201%20Anexos%20C&#233;dula%20de%20participaci&#243;n%20del%20Client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30%20An&#225;lisis%20de%20Gastos%20Acumulados%20y%20Otras%20Cuentas%20por%20Paga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is IVA"/>
      <sheetName val="Análisis Ret Fuente"/>
      <sheetName val="Tickmarks"/>
      <sheetName val="XREF"/>
      <sheetName val="AnálisisIVA"/>
      <sheetName val="Detalle de Gastos"/>
      <sheetName val="Tax Working"/>
      <sheetName val="ROLCOBOS"/>
      <sheetName val="Detalle Cuentas por Cobrar"/>
      <sheetName val="INSTRUCTIONS"/>
      <sheetName val="Varios dólares"/>
      <sheetName val="SSO"/>
      <sheetName val="Reexpresado año 2000"/>
      <sheetName val="Owned"/>
      <sheetName val="VALORES PUBLICOS"/>
      <sheetName val="CONSTANTES"/>
      <sheetName val="LPH INCE"/>
      <sheetName val="F-1.0 Balance Gral"/>
      <sheetName val="IPC"/>
      <sheetName val="Prueba de Diferencial Cambi (2)"/>
      <sheetName val="sapactivexlhiddensheet"/>
      <sheetName val="Matríz Dic 04"/>
      <sheetName val="31 Dic 96"/>
      <sheetName val="Detalle"/>
      <sheetName val="Sheet1"/>
      <sheetName val="Imp_Noviembre"/>
      <sheetName val="Hoja4"/>
      <sheetName val="Hoja3"/>
      <sheetName val="Cuadre"/>
      <sheetName val="Reembolsos"/>
      <sheetName val="CT"/>
      <sheetName val="AUT "/>
      <sheetName val="Partes  relacionadas"/>
      <sheetName val="ATS"/>
      <sheetName val="PARTES RELACIONADAS"/>
      <sheetName val="Hoja1"/>
      <sheetName val="Hoja2"/>
      <sheetName val="ORG"/>
      <sheetName val="Namelist"/>
      <sheetName val="SetUp"/>
      <sheetName val="Balance General"/>
      <sheetName val="Sheet6"/>
      <sheetName val="Adiciones e intereses"/>
      <sheetName val="Utilidades"/>
      <sheetName val="Prest. Soc."/>
      <sheetName val="TABLAIPC "/>
      <sheetName val="Hoja5"/>
      <sheetName val="Abr-03"/>
      <sheetName val="DB"/>
      <sheetName val="LPH e INCE"/>
      <sheetName val="Movimiento"/>
      <sheetName val="Prov Activo Fijo Jun-2002"/>
      <sheetName val="Anexo 12"/>
      <sheetName val="BM PPR Act"/>
      <sheetName val="Prueba global - Pasivo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imientos"/>
      <sheetName val="Análisis Ret Fuente"/>
      <sheetName val="IVA"/>
      <sheetName val="Retención IVA"/>
      <sheetName val="Ice"/>
      <sheetName val="Análisis 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Benef Sociales"/>
      <sheetName val="Calc Prov Benef Sociales"/>
      <sheetName val="Límites"/>
      <sheetName val="Análisis de Sueldos (Final)"/>
      <sheetName val="Análisis de Sueldos (Prelim.)"/>
      <sheetName val="Varios sucres"/>
      <sheetName val="Varios dólares"/>
      <sheetName val="Prov. dólares"/>
      <sheetName val="XREF"/>
      <sheetName val="Tickmarks"/>
      <sheetName val="#REF"/>
      <sheetName val="Otras provisiones"/>
      <sheetName val="CxP Diferidas"/>
      <sheetName val="Asesoría"/>
      <sheetName val="Marcas Estándar"/>
      <sheetName val="Det. Ctas x Liq"/>
      <sheetName val="Det. Imp x Pag"/>
      <sheetName val="Det. Gtos. Acum."/>
      <sheetName val="Det. Otras CxP"/>
      <sheetName val="Plan.IESS"/>
      <sheetName val="Detalle Gtos Acum"/>
      <sheetName val="Mov.Ben.Soc."/>
      <sheetName val="MMA"/>
      <sheetName val="Análisis Gto Publicidad"/>
      <sheetName val="Reserva Publicidad"/>
      <sheetName val="Análisis Remunerativo Final"/>
      <sheetName val="Cálculo Global Sueldo"/>
      <sheetName val="Análisis Gtos.Oper.Final"/>
      <sheetName val="Cálculo gasto ben.soc. IESS"/>
      <sheetName val="Préstamos"/>
      <sheetName val="Detalle IESS"/>
      <sheetName val="Mov. Imp. Rta"/>
      <sheetName val="Cálculo Interes."/>
      <sheetName val="Mov. Ben. Sociales"/>
      <sheetName val="laroux"/>
      <sheetName val="Detalle1"/>
      <sheetName val="Mov Benf Soc"/>
      <sheetName val="C.Global"/>
      <sheetName val="Cálculo de gastos"/>
      <sheetName val="Cálculo de gastos,arriendos"/>
      <sheetName val="PROVPREST"/>
      <sheetName val="Nota"/>
      <sheetName val="Movimiento"/>
      <sheetName val="Calc. Global Benef.(Prel) "/>
      <sheetName val="Calc. Global Benef. (Final)"/>
      <sheetName val="Imp. Munic."/>
      <sheetName val="Calc. Límites"/>
      <sheetName val="Tabla Límites"/>
      <sheetName val="Det.Benef.Socia"/>
      <sheetName val="Chs.Girados y no cob."/>
      <sheetName val="Otras prov."/>
      <sheetName val="Varios acreedo"/>
      <sheetName val="Mov. Benef.Soc."/>
      <sheetName val="Sueldos 2001"/>
      <sheetName val="Cálculo Benef. Sociales"/>
      <sheetName val="Cálculo Benef. Sociales "/>
      <sheetName val="Detalle"/>
      <sheetName val="Mov.Benef.Soc."/>
      <sheetName val="Mov.Prov."/>
      <sheetName val="calcuglobal"/>
      <sheetName val="ANEXOS (Final)"/>
      <sheetName val="Anexo(Prel.)"/>
      <sheetName val="Planilla IESS"/>
      <sheetName val="Prov. Benef.Soc."/>
      <sheetName val="Gasto Benf. Soc."/>
      <sheetName val="IVA"/>
      <sheetName val="Ret. IVA"/>
      <sheetName val="Ret Fuente"/>
      <sheetName val="Mov. 15% e IR"/>
      <sheetName val="Detalle Relacionadas"/>
      <sheetName val="Benf.Soc. PPC"/>
      <sheetName val="CG Benef. Soc."/>
      <sheetName val="Oblig. Partic."/>
      <sheetName val="IVA PPC"/>
      <sheetName val="Hoja 1"/>
      <sheetName val="Nota EEFF"/>
      <sheetName val="CxP varios"/>
      <sheetName val="Plan.IESS-Quito"/>
      <sheetName val="Plan.IESS-Gquil"/>
      <sheetName val="Consolidado"/>
      <sheetName val="Provisiones"/>
      <sheetName val="Aporte IESS"/>
      <sheetName val="Mov. Benef. Soc."/>
      <sheetName val="Calc. Benef. Soc. "/>
      <sheetName val="Sheet1"/>
      <sheetName val="Obligc.(Prel)"/>
      <sheetName val="Obligc. (FinaI)"/>
      <sheetName val="Calc. Global Benef. (Prel)"/>
      <sheetName val="Mov. Benef. Socs."/>
      <sheetName val="Manejo de nómina"/>
      <sheetName val="Prov-jubilac "/>
      <sheetName val="Mov-15% e IR"/>
      <sheetName val="Cálculo Desahucio J. Ruiz"/>
      <sheetName val="Obligc."/>
      <sheetName val="Calc. Global Benef."/>
      <sheetName val="mov-jubilac "/>
      <sheetName val="Beneficios Sociales"/>
      <sheetName val="A. Remunerativo"/>
      <sheetName val="Mov-15% e IR 14"/>
      <sheetName val="Mov. Jub y Desah"/>
      <sheetName val="Oblig.Sociales"/>
      <sheetName val="CxP Varias"/>
      <sheetName val="Retenciones"/>
      <sheetName val="Ctas x Cobrar-Pagar"/>
      <sheetName val="Registros"/>
      <sheetName val="Ctas x Pag Com Dist+Seg"/>
      <sheetName val="Gtos.Adm. Control"/>
      <sheetName val="Gtos.Adm. Antiguos"/>
      <sheetName val="Ctas x P Seg Colonial"/>
      <sheetName val="Imp. Renta y Part. Trab."/>
      <sheetName val="Detalles"/>
      <sheetName val="Calc. Global Benef. (Sep)"/>
      <sheetName val="Aná Sep Rol"/>
      <sheetName val="Antic. Clientes"/>
      <sheetName val="Ticmarks"/>
      <sheetName val="Unidad LiquidacPauwels"/>
      <sheetName val="CuentasPagar"/>
      <sheetName val="Otros Pasivos Ctes"/>
      <sheetName val="Obligac Patron"/>
      <sheetName val="Tildes"/>
      <sheetName val="Movimiento Benef Socl"/>
      <sheetName val="Planillas IESS"/>
      <sheetName val="Límite"/>
      <sheetName val="Análisis Remunerativo"/>
      <sheetName val="Det. Cargas sociales"/>
      <sheetName val="Det. Ret Terceros"/>
      <sheetName val="Det. Prov Varios"/>
      <sheetName val="Det.  Otros "/>
      <sheetName val="Mov. Benf. Soc."/>
      <sheetName val="Mov. I R y PT"/>
      <sheetName val="Mov. Prov. "/>
      <sheetName val="Cal I. R. y Part. Trab."/>
      <sheetName val="Mov.Beneficios Soc."/>
      <sheetName val="IESS"/>
      <sheetName val="Nota a los EEFF"/>
      <sheetName val="Mov. Part Trab."/>
      <sheetName val="Mov. Imp. Rta."/>
      <sheetName val="Otras CxPagar"/>
      <sheetName val="Planillas de IESS"/>
      <sheetName val="Mov. Benef. sociales"/>
      <sheetName val="Mov. Impto. Renta"/>
      <sheetName val="M-BSOC"/>
      <sheetName val="Calc.Global TEC"/>
      <sheetName val="Mov Imp. Renta"/>
      <sheetName val="Mov. Part. Trabajadores"/>
      <sheetName val="C.Global-Benef. Sociales"/>
      <sheetName val="Calc.Global.Benef."/>
      <sheetName val="Mov.Part.Trab.-Impt.Rta."/>
      <sheetName val="Calc. Global Benef. "/>
      <sheetName val="Movimiento Benef.Soc."/>
      <sheetName val="Pagos a Proveedores"/>
      <sheetName val="Mov. ImptoRta y 15%PT"/>
      <sheetName val="Anticipo clientes"/>
      <sheetName val="Detalle Int. Pagar"/>
      <sheetName val="Benef. Socs. y Préstamos Empl"/>
      <sheetName val="Mov Benef Soc"/>
      <sheetName val="Calculo Global"/>
      <sheetName val="Factur. MP Graphycs"/>
      <sheetName val="CG. Beneficios Sociales"/>
      <sheetName val="CG Pers. 8%"/>
      <sheetName val="Análisis de Anticipos"/>
      <sheetName val="Mov. 15% y IR"/>
      <sheetName val="Detalle beneficios"/>
      <sheetName val="Detalle Sueldos"/>
      <sheetName val="Planillas de IESS 2001"/>
      <sheetName val="Cálculo Global Ben. Soc"/>
      <sheetName val="IESS - Benf. Soc."/>
      <sheetName val="Dividendos"/>
      <sheetName val="Otras CxP"/>
      <sheetName val="CxP terceros"/>
      <sheetName val="Préstamos Accionistas"/>
      <sheetName val="Préstamos Accionistas (Final)"/>
      <sheetName val="Detalle Ben. Socs."/>
      <sheetName val="Mov.B.S"/>
      <sheetName val="Mov. Beneficios Sociales"/>
      <sheetName val="liquidaciones"/>
      <sheetName val="resume roles"/>
      <sheetName val="decimos"/>
      <sheetName val="Bonos e incentivos"/>
      <sheetName val="Análisis"/>
      <sheetName val="Bonos"/>
      <sheetName val="contratos"/>
      <sheetName val="Aj.bono.marzo"/>
      <sheetName val="Calc. Bene."/>
      <sheetName val="Indemnización"/>
      <sheetName val="Detalle Fondo"/>
      <sheetName val="Cálculo Benef. Soc"/>
      <sheetName val="Mov. Impto Renta"/>
      <sheetName val="Reten.IVA"/>
      <sheetName val="Ret. IR"/>
      <sheetName val="Ice"/>
      <sheetName val="Cálculo ICE"/>
      <sheetName val="Movimiento Beneficios sociales"/>
      <sheetName val="Det. emp."/>
      <sheetName val="Calc. Benef. Sociales"/>
      <sheetName val="Det.Prov. B.S"/>
      <sheetName val="Imp. x Pagar"/>
      <sheetName val="Det. OCxP"/>
      <sheetName val="Seleccion Pasivos"/>
      <sheetName val="Benefsoci (A-20)"/>
      <sheetName val="Detalle proveedores"/>
      <sheetName val="Detalle imp. x pagar"/>
      <sheetName val="Detalle otras CxP"/>
      <sheetName val="Proveedores"/>
      <sheetName val="Calc.Global.Benef. (2)"/>
      <sheetName val="Detalle CxP DINE"/>
      <sheetName val="Holding DINE"/>
      <sheetName val="Mov.Beneficios"/>
      <sheetName val="Anticipos"/>
      <sheetName val="Detalle Ant.Contrac."/>
      <sheetName val="Detalle Provisiones"/>
      <sheetName val="Impuesto"/>
      <sheetName val="Beneficios"/>
      <sheetName val="PPC"/>
      <sheetName val="Cuentas por pagar diferidas"/>
      <sheetName val="IESS X P"/>
      <sheetName val="Mov. Benef. Soc"/>
      <sheetName val="Obligaciones bancarias"/>
      <sheetName val="Sheet2"/>
      <sheetName val="Prov"/>
      <sheetName val="Ben Soc"/>
      <sheetName val="Gts Acum"/>
      <sheetName val="2030807"/>
      <sheetName val="Varios"/>
      <sheetName val="Pasivos no Registrados"/>
      <sheetName val="IESS Planillas"/>
      <sheetName val="Tickmark"/>
      <sheetName val="Anexo"/>
      <sheetName val="Benf. Sociales"/>
      <sheetName val="Cálculo beneficios"/>
      <sheetName val="Mov. gts. acum."/>
      <sheetName val="detalle gen. accruals"/>
      <sheetName val="Det.Gen.Exp.Acc-Dic"/>
      <sheetName val="detalle gen. expen."/>
      <sheetName val="T. Límite"/>
      <sheetName val="Beneficios Sociales (2)"/>
      <sheetName val="Detalle Ctasxpagar"/>
      <sheetName val="Calc.Int."/>
      <sheetName val="Impuestos"/>
      <sheetName val="Movimiento BS"/>
      <sheetName val="Acredores Varios"/>
      <sheetName val="Anticipos clientes"/>
      <sheetName val="CGlobal"/>
      <sheetName val="Mov. Benefsoci"/>
      <sheetName val="Movimiento Impto.Rta."/>
      <sheetName val="C.G. Sueldos y Beneficios"/>
      <sheetName val="Servicios"/>
      <sheetName val="Mov Ben Soc"/>
      <sheetName val="Part Trab"/>
      <sheetName val="Dividendos 05"/>
      <sheetName val="Dividendos 04 "/>
      <sheetName val="Verf. pago a dividedos 04"/>
      <sheetName val="Jub. Patron."/>
      <sheetName val="Gratificaciones 04"/>
      <sheetName val="Detalle de Gastos Acumulados"/>
      <sheetName val="Mov. Rep. Mant. Maq."/>
      <sheetName val="Particip."/>
      <sheetName val="Mov. Beneficios"/>
      <sheetName val="CxP empleados"/>
      <sheetName val="Aportes"/>
      <sheetName val="empleados"/>
      <sheetName val="Mov. Jub y Provisión"/>
      <sheetName val="Calculo Desahucio e Indem."/>
      <sheetName val="ANTICP. CLTS. VEH. (PPC)"/>
      <sheetName val="Verific cartera"/>
      <sheetName val="Resumen Imp"/>
      <sheetName val="Gratificaciones"/>
      <sheetName val="Detalle de Gtos. Acum y OCxP"/>
      <sheetName val="Beneficios Sociales (P)"/>
      <sheetName val="Movimiento BS (P)"/>
      <sheetName val="Otros Acreedores (P)"/>
      <sheetName val="Anticipo Contr. Client (P)"/>
      <sheetName val="Provisiones (P)"/>
      <sheetName val="Resumen Planillas IESS"/>
      <sheetName val="Anticipos contrac."/>
      <sheetName val="Otros acreed."/>
      <sheetName val="Ret. Contractual Subcontratista"/>
      <sheetName val="Prov. Ret. Clientes"/>
      <sheetName val="Benef. soc."/>
      <sheetName val="Mov. Ben. Soc. (PPC)"/>
      <sheetName val="Otros Gastos Acumul."/>
      <sheetName val="Desahucio"/>
      <sheetName val="Prov. Overhold"/>
      <sheetName val="Imp. por pagar"/>
      <sheetName val="Jubilación Pat"/>
      <sheetName val="Mov. Ben. Soc."/>
      <sheetName val="Verf. pago a dividedos"/>
      <sheetName val="Ventas por liquidar"/>
      <sheetName val="Otras Prov. Locales"/>
      <sheetName val="Movi. Benef. Soc."/>
      <sheetName val="Calc. Global B.S."/>
      <sheetName val="PPC-S5210"/>
      <sheetName val="Prov. Vac."/>
      <sheetName val="Movimiento Benef.Soc. "/>
      <sheetName val="Cuentas por pagar Q"/>
      <sheetName val="Varios acreedores"/>
      <sheetName val="Detail"/>
      <sheetName val="Mov Ind y Bon"/>
      <sheetName val="Otros gastos"/>
      <sheetName val="Varias provisiones"/>
      <sheetName val="Movimiento PT"/>
      <sheetName val="Mov Impto Rta"/>
      <sheetName val="Mov Comisiones"/>
      <sheetName val="Otros Gtos a Dic 03"/>
      <sheetName val="4109"/>
      <sheetName val="5231000"/>
      <sheetName val="Hoja1"/>
      <sheetName val="Proveedores Varios"/>
      <sheetName val="Personal Temps"/>
      <sheetName val="Garantías"/>
      <sheetName val="Otras CxP varias"/>
      <sheetName val="Ingresos Diferidos Prelim"/>
      <sheetName val="Analisis de Provisiones"/>
      <sheetName val="Mov Imp y Part"/>
      <sheetName val="Detalle Benef. Soc."/>
      <sheetName val="Cálculo Global Benef. Socia"/>
      <sheetName val="Honorarios"/>
      <sheetName val="Análisis Anticipos"/>
      <sheetName val="Detalle BSociales"/>
      <sheetName val="Calc. Global Aportes"/>
      <sheetName val="Sueldo x pagar"/>
      <sheetName val="Otras cuentas x pagar"/>
      <sheetName val="Cuentas por pagar"/>
      <sheetName val="Variable"/>
      <sheetName val="Interes por pagar Final"/>
      <sheetName val="Interes por pagar"/>
      <sheetName val="Gasto interés Final"/>
      <sheetName val="Gasto interés"/>
      <sheetName val="Cálculo Global Benef Soc."/>
      <sheetName val="Préstamo accionista Prel."/>
      <sheetName val="Mov. Beneficios social"/>
      <sheetName val="Aporte patronal"/>
      <sheetName val="Anticipo Vehículos"/>
      <sheetName val="Resumen planillas"/>
      <sheetName val="Calc. Beneficios Sociales"/>
      <sheetName val="Detalle Clientes Seguros"/>
      <sheetName val="ANTES"/>
      <sheetName val="Minoristas"/>
      <sheetName val="Ordenes Compra"/>
      <sheetName val="Transitoria"/>
      <sheetName val="Detalle, Benef. Sociales"/>
      <sheetName val="Detalle, Otras"/>
      <sheetName val="Mayores"/>
      <sheetName val="Mov Jubilación"/>
      <sheetName val="Movimiento Ctas Incob Y Inv Obs"/>
      <sheetName val="Movi. Benef."/>
      <sheetName val="Mov Imp.Renta y Part. Trab."/>
      <sheetName val="Sueldos"/>
      <sheetName val="Pago de Utilidades"/>
      <sheetName val="Fondo Rotativo"/>
      <sheetName val="Otras cuentas por pagar"/>
      <sheetName val="Mov- I Renta"/>
      <sheetName val="mov garantias"/>
      <sheetName val="Calculo de Interés"/>
      <sheetName val="Otras provisioens"/>
      <sheetName val="Concil. Ret Fuente vs. Libr"/>
      <sheetName val="Concil. Ret. IVA vs. Libros"/>
      <sheetName val="IVA (2)"/>
      <sheetName val="Rol"/>
      <sheetName val="Planillas del IESS"/>
      <sheetName val="Provisión Bonos"/>
      <sheetName val="Otras CxP diferidas"/>
      <sheetName val="Book8"/>
      <sheetName val="Remuneraciones"/>
      <sheetName val="Mov.B.Sociales"/>
      <sheetName val="Otras Retenciones"/>
      <sheetName val="Mov.Impuesto Renta"/>
      <sheetName val="O. Reten."/>
      <sheetName val="O. Reten. (2)"/>
      <sheetName val="Análisis Ret Fuente"/>
      <sheetName val="Retención IVA"/>
      <sheetName val="Mov. OtrasxPagar"/>
      <sheetName val="Análisis APT"/>
      <sheetName val="Límite Prov."/>
      <sheetName val="Límite Gasto"/>
      <sheetName val="Imp. y Part."/>
      <sheetName val="Detalle BSociales y otros"/>
      <sheetName val="Sheet5"/>
      <sheetName val="Sheet6"/>
      <sheetName val="Sheet3"/>
      <sheetName val="Detalle de cuentas por pagar"/>
      <sheetName val="Mov.JubP&amp;D"/>
      <sheetName val="Mov. Impto Rta"/>
      <sheetName val="15% Trabajadores"/>
      <sheetName val="Calc global provisiones"/>
      <sheetName val="Movi"/>
      <sheetName val="Calc. Global"/>
      <sheetName val="2002"/>
      <sheetName val="Mov. Benef Socia."/>
      <sheetName val="10% Servi."/>
      <sheetName val="Jubilación y Deshaucio"/>
      <sheetName val="Dividendos 06"/>
      <sheetName val="Otros"/>
      <sheetName val="Mov BS"/>
      <sheetName val="CG Beneficios Sociales"/>
      <sheetName val="Personal"/>
      <sheetName val="Intereses"/>
      <sheetName val="Benef Sociales"/>
      <sheetName val="V.Acreedores "/>
      <sheetName val="Mov. Regalías"/>
      <sheetName val="Cálculo Regalías"/>
      <sheetName val="Quito"/>
      <sheetName val="Guayaquil"/>
      <sheetName val="Cuenca"/>
      <sheetName val="Detalle Anticipos"/>
      <sheetName val="Pagos Posteriores"/>
      <sheetName val="Mov. Benef sociales"/>
      <sheetName val="Conces. Mall Andes"/>
      <sheetName val="Anal. Mall Andes"/>
      <sheetName val="Cálc.Global Benef.Soc."/>
      <sheetName val="Prov. Activos Fijos"/>
      <sheetName val="Bonificación Ejecutivo"/>
      <sheetName val="Movimiento Benef sociales"/>
      <sheetName val="Recálculo Bonif. Ejecut"/>
      <sheetName val="Mall Andes"/>
      <sheetName val="H"/>
      <sheetName val="Concesion Mall de los Andes Fin"/>
      <sheetName val="Planillas de Aporte al IESS"/>
      <sheetName val="Pagos de beneficios sociales"/>
      <sheetName val="Cálculo Global Gasto B.S"/>
      <sheetName val="Bonificación"/>
      <sheetName val="Cálculo Bonificación"/>
      <sheetName val="Participación "/>
      <sheetName val="Proveed.Activo Fijo"/>
      <sheetName val="Mantenimiento por Pagar"/>
      <sheetName val="Calc.  Ingreso Mall Andes"/>
      <sheetName val="Contratos Mall Andes"/>
      <sheetName val="Fact. Mall Andes"/>
      <sheetName val="Detalle de gastos Acum. y CxCob"/>
      <sheetName val="Cálculo Benf. Sociales (2)"/>
      <sheetName val="PROVISION SERV-TERCEROS"/>
      <sheetName val="PROVISION OTROS "/>
      <sheetName val="Provisión otros-personal"/>
      <sheetName val="Provisión Gtos-Exp."/>
      <sheetName val="Acreedores Div."/>
      <sheetName val="Prestamo M.P."/>
      <sheetName val="Movimiento Benf. Soc"/>
      <sheetName val="Fondo Reserva y Beneficios"/>
      <sheetName val="Movimiento Benef."/>
      <sheetName val="CalcProv.Benef. "/>
      <sheetName val="Movimiento provisiones"/>
      <sheetName val="Prov. Pagar"/>
      <sheetName val="Local"/>
      <sheetName val="SAP"/>
      <sheetName val="derivados"/>
      <sheetName val="Notas EEFF"/>
      <sheetName val="Mov. Benef."/>
      <sheetName val="Miscelaneos"/>
      <sheetName val="Base"/>
      <sheetName val="Débito Provisiones"/>
      <sheetName val="Registro Prov."/>
      <sheetName val="Comisiones y Bono"/>
      <sheetName val="Proveedores Locales"/>
      <sheetName val="Mov. Provisiones"/>
      <sheetName val="Cálculo Provisión"/>
      <sheetName val="Cálculo Global Benef Soc. Final"/>
      <sheetName val="Mov. Div. por Pagar"/>
      <sheetName val="Mov.Fondos Pool - Club B"/>
      <sheetName val="Comprob.Retención"/>
      <sheetName val="Prov.Comisión Vta"/>
      <sheetName val="Prov.Locutorios"/>
      <sheetName val="Proc.Gtos.Market"/>
      <sheetName val="Prov.NuevosNego"/>
      <sheetName val="Prov.Gtos.Sistemas(DIC)"/>
      <sheetName val="Prov.Gtos.Sistemas(OCT)"/>
      <sheetName val="Prov.Gto.Técnico"/>
      <sheetName val="Prov.Gtos.Finanz"/>
      <sheetName val="ProvGtosRRHH"/>
      <sheetName val="Det.IntxPagar"/>
      <sheetName val="Mov.Int.xPagar"/>
      <sheetName val="Benef.Sociales"/>
      <sheetName val="Tarifa C"/>
      <sheetName val="Derech&amp;Concesion"/>
      <sheetName val="B.S.I. Access"/>
      <sheetName val="Prov.Gtos.Sistemas"/>
      <sheetName val="Mov.Provisiones"/>
      <sheetName val="Detalle Benef. Socs."/>
      <sheetName val="IMPTOS 04"/>
      <sheetName val="Mov. Impto Rta y Part. Trab"/>
      <sheetName val="Prov. Varias"/>
      <sheetName val="Otros Acreedores"/>
      <sheetName val="Acreedores FINAL"/>
      <sheetName val="Impt. Rta y Part"/>
      <sheetName val="OCP"/>
      <sheetName val="Acreedores"/>
      <sheetName val="Prov. Reten. IR"/>
      <sheetName val="Ret.Contract"/>
      <sheetName val="Acreedores (2)"/>
      <sheetName val="Acreedores Varios"/>
      <sheetName val="Detalle de Otras CxP"/>
      <sheetName val="Valores por Facturar"/>
      <sheetName val="15%PT-25%IR (2)"/>
      <sheetName val="Ret. del Imp al Ing. de Nóm E."/>
      <sheetName val="Provisiones Dsctos. (2)"/>
      <sheetName val="Garantias"/>
      <sheetName val="Cálculo Garantías"/>
      <sheetName val="Compensac. Especial."/>
      <sheetName val="Catering"/>
      <sheetName val="Mov. Utilidades"/>
      <sheetName val="Descripción"/>
      <sheetName val="Movimiento "/>
      <sheetName val="Impuesto a la renta"/>
      <sheetName val="Provisiones Y descuentos"/>
      <sheetName val="Obligaciones"/>
      <sheetName val="Mov. Anticipos"/>
      <sheetName val="Ingresos diferidos"/>
      <sheetName val="Detalle de Gtos Acumul y Otras "/>
      <sheetName val="Liquidaciones por Pagar"/>
      <sheetName val=" Grupo Mas"/>
      <sheetName val="Préstamos Nacionales"/>
      <sheetName val="Grupo Más"/>
      <sheetName val="Ant.Vehículos"/>
      <sheetName val="Ant.Repuestos"/>
      <sheetName val="Ant.Taller"/>
      <sheetName val="Int.NoDevengados"/>
      <sheetName val="Prov.Import."/>
      <sheetName val="otras x pag"/>
      <sheetName val="Det.BenSociales"/>
      <sheetName val="Mov.Ben.Sociales"/>
      <sheetName val="OtrasXPagar Emp."/>
      <sheetName val="Det. Oblig. Part."/>
      <sheetName val="Ter Fin"/>
      <sheetName val="Fideic Fin"/>
      <sheetName val="Terc Prel"/>
      <sheetName val="Fideicomiso"/>
      <sheetName val="Beneficios Soc."/>
      <sheetName val="Detalle de beneficios sociales"/>
      <sheetName val="Calc. Global Benef.(Prel) sept."/>
      <sheetName val="Detalle Prov. Varias"/>
      <sheetName val="Mov. Prov. Varias"/>
      <sheetName val="Detalle de provisiones"/>
      <sheetName val="Garantías (ppc)"/>
      <sheetName val="Análisis Garantias"/>
      <sheetName val="Análisis descuentos"/>
      <sheetName val="Detalle Otras CXP y Gtos Ac"/>
      <sheetName val="CxP Miscelaneos"/>
      <sheetName val="Análisis regalías"/>
      <sheetName val="Regalías"/>
      <sheetName val="Reemb.gtosWS"/>
      <sheetName val="Estado Cta WS"/>
      <sheetName val="Mov. Bonif. Ejecutivos"/>
      <sheetName val="Análisis bonif ejecutivos"/>
      <sheetName val="Tarjetas Prepagao"/>
      <sheetName val="Base T Prepago"/>
      <sheetName val="Movimiento Ing Dif"/>
      <sheetName val="Ing Diferidos"/>
      <sheetName val="AUX.PROVEEDORES  (2)"/>
      <sheetName val="AUX.PROVEEDORES "/>
      <sheetName val="Mov. Benf Soc"/>
      <sheetName val="Mov. Impto - Part"/>
      <sheetName val="Benef. Socia."/>
      <sheetName val="Caj Ah"/>
      <sheetName val="Nota EF"/>
      <sheetName val="Ana Prov"/>
      <sheetName val="Detalle "/>
      <sheetName val="Prov. Dsctos."/>
      <sheetName val="Cálculo actuarial "/>
      <sheetName val="cálculo actuarial final"/>
      <sheetName val="Provisiones Varias"/>
      <sheetName val="Mantenimiento mayor"/>
      <sheetName val="Descuentos"/>
      <sheetName val="Garantías ppc"/>
      <sheetName val="Relac. Final"/>
      <sheetName val="Relac. Prel."/>
      <sheetName val="Relac.2005"/>
      <sheetName val="Movimientos"/>
      <sheetName val="Cuentas a Pagar"/>
      <sheetName val="Otros Gastos x P"/>
      <sheetName val="Participación y Impuesto"/>
      <sheetName val="Hon. Otros Profe"/>
      <sheetName val="Indugram"/>
      <sheetName val="2352302"/>
      <sheetName val="CUOTA SOST OCTUBRE 2003"/>
      <sheetName val="CUOTA EXTRA OCTUBRE 2003"/>
      <sheetName val="Relacionadas"/>
      <sheetName val="Provisiones Prel"/>
      <sheetName val="Cálculo Actuarial"/>
      <sheetName val="Servicios NQIA"/>
      <sheetName val="Confirmaciones"/>
      <sheetName val="fabrica"/>
      <sheetName val="Int.por pagar Oblig."/>
      <sheetName val="Prés. por pagar terceros"/>
      <sheetName val="Mov. Imptos."/>
      <sheetName val="Autoseguro"/>
      <sheetName val="Det. Prov. Otros. Gtos. Agríc."/>
      <sheetName val="Det. Prov. por otros gtos. xp"/>
      <sheetName val="otras cxp proveedores"/>
      <sheetName val="Otras CXP "/>
      <sheetName val="Prest Accionistas"/>
      <sheetName val="Cuentas por Liquidar"/>
      <sheetName val=" Clientes"/>
      <sheetName val="Imptos (Dic04)"/>
      <sheetName val="Imptos (Ago04)"/>
      <sheetName val="Promociones"/>
      <sheetName val="Ctas X P Operac"/>
      <sheetName val="Provisiones Final"/>
      <sheetName val="Sobrantes"/>
      <sheetName val="Provisiones Prelim."/>
      <sheetName val="Otros X P"/>
      <sheetName val="Detalle de Proveedores"/>
      <sheetName val="Provisiones G."/>
      <sheetName val="Imp Rta y Part Trab"/>
      <sheetName val="Jubilación Patronal y Desahucio"/>
      <sheetName val="Prov Dsctos Dic"/>
      <sheetName val="Provisiones Descuentos Oct"/>
      <sheetName val="Cias. Relacionadas"/>
      <sheetName val="Prov. técn dic-04"/>
      <sheetName val="MMA Prov."/>
      <sheetName val="Análisis Provisiones"/>
      <sheetName val="PE0238 Dep. Com."/>
      <sheetName val="PE0239 Dep. Ind."/>
      <sheetName val="Imptos (Ago05)"/>
      <sheetName val="Prov Fletes"/>
      <sheetName val="Detalle fletes"/>
      <sheetName val="Detalle dividendos"/>
      <sheetName val="Detalle otros acreedores"/>
      <sheetName val="Análisis Nómina"/>
      <sheetName val="Provisiones diversas"/>
      <sheetName val="provisiones cesantía"/>
      <sheetName val="Mov Benef. Sociales"/>
      <sheetName val="Ctas. Pag. Clientes"/>
      <sheetName val="Mov. Beneficios S."/>
      <sheetName val="Indirect Operating"/>
      <sheetName val="Prov. Auditoría"/>
      <sheetName val="Mov.Impuesto R."/>
      <sheetName val="Mov.Participación T."/>
      <sheetName val="Goverment"/>
      <sheetName val="Mov. Desahucio"/>
      <sheetName val="Other"/>
      <sheetName val="Direct Operating"/>
      <sheetName val="Prov. Gastos D."/>
      <sheetName val="Accrued Capital"/>
      <sheetName val="Prov. Capex"/>
      <sheetName val="Prov.WO"/>
      <sheetName val="Movimiento IR"/>
      <sheetName val="Detalle Prov Gastos (P)"/>
      <sheetName val="Detalle Prov Gastos (F)"/>
      <sheetName val="Obligaciones Produbanco"/>
      <sheetName val="Anticipos de consultorios"/>
      <sheetName val="Imp. y Participación"/>
      <sheetName val="Otras ctas por pagar"/>
      <sheetName val="Vacaciones"/>
      <sheetName val="Nota a los EE.FF"/>
      <sheetName val="IR y Part Trabaj"/>
      <sheetName val="Jub Patronal"/>
      <sheetName val="Mov.Part.Trab-Renta"/>
      <sheetName val="Mov.Jub.Des"/>
      <sheetName val="Bonif.a Func"/>
      <sheetName val="MCS Subs"/>
      <sheetName val="ESPP"/>
      <sheetName val="Unearned Rev-services"/>
      <sheetName val="Otas CxP AGD"/>
      <sheetName val="Prov Jub Patronal"/>
      <sheetName val="Movimientos IR y PT"/>
      <sheetName val="Accruals Final"/>
      <sheetName val="Accruals Preliminar"/>
      <sheetName val="Movim. Imp.Renta y Part.Tr"/>
      <sheetName val="Contratistas"/>
      <sheetName val="ISD"/>
      <sheetName val="Gtos. Acumulados"/>
      <sheetName val="Beneficios contrato"/>
      <sheetName val="IESS2003"/>
      <sheetName val="Socios"/>
      <sheetName val="Prov. Ineterc."/>
      <sheetName val="APT "/>
      <sheetName val="Leasing 2009"/>
      <sheetName val="Prestamo Final "/>
      <sheetName val="Prestamo Preli"/>
      <sheetName val="Beneficios socials"/>
      <sheetName val="Anticipo Transports"/>
      <sheetName val="Análisis Contingencias"/>
      <sheetName val="Contingencias (prelim)"/>
      <sheetName val="Acreedores "/>
      <sheetName val="Mov. Impuestos"/>
      <sheetName val="Sueldos x Pagar"/>
      <sheetName val="Prov.Importaciones"/>
      <sheetName val="Desahucio y Jubilación"/>
      <sheetName val="Análisis Ord. Comp. Abier."/>
      <sheetName val="Cálculos"/>
      <sheetName val="Movim. Part. Trabaj."/>
      <sheetName val="Movim. Benef. Social"/>
      <sheetName val="Form.Accrual"/>
      <sheetName val="Análisis de Prov. proveedores"/>
      <sheetName val="Liquid.Provisi."/>
      <sheetName val="Valores Mov. Invent."/>
      <sheetName val="Ordenes Compra Abiertas"/>
      <sheetName val="MMA Calc. O. C. Abiertas"/>
      <sheetName val="MMA Selec. O. C. Abiertas"/>
      <sheetName val="Detalle Savings Plan"/>
      <sheetName val="Provis.Final"/>
      <sheetName val="Provisión Proveedores"/>
      <sheetName val="MMA Calcul. Prov. Proveed."/>
      <sheetName val="MMA Selec. Prov. Proveed."/>
      <sheetName val="NOTA NIIF"/>
      <sheetName val="IR Y 15%Trab"/>
      <sheetName val="Movimeinto "/>
      <sheetName val="Provisiones Descuentos"/>
      <sheetName val="Mov. Impuesto a la renta "/>
      <sheetName val="Mov. Jubilación P y Desah"/>
      <sheetName val="Mant. equipo"/>
      <sheetName val="Expatriados"/>
      <sheetName val="Other Insurance"/>
      <sheetName val="Open PO"/>
      <sheetName val="Notas"/>
      <sheetName val="Cargas Sociales"/>
      <sheetName val="Gtos. Acum."/>
      <sheetName val="Ctas. x Liq."/>
      <sheetName val="Detalle Prov. Mensuales"/>
      <sheetName val="Detalle Anticipos Clientes"/>
      <sheetName val="Conciliación Bancaria Pacifico"/>
      <sheetName val="Nota 13"/>
      <sheetName val="Mov. Prov. Jubilación Patronal"/>
      <sheetName val="Clientes Nacional"/>
      <sheetName val="Clientes Exterior"/>
      <sheetName val="Clientes Intercompañias"/>
      <sheetName val="Mov. Part. Trab."/>
      <sheetName val="Anticipos IR"/>
      <sheetName val="Límite Jubilacion Patronal"/>
      <sheetName val="Límite Desahucio"/>
      <sheetName val="Fletes x Pagar"/>
      <sheetName val="Impuest y Contr"/>
      <sheetName val="Diversos Gastos"/>
      <sheetName val="Plan Auto"/>
      <sheetName val="No devengado 2010"/>
      <sheetName val="Calculo anticipo contrato compl"/>
      <sheetName val="No devengado"/>
      <sheetName val="Calculo anticipo"/>
      <sheetName val="Miscelan_x0004__x0000__x0011_"/>
      <sheetName val="Mov. Part. Trab.Final"/>
      <sheetName val="Movimiento Imp. Dif."/>
      <sheetName val="Mov. Part. Trab.Preli"/>
      <sheetName val="Pruebas Sustantivas"/>
      <sheetName val="Anticipos Clientes Final"/>
      <sheetName val="NOTAS E.E.F.F."/>
      <sheetName val="Resumen"/>
      <sheetName val="informe"/>
      <sheetName val="Mov. Imp. Ren y Part. trab"/>
      <sheetName val="Mov. Prov. Desp"/>
      <sheetName val="Doble Pago"/>
      <sheetName val="Detalle de Acrrued"/>
      <sheetName val="LAC"/>
      <sheetName val="Detalle de Anticipos"/>
      <sheetName val="Análisis de Prov. Varias"/>
      <sheetName val="Pasivos registrados"/>
      <sheetName val="Mov IR y Part"/>
      <sheetName val="Anticipos recibidos"/>
      <sheetName val="FND. TERCEROS DIR. MED."/>
      <sheetName val="Análisis de vacaciones"/>
      <sheetName val="(F) Provisiones "/>
      <sheetName val="IR y Particip Laboral"/>
      <sheetName val="Ant client"/>
      <sheetName val="Ant clientes"/>
      <sheetName val="Mov. IR y PT"/>
      <sheetName val="Mov. Part. Trab. e Imp. Rta."/>
      <sheetName val="Detalle gastos causados mes"/>
      <sheetName val="Proveedores Nac."/>
      <sheetName val="COPIA"/>
      <sheetName val="Detalle Prov Gastos"/>
      <sheetName val="Prov. Gastos"/>
      <sheetName val="Gto. Acumulados"/>
      <sheetName val="Mov.Price Royalty"/>
      <sheetName val="Anticipo Clientes Final"/>
      <sheetName val="Mov. Garantías Comerciales"/>
      <sheetName val="Prov. Bonos"/>
      <sheetName val="Movimiento Publicidad"/>
      <sheetName val="P.1. Detalle"/>
      <sheetName val="P.2. Movimiento IR (P)"/>
      <sheetName val="P.3. Detalle Prov Gastos (P)"/>
      <sheetName val="Movimiento anticipos"/>
      <sheetName val="Movimiento Jubilación patronal"/>
      <sheetName val="Management Fee"/>
      <sheetName val="Procedimiento Gastos Acum"/>
      <sheetName val="Jubilación y Desahucio"/>
      <sheetName val="IR"/>
      <sheetName val="Miscelan_x0004_"/>
      <sheetName val="Ingreso Clasificado"/>
      <sheetName val="Ingreso Suscripciones"/>
      <sheetName val="Mpvimiento de Impuestos Diferid"/>
      <sheetName val="Owned"/>
      <sheetName val="Reexpresado año 2000"/>
      <sheetName val="Anexo 12"/>
      <sheetName val="LPH e INCE"/>
      <sheetName val="Análisis IVA"/>
      <sheetName val="31 Dic 96"/>
      <sheetName val="Datos Genera."/>
      <sheetName val="Determinación del Límite"/>
      <sheetName val="TABLAIPC "/>
      <sheetName val="COLOCACIONES"/>
      <sheetName val="Pagos Anticipados"/>
      <sheetName val="Mov. Impto. Rta. y Part"/>
      <sheetName val="Mov. Impuesto a la renta"/>
      <sheetName val="Movimiento Participació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/>
      <sheetData sheetId="234"/>
      <sheetData sheetId="235"/>
      <sheetData sheetId="236"/>
      <sheetData sheetId="237" refreshError="1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 refreshError="1"/>
      <sheetData sheetId="314"/>
      <sheetData sheetId="315"/>
      <sheetData sheetId="316"/>
      <sheetData sheetId="317" refreshError="1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 refreshError="1"/>
      <sheetData sheetId="638" refreshError="1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 refreshError="1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 refreshError="1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/>
      <sheetData sheetId="761" refreshError="1"/>
      <sheetData sheetId="762"/>
      <sheetData sheetId="763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/>
      <sheetData sheetId="79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showGridLines="0" tabSelected="1" zoomScale="80" zoomScaleNormal="80" workbookViewId="0">
      <selection activeCell="N24" sqref="N24"/>
    </sheetView>
  </sheetViews>
  <sheetFormatPr baseColWidth="10" defaultRowHeight="12.5"/>
  <cols>
    <col min="1" max="1" width="6.81640625" style="2" customWidth="1"/>
    <col min="2" max="2" width="20.453125" style="2" customWidth="1"/>
    <col min="3" max="3" width="23.81640625" style="2" customWidth="1"/>
    <col min="4" max="4" width="22.1796875" style="2" customWidth="1"/>
    <col min="5" max="14" width="19.1796875" style="2" customWidth="1"/>
    <col min="15" max="15" width="20.81640625" style="2" customWidth="1"/>
    <col min="16" max="16" width="23.08984375" style="2" customWidth="1"/>
    <col min="17" max="17" width="19.453125" style="2" customWidth="1"/>
    <col min="18" max="18" width="18.1796875" style="2" customWidth="1"/>
    <col min="19" max="19" width="12.453125" style="2" customWidth="1"/>
    <col min="20" max="21" width="11.453125" style="2"/>
    <col min="22" max="22" width="16.36328125" style="2" customWidth="1"/>
    <col min="23" max="23" width="13.1796875" style="2" customWidth="1"/>
    <col min="24" max="266" width="11.453125" style="2"/>
    <col min="267" max="267" width="21.453125" style="2" customWidth="1"/>
    <col min="268" max="268" width="29" style="2" customWidth="1"/>
    <col min="269" max="269" width="20.453125" style="2" customWidth="1"/>
    <col min="270" max="270" width="16.1796875" style="2" customWidth="1"/>
    <col min="271" max="271" width="17.453125" style="2" bestFit="1" customWidth="1"/>
    <col min="272" max="272" width="28.81640625" style="2" customWidth="1"/>
    <col min="273" max="273" width="14.1796875" style="2" customWidth="1"/>
    <col min="274" max="274" width="16.54296875" style="2" customWidth="1"/>
    <col min="275" max="522" width="11.453125" style="2"/>
    <col min="523" max="523" width="21.453125" style="2" customWidth="1"/>
    <col min="524" max="524" width="29" style="2" customWidth="1"/>
    <col min="525" max="525" width="20.453125" style="2" customWidth="1"/>
    <col min="526" max="526" width="16.1796875" style="2" customWidth="1"/>
    <col min="527" max="527" width="17.453125" style="2" bestFit="1" customWidth="1"/>
    <col min="528" max="528" width="28.81640625" style="2" customWidth="1"/>
    <col min="529" max="529" width="14.1796875" style="2" customWidth="1"/>
    <col min="530" max="530" width="16.54296875" style="2" customWidth="1"/>
    <col min="531" max="778" width="11.453125" style="2"/>
    <col min="779" max="779" width="21.453125" style="2" customWidth="1"/>
    <col min="780" max="780" width="29" style="2" customWidth="1"/>
    <col min="781" max="781" width="20.453125" style="2" customWidth="1"/>
    <col min="782" max="782" width="16.1796875" style="2" customWidth="1"/>
    <col min="783" max="783" width="17.453125" style="2" bestFit="1" customWidth="1"/>
    <col min="784" max="784" width="28.81640625" style="2" customWidth="1"/>
    <col min="785" max="785" width="14.1796875" style="2" customWidth="1"/>
    <col min="786" max="786" width="16.54296875" style="2" customWidth="1"/>
    <col min="787" max="1034" width="11.453125" style="2"/>
    <col min="1035" max="1035" width="21.453125" style="2" customWidth="1"/>
    <col min="1036" max="1036" width="29" style="2" customWidth="1"/>
    <col min="1037" max="1037" width="20.453125" style="2" customWidth="1"/>
    <col min="1038" max="1038" width="16.1796875" style="2" customWidth="1"/>
    <col min="1039" max="1039" width="17.453125" style="2" bestFit="1" customWidth="1"/>
    <col min="1040" max="1040" width="28.81640625" style="2" customWidth="1"/>
    <col min="1041" max="1041" width="14.1796875" style="2" customWidth="1"/>
    <col min="1042" max="1042" width="16.54296875" style="2" customWidth="1"/>
    <col min="1043" max="1290" width="11.453125" style="2"/>
    <col min="1291" max="1291" width="21.453125" style="2" customWidth="1"/>
    <col min="1292" max="1292" width="29" style="2" customWidth="1"/>
    <col min="1293" max="1293" width="20.453125" style="2" customWidth="1"/>
    <col min="1294" max="1294" width="16.1796875" style="2" customWidth="1"/>
    <col min="1295" max="1295" width="17.453125" style="2" bestFit="1" customWidth="1"/>
    <col min="1296" max="1296" width="28.81640625" style="2" customWidth="1"/>
    <col min="1297" max="1297" width="14.1796875" style="2" customWidth="1"/>
    <col min="1298" max="1298" width="16.54296875" style="2" customWidth="1"/>
    <col min="1299" max="1546" width="11.453125" style="2"/>
    <col min="1547" max="1547" width="21.453125" style="2" customWidth="1"/>
    <col min="1548" max="1548" width="29" style="2" customWidth="1"/>
    <col min="1549" max="1549" width="20.453125" style="2" customWidth="1"/>
    <col min="1550" max="1550" width="16.1796875" style="2" customWidth="1"/>
    <col min="1551" max="1551" width="17.453125" style="2" bestFit="1" customWidth="1"/>
    <col min="1552" max="1552" width="28.81640625" style="2" customWidth="1"/>
    <col min="1553" max="1553" width="14.1796875" style="2" customWidth="1"/>
    <col min="1554" max="1554" width="16.54296875" style="2" customWidth="1"/>
    <col min="1555" max="1802" width="11.453125" style="2"/>
    <col min="1803" max="1803" width="21.453125" style="2" customWidth="1"/>
    <col min="1804" max="1804" width="29" style="2" customWidth="1"/>
    <col min="1805" max="1805" width="20.453125" style="2" customWidth="1"/>
    <col min="1806" max="1806" width="16.1796875" style="2" customWidth="1"/>
    <col min="1807" max="1807" width="17.453125" style="2" bestFit="1" customWidth="1"/>
    <col min="1808" max="1808" width="28.81640625" style="2" customWidth="1"/>
    <col min="1809" max="1809" width="14.1796875" style="2" customWidth="1"/>
    <col min="1810" max="1810" width="16.54296875" style="2" customWidth="1"/>
    <col min="1811" max="2058" width="11.453125" style="2"/>
    <col min="2059" max="2059" width="21.453125" style="2" customWidth="1"/>
    <col min="2060" max="2060" width="29" style="2" customWidth="1"/>
    <col min="2061" max="2061" width="20.453125" style="2" customWidth="1"/>
    <col min="2062" max="2062" width="16.1796875" style="2" customWidth="1"/>
    <col min="2063" max="2063" width="17.453125" style="2" bestFit="1" customWidth="1"/>
    <col min="2064" max="2064" width="28.81640625" style="2" customWidth="1"/>
    <col min="2065" max="2065" width="14.1796875" style="2" customWidth="1"/>
    <col min="2066" max="2066" width="16.54296875" style="2" customWidth="1"/>
    <col min="2067" max="2314" width="11.453125" style="2"/>
    <col min="2315" max="2315" width="21.453125" style="2" customWidth="1"/>
    <col min="2316" max="2316" width="29" style="2" customWidth="1"/>
    <col min="2317" max="2317" width="20.453125" style="2" customWidth="1"/>
    <col min="2318" max="2318" width="16.1796875" style="2" customWidth="1"/>
    <col min="2319" max="2319" width="17.453125" style="2" bestFit="1" customWidth="1"/>
    <col min="2320" max="2320" width="28.81640625" style="2" customWidth="1"/>
    <col min="2321" max="2321" width="14.1796875" style="2" customWidth="1"/>
    <col min="2322" max="2322" width="16.54296875" style="2" customWidth="1"/>
    <col min="2323" max="2570" width="11.453125" style="2"/>
    <col min="2571" max="2571" width="21.453125" style="2" customWidth="1"/>
    <col min="2572" max="2572" width="29" style="2" customWidth="1"/>
    <col min="2573" max="2573" width="20.453125" style="2" customWidth="1"/>
    <col min="2574" max="2574" width="16.1796875" style="2" customWidth="1"/>
    <col min="2575" max="2575" width="17.453125" style="2" bestFit="1" customWidth="1"/>
    <col min="2576" max="2576" width="28.81640625" style="2" customWidth="1"/>
    <col min="2577" max="2577" width="14.1796875" style="2" customWidth="1"/>
    <col min="2578" max="2578" width="16.54296875" style="2" customWidth="1"/>
    <col min="2579" max="2826" width="11.453125" style="2"/>
    <col min="2827" max="2827" width="21.453125" style="2" customWidth="1"/>
    <col min="2828" max="2828" width="29" style="2" customWidth="1"/>
    <col min="2829" max="2829" width="20.453125" style="2" customWidth="1"/>
    <col min="2830" max="2830" width="16.1796875" style="2" customWidth="1"/>
    <col min="2831" max="2831" width="17.453125" style="2" bestFit="1" customWidth="1"/>
    <col min="2832" max="2832" width="28.81640625" style="2" customWidth="1"/>
    <col min="2833" max="2833" width="14.1796875" style="2" customWidth="1"/>
    <col min="2834" max="2834" width="16.54296875" style="2" customWidth="1"/>
    <col min="2835" max="3082" width="11.453125" style="2"/>
    <col min="3083" max="3083" width="21.453125" style="2" customWidth="1"/>
    <col min="3084" max="3084" width="29" style="2" customWidth="1"/>
    <col min="3085" max="3085" width="20.453125" style="2" customWidth="1"/>
    <col min="3086" max="3086" width="16.1796875" style="2" customWidth="1"/>
    <col min="3087" max="3087" width="17.453125" style="2" bestFit="1" customWidth="1"/>
    <col min="3088" max="3088" width="28.81640625" style="2" customWidth="1"/>
    <col min="3089" max="3089" width="14.1796875" style="2" customWidth="1"/>
    <col min="3090" max="3090" width="16.54296875" style="2" customWidth="1"/>
    <col min="3091" max="3338" width="11.453125" style="2"/>
    <col min="3339" max="3339" width="21.453125" style="2" customWidth="1"/>
    <col min="3340" max="3340" width="29" style="2" customWidth="1"/>
    <col min="3341" max="3341" width="20.453125" style="2" customWidth="1"/>
    <col min="3342" max="3342" width="16.1796875" style="2" customWidth="1"/>
    <col min="3343" max="3343" width="17.453125" style="2" bestFit="1" customWidth="1"/>
    <col min="3344" max="3344" width="28.81640625" style="2" customWidth="1"/>
    <col min="3345" max="3345" width="14.1796875" style="2" customWidth="1"/>
    <col min="3346" max="3346" width="16.54296875" style="2" customWidth="1"/>
    <col min="3347" max="3594" width="11.453125" style="2"/>
    <col min="3595" max="3595" width="21.453125" style="2" customWidth="1"/>
    <col min="3596" max="3596" width="29" style="2" customWidth="1"/>
    <col min="3597" max="3597" width="20.453125" style="2" customWidth="1"/>
    <col min="3598" max="3598" width="16.1796875" style="2" customWidth="1"/>
    <col min="3599" max="3599" width="17.453125" style="2" bestFit="1" customWidth="1"/>
    <col min="3600" max="3600" width="28.81640625" style="2" customWidth="1"/>
    <col min="3601" max="3601" width="14.1796875" style="2" customWidth="1"/>
    <col min="3602" max="3602" width="16.54296875" style="2" customWidth="1"/>
    <col min="3603" max="3850" width="11.453125" style="2"/>
    <col min="3851" max="3851" width="21.453125" style="2" customWidth="1"/>
    <col min="3852" max="3852" width="29" style="2" customWidth="1"/>
    <col min="3853" max="3853" width="20.453125" style="2" customWidth="1"/>
    <col min="3854" max="3854" width="16.1796875" style="2" customWidth="1"/>
    <col min="3855" max="3855" width="17.453125" style="2" bestFit="1" customWidth="1"/>
    <col min="3856" max="3856" width="28.81640625" style="2" customWidth="1"/>
    <col min="3857" max="3857" width="14.1796875" style="2" customWidth="1"/>
    <col min="3858" max="3858" width="16.54296875" style="2" customWidth="1"/>
    <col min="3859" max="4106" width="11.453125" style="2"/>
    <col min="4107" max="4107" width="21.453125" style="2" customWidth="1"/>
    <col min="4108" max="4108" width="29" style="2" customWidth="1"/>
    <col min="4109" max="4109" width="20.453125" style="2" customWidth="1"/>
    <col min="4110" max="4110" width="16.1796875" style="2" customWidth="1"/>
    <col min="4111" max="4111" width="17.453125" style="2" bestFit="1" customWidth="1"/>
    <col min="4112" max="4112" width="28.81640625" style="2" customWidth="1"/>
    <col min="4113" max="4113" width="14.1796875" style="2" customWidth="1"/>
    <col min="4114" max="4114" width="16.54296875" style="2" customWidth="1"/>
    <col min="4115" max="4362" width="11.453125" style="2"/>
    <col min="4363" max="4363" width="21.453125" style="2" customWidth="1"/>
    <col min="4364" max="4364" width="29" style="2" customWidth="1"/>
    <col min="4365" max="4365" width="20.453125" style="2" customWidth="1"/>
    <col min="4366" max="4366" width="16.1796875" style="2" customWidth="1"/>
    <col min="4367" max="4367" width="17.453125" style="2" bestFit="1" customWidth="1"/>
    <col min="4368" max="4368" width="28.81640625" style="2" customWidth="1"/>
    <col min="4369" max="4369" width="14.1796875" style="2" customWidth="1"/>
    <col min="4370" max="4370" width="16.54296875" style="2" customWidth="1"/>
    <col min="4371" max="4618" width="11.453125" style="2"/>
    <col min="4619" max="4619" width="21.453125" style="2" customWidth="1"/>
    <col min="4620" max="4620" width="29" style="2" customWidth="1"/>
    <col min="4621" max="4621" width="20.453125" style="2" customWidth="1"/>
    <col min="4622" max="4622" width="16.1796875" style="2" customWidth="1"/>
    <col min="4623" max="4623" width="17.453125" style="2" bestFit="1" customWidth="1"/>
    <col min="4624" max="4624" width="28.81640625" style="2" customWidth="1"/>
    <col min="4625" max="4625" width="14.1796875" style="2" customWidth="1"/>
    <col min="4626" max="4626" width="16.54296875" style="2" customWidth="1"/>
    <col min="4627" max="4874" width="11.453125" style="2"/>
    <col min="4875" max="4875" width="21.453125" style="2" customWidth="1"/>
    <col min="4876" max="4876" width="29" style="2" customWidth="1"/>
    <col min="4877" max="4877" width="20.453125" style="2" customWidth="1"/>
    <col min="4878" max="4878" width="16.1796875" style="2" customWidth="1"/>
    <col min="4879" max="4879" width="17.453125" style="2" bestFit="1" customWidth="1"/>
    <col min="4880" max="4880" width="28.81640625" style="2" customWidth="1"/>
    <col min="4881" max="4881" width="14.1796875" style="2" customWidth="1"/>
    <col min="4882" max="4882" width="16.54296875" style="2" customWidth="1"/>
    <col min="4883" max="5130" width="11.453125" style="2"/>
    <col min="5131" max="5131" width="21.453125" style="2" customWidth="1"/>
    <col min="5132" max="5132" width="29" style="2" customWidth="1"/>
    <col min="5133" max="5133" width="20.453125" style="2" customWidth="1"/>
    <col min="5134" max="5134" width="16.1796875" style="2" customWidth="1"/>
    <col min="5135" max="5135" width="17.453125" style="2" bestFit="1" customWidth="1"/>
    <col min="5136" max="5136" width="28.81640625" style="2" customWidth="1"/>
    <col min="5137" max="5137" width="14.1796875" style="2" customWidth="1"/>
    <col min="5138" max="5138" width="16.54296875" style="2" customWidth="1"/>
    <col min="5139" max="5386" width="11.453125" style="2"/>
    <col min="5387" max="5387" width="21.453125" style="2" customWidth="1"/>
    <col min="5388" max="5388" width="29" style="2" customWidth="1"/>
    <col min="5389" max="5389" width="20.453125" style="2" customWidth="1"/>
    <col min="5390" max="5390" width="16.1796875" style="2" customWidth="1"/>
    <col min="5391" max="5391" width="17.453125" style="2" bestFit="1" customWidth="1"/>
    <col min="5392" max="5392" width="28.81640625" style="2" customWidth="1"/>
    <col min="5393" max="5393" width="14.1796875" style="2" customWidth="1"/>
    <col min="5394" max="5394" width="16.54296875" style="2" customWidth="1"/>
    <col min="5395" max="5642" width="11.453125" style="2"/>
    <col min="5643" max="5643" width="21.453125" style="2" customWidth="1"/>
    <col min="5644" max="5644" width="29" style="2" customWidth="1"/>
    <col min="5645" max="5645" width="20.453125" style="2" customWidth="1"/>
    <col min="5646" max="5646" width="16.1796875" style="2" customWidth="1"/>
    <col min="5647" max="5647" width="17.453125" style="2" bestFit="1" customWidth="1"/>
    <col min="5648" max="5648" width="28.81640625" style="2" customWidth="1"/>
    <col min="5649" max="5649" width="14.1796875" style="2" customWidth="1"/>
    <col min="5650" max="5650" width="16.54296875" style="2" customWidth="1"/>
    <col min="5651" max="5898" width="11.453125" style="2"/>
    <col min="5899" max="5899" width="21.453125" style="2" customWidth="1"/>
    <col min="5900" max="5900" width="29" style="2" customWidth="1"/>
    <col min="5901" max="5901" width="20.453125" style="2" customWidth="1"/>
    <col min="5902" max="5902" width="16.1796875" style="2" customWidth="1"/>
    <col min="5903" max="5903" width="17.453125" style="2" bestFit="1" customWidth="1"/>
    <col min="5904" max="5904" width="28.81640625" style="2" customWidth="1"/>
    <col min="5905" max="5905" width="14.1796875" style="2" customWidth="1"/>
    <col min="5906" max="5906" width="16.54296875" style="2" customWidth="1"/>
    <col min="5907" max="6154" width="11.453125" style="2"/>
    <col min="6155" max="6155" width="21.453125" style="2" customWidth="1"/>
    <col min="6156" max="6156" width="29" style="2" customWidth="1"/>
    <col min="6157" max="6157" width="20.453125" style="2" customWidth="1"/>
    <col min="6158" max="6158" width="16.1796875" style="2" customWidth="1"/>
    <col min="6159" max="6159" width="17.453125" style="2" bestFit="1" customWidth="1"/>
    <col min="6160" max="6160" width="28.81640625" style="2" customWidth="1"/>
    <col min="6161" max="6161" width="14.1796875" style="2" customWidth="1"/>
    <col min="6162" max="6162" width="16.54296875" style="2" customWidth="1"/>
    <col min="6163" max="6410" width="11.453125" style="2"/>
    <col min="6411" max="6411" width="21.453125" style="2" customWidth="1"/>
    <col min="6412" max="6412" width="29" style="2" customWidth="1"/>
    <col min="6413" max="6413" width="20.453125" style="2" customWidth="1"/>
    <col min="6414" max="6414" width="16.1796875" style="2" customWidth="1"/>
    <col min="6415" max="6415" width="17.453125" style="2" bestFit="1" customWidth="1"/>
    <col min="6416" max="6416" width="28.81640625" style="2" customWidth="1"/>
    <col min="6417" max="6417" width="14.1796875" style="2" customWidth="1"/>
    <col min="6418" max="6418" width="16.54296875" style="2" customWidth="1"/>
    <col min="6419" max="6666" width="11.453125" style="2"/>
    <col min="6667" max="6667" width="21.453125" style="2" customWidth="1"/>
    <col min="6668" max="6668" width="29" style="2" customWidth="1"/>
    <col min="6669" max="6669" width="20.453125" style="2" customWidth="1"/>
    <col min="6670" max="6670" width="16.1796875" style="2" customWidth="1"/>
    <col min="6671" max="6671" width="17.453125" style="2" bestFit="1" customWidth="1"/>
    <col min="6672" max="6672" width="28.81640625" style="2" customWidth="1"/>
    <col min="6673" max="6673" width="14.1796875" style="2" customWidth="1"/>
    <col min="6674" max="6674" width="16.54296875" style="2" customWidth="1"/>
    <col min="6675" max="6922" width="11.453125" style="2"/>
    <col min="6923" max="6923" width="21.453125" style="2" customWidth="1"/>
    <col min="6924" max="6924" width="29" style="2" customWidth="1"/>
    <col min="6925" max="6925" width="20.453125" style="2" customWidth="1"/>
    <col min="6926" max="6926" width="16.1796875" style="2" customWidth="1"/>
    <col min="6927" max="6927" width="17.453125" style="2" bestFit="1" customWidth="1"/>
    <col min="6928" max="6928" width="28.81640625" style="2" customWidth="1"/>
    <col min="6929" max="6929" width="14.1796875" style="2" customWidth="1"/>
    <col min="6930" max="6930" width="16.54296875" style="2" customWidth="1"/>
    <col min="6931" max="7178" width="11.453125" style="2"/>
    <col min="7179" max="7179" width="21.453125" style="2" customWidth="1"/>
    <col min="7180" max="7180" width="29" style="2" customWidth="1"/>
    <col min="7181" max="7181" width="20.453125" style="2" customWidth="1"/>
    <col min="7182" max="7182" width="16.1796875" style="2" customWidth="1"/>
    <col min="7183" max="7183" width="17.453125" style="2" bestFit="1" customWidth="1"/>
    <col min="7184" max="7184" width="28.81640625" style="2" customWidth="1"/>
    <col min="7185" max="7185" width="14.1796875" style="2" customWidth="1"/>
    <col min="7186" max="7186" width="16.54296875" style="2" customWidth="1"/>
    <col min="7187" max="7434" width="11.453125" style="2"/>
    <col min="7435" max="7435" width="21.453125" style="2" customWidth="1"/>
    <col min="7436" max="7436" width="29" style="2" customWidth="1"/>
    <col min="7437" max="7437" width="20.453125" style="2" customWidth="1"/>
    <col min="7438" max="7438" width="16.1796875" style="2" customWidth="1"/>
    <col min="7439" max="7439" width="17.453125" style="2" bestFit="1" customWidth="1"/>
    <col min="7440" max="7440" width="28.81640625" style="2" customWidth="1"/>
    <col min="7441" max="7441" width="14.1796875" style="2" customWidth="1"/>
    <col min="7442" max="7442" width="16.54296875" style="2" customWidth="1"/>
    <col min="7443" max="7690" width="11.453125" style="2"/>
    <col min="7691" max="7691" width="21.453125" style="2" customWidth="1"/>
    <col min="7692" max="7692" width="29" style="2" customWidth="1"/>
    <col min="7693" max="7693" width="20.453125" style="2" customWidth="1"/>
    <col min="7694" max="7694" width="16.1796875" style="2" customWidth="1"/>
    <col min="7695" max="7695" width="17.453125" style="2" bestFit="1" customWidth="1"/>
    <col min="7696" max="7696" width="28.81640625" style="2" customWidth="1"/>
    <col min="7697" max="7697" width="14.1796875" style="2" customWidth="1"/>
    <col min="7698" max="7698" width="16.54296875" style="2" customWidth="1"/>
    <col min="7699" max="7946" width="11.453125" style="2"/>
    <col min="7947" max="7947" width="21.453125" style="2" customWidth="1"/>
    <col min="7948" max="7948" width="29" style="2" customWidth="1"/>
    <col min="7949" max="7949" width="20.453125" style="2" customWidth="1"/>
    <col min="7950" max="7950" width="16.1796875" style="2" customWidth="1"/>
    <col min="7951" max="7951" width="17.453125" style="2" bestFit="1" customWidth="1"/>
    <col min="7952" max="7952" width="28.81640625" style="2" customWidth="1"/>
    <col min="7953" max="7953" width="14.1796875" style="2" customWidth="1"/>
    <col min="7954" max="7954" width="16.54296875" style="2" customWidth="1"/>
    <col min="7955" max="8202" width="11.453125" style="2"/>
    <col min="8203" max="8203" width="21.453125" style="2" customWidth="1"/>
    <col min="8204" max="8204" width="29" style="2" customWidth="1"/>
    <col min="8205" max="8205" width="20.453125" style="2" customWidth="1"/>
    <col min="8206" max="8206" width="16.1796875" style="2" customWidth="1"/>
    <col min="8207" max="8207" width="17.453125" style="2" bestFit="1" customWidth="1"/>
    <col min="8208" max="8208" width="28.81640625" style="2" customWidth="1"/>
    <col min="8209" max="8209" width="14.1796875" style="2" customWidth="1"/>
    <col min="8210" max="8210" width="16.54296875" style="2" customWidth="1"/>
    <col min="8211" max="8458" width="11.453125" style="2"/>
    <col min="8459" max="8459" width="21.453125" style="2" customWidth="1"/>
    <col min="8460" max="8460" width="29" style="2" customWidth="1"/>
    <col min="8461" max="8461" width="20.453125" style="2" customWidth="1"/>
    <col min="8462" max="8462" width="16.1796875" style="2" customWidth="1"/>
    <col min="8463" max="8463" width="17.453125" style="2" bestFit="1" customWidth="1"/>
    <col min="8464" max="8464" width="28.81640625" style="2" customWidth="1"/>
    <col min="8465" max="8465" width="14.1796875" style="2" customWidth="1"/>
    <col min="8466" max="8466" width="16.54296875" style="2" customWidth="1"/>
    <col min="8467" max="8714" width="11.453125" style="2"/>
    <col min="8715" max="8715" width="21.453125" style="2" customWidth="1"/>
    <col min="8716" max="8716" width="29" style="2" customWidth="1"/>
    <col min="8717" max="8717" width="20.453125" style="2" customWidth="1"/>
    <col min="8718" max="8718" width="16.1796875" style="2" customWidth="1"/>
    <col min="8719" max="8719" width="17.453125" style="2" bestFit="1" customWidth="1"/>
    <col min="8720" max="8720" width="28.81640625" style="2" customWidth="1"/>
    <col min="8721" max="8721" width="14.1796875" style="2" customWidth="1"/>
    <col min="8722" max="8722" width="16.54296875" style="2" customWidth="1"/>
    <col min="8723" max="8970" width="11.453125" style="2"/>
    <col min="8971" max="8971" width="21.453125" style="2" customWidth="1"/>
    <col min="8972" max="8972" width="29" style="2" customWidth="1"/>
    <col min="8973" max="8973" width="20.453125" style="2" customWidth="1"/>
    <col min="8974" max="8974" width="16.1796875" style="2" customWidth="1"/>
    <col min="8975" max="8975" width="17.453125" style="2" bestFit="1" customWidth="1"/>
    <col min="8976" max="8976" width="28.81640625" style="2" customWidth="1"/>
    <col min="8977" max="8977" width="14.1796875" style="2" customWidth="1"/>
    <col min="8978" max="8978" width="16.54296875" style="2" customWidth="1"/>
    <col min="8979" max="9226" width="11.453125" style="2"/>
    <col min="9227" max="9227" width="21.453125" style="2" customWidth="1"/>
    <col min="9228" max="9228" width="29" style="2" customWidth="1"/>
    <col min="9229" max="9229" width="20.453125" style="2" customWidth="1"/>
    <col min="9230" max="9230" width="16.1796875" style="2" customWidth="1"/>
    <col min="9231" max="9231" width="17.453125" style="2" bestFit="1" customWidth="1"/>
    <col min="9232" max="9232" width="28.81640625" style="2" customWidth="1"/>
    <col min="9233" max="9233" width="14.1796875" style="2" customWidth="1"/>
    <col min="9234" max="9234" width="16.54296875" style="2" customWidth="1"/>
    <col min="9235" max="9482" width="11.453125" style="2"/>
    <col min="9483" max="9483" width="21.453125" style="2" customWidth="1"/>
    <col min="9484" max="9484" width="29" style="2" customWidth="1"/>
    <col min="9485" max="9485" width="20.453125" style="2" customWidth="1"/>
    <col min="9486" max="9486" width="16.1796875" style="2" customWidth="1"/>
    <col min="9487" max="9487" width="17.453125" style="2" bestFit="1" customWidth="1"/>
    <col min="9488" max="9488" width="28.81640625" style="2" customWidth="1"/>
    <col min="9489" max="9489" width="14.1796875" style="2" customWidth="1"/>
    <col min="9490" max="9490" width="16.54296875" style="2" customWidth="1"/>
    <col min="9491" max="9738" width="11.453125" style="2"/>
    <col min="9739" max="9739" width="21.453125" style="2" customWidth="1"/>
    <col min="9740" max="9740" width="29" style="2" customWidth="1"/>
    <col min="9741" max="9741" width="20.453125" style="2" customWidth="1"/>
    <col min="9742" max="9742" width="16.1796875" style="2" customWidth="1"/>
    <col min="9743" max="9743" width="17.453125" style="2" bestFit="1" customWidth="1"/>
    <col min="9744" max="9744" width="28.81640625" style="2" customWidth="1"/>
    <col min="9745" max="9745" width="14.1796875" style="2" customWidth="1"/>
    <col min="9746" max="9746" width="16.54296875" style="2" customWidth="1"/>
    <col min="9747" max="9994" width="11.453125" style="2"/>
    <col min="9995" max="9995" width="21.453125" style="2" customWidth="1"/>
    <col min="9996" max="9996" width="29" style="2" customWidth="1"/>
    <col min="9997" max="9997" width="20.453125" style="2" customWidth="1"/>
    <col min="9998" max="9998" width="16.1796875" style="2" customWidth="1"/>
    <col min="9999" max="9999" width="17.453125" style="2" bestFit="1" customWidth="1"/>
    <col min="10000" max="10000" width="28.81640625" style="2" customWidth="1"/>
    <col min="10001" max="10001" width="14.1796875" style="2" customWidth="1"/>
    <col min="10002" max="10002" width="16.54296875" style="2" customWidth="1"/>
    <col min="10003" max="10250" width="11.453125" style="2"/>
    <col min="10251" max="10251" width="21.453125" style="2" customWidth="1"/>
    <col min="10252" max="10252" width="29" style="2" customWidth="1"/>
    <col min="10253" max="10253" width="20.453125" style="2" customWidth="1"/>
    <col min="10254" max="10254" width="16.1796875" style="2" customWidth="1"/>
    <col min="10255" max="10255" width="17.453125" style="2" bestFit="1" customWidth="1"/>
    <col min="10256" max="10256" width="28.81640625" style="2" customWidth="1"/>
    <col min="10257" max="10257" width="14.1796875" style="2" customWidth="1"/>
    <col min="10258" max="10258" width="16.54296875" style="2" customWidth="1"/>
    <col min="10259" max="10506" width="11.453125" style="2"/>
    <col min="10507" max="10507" width="21.453125" style="2" customWidth="1"/>
    <col min="10508" max="10508" width="29" style="2" customWidth="1"/>
    <col min="10509" max="10509" width="20.453125" style="2" customWidth="1"/>
    <col min="10510" max="10510" width="16.1796875" style="2" customWidth="1"/>
    <col min="10511" max="10511" width="17.453125" style="2" bestFit="1" customWidth="1"/>
    <col min="10512" max="10512" width="28.81640625" style="2" customWidth="1"/>
    <col min="10513" max="10513" width="14.1796875" style="2" customWidth="1"/>
    <col min="10514" max="10514" width="16.54296875" style="2" customWidth="1"/>
    <col min="10515" max="10762" width="11.453125" style="2"/>
    <col min="10763" max="10763" width="21.453125" style="2" customWidth="1"/>
    <col min="10764" max="10764" width="29" style="2" customWidth="1"/>
    <col min="10765" max="10765" width="20.453125" style="2" customWidth="1"/>
    <col min="10766" max="10766" width="16.1796875" style="2" customWidth="1"/>
    <col min="10767" max="10767" width="17.453125" style="2" bestFit="1" customWidth="1"/>
    <col min="10768" max="10768" width="28.81640625" style="2" customWidth="1"/>
    <col min="10769" max="10769" width="14.1796875" style="2" customWidth="1"/>
    <col min="10770" max="10770" width="16.54296875" style="2" customWidth="1"/>
    <col min="10771" max="11018" width="11.453125" style="2"/>
    <col min="11019" max="11019" width="21.453125" style="2" customWidth="1"/>
    <col min="11020" max="11020" width="29" style="2" customWidth="1"/>
    <col min="11021" max="11021" width="20.453125" style="2" customWidth="1"/>
    <col min="11022" max="11022" width="16.1796875" style="2" customWidth="1"/>
    <col min="11023" max="11023" width="17.453125" style="2" bestFit="1" customWidth="1"/>
    <col min="11024" max="11024" width="28.81640625" style="2" customWidth="1"/>
    <col min="11025" max="11025" width="14.1796875" style="2" customWidth="1"/>
    <col min="11026" max="11026" width="16.54296875" style="2" customWidth="1"/>
    <col min="11027" max="11274" width="11.453125" style="2"/>
    <col min="11275" max="11275" width="21.453125" style="2" customWidth="1"/>
    <col min="11276" max="11276" width="29" style="2" customWidth="1"/>
    <col min="11277" max="11277" width="20.453125" style="2" customWidth="1"/>
    <col min="11278" max="11278" width="16.1796875" style="2" customWidth="1"/>
    <col min="11279" max="11279" width="17.453125" style="2" bestFit="1" customWidth="1"/>
    <col min="11280" max="11280" width="28.81640625" style="2" customWidth="1"/>
    <col min="11281" max="11281" width="14.1796875" style="2" customWidth="1"/>
    <col min="11282" max="11282" width="16.54296875" style="2" customWidth="1"/>
    <col min="11283" max="11530" width="11.453125" style="2"/>
    <col min="11531" max="11531" width="21.453125" style="2" customWidth="1"/>
    <col min="11532" max="11532" width="29" style="2" customWidth="1"/>
    <col min="11533" max="11533" width="20.453125" style="2" customWidth="1"/>
    <col min="11534" max="11534" width="16.1796875" style="2" customWidth="1"/>
    <col min="11535" max="11535" width="17.453125" style="2" bestFit="1" customWidth="1"/>
    <col min="11536" max="11536" width="28.81640625" style="2" customWidth="1"/>
    <col min="11537" max="11537" width="14.1796875" style="2" customWidth="1"/>
    <col min="11538" max="11538" width="16.54296875" style="2" customWidth="1"/>
    <col min="11539" max="11786" width="11.453125" style="2"/>
    <col min="11787" max="11787" width="21.453125" style="2" customWidth="1"/>
    <col min="11788" max="11788" width="29" style="2" customWidth="1"/>
    <col min="11789" max="11789" width="20.453125" style="2" customWidth="1"/>
    <col min="11790" max="11790" width="16.1796875" style="2" customWidth="1"/>
    <col min="11791" max="11791" width="17.453125" style="2" bestFit="1" customWidth="1"/>
    <col min="11792" max="11792" width="28.81640625" style="2" customWidth="1"/>
    <col min="11793" max="11793" width="14.1796875" style="2" customWidth="1"/>
    <col min="11794" max="11794" width="16.54296875" style="2" customWidth="1"/>
    <col min="11795" max="12042" width="11.453125" style="2"/>
    <col min="12043" max="12043" width="21.453125" style="2" customWidth="1"/>
    <col min="12044" max="12044" width="29" style="2" customWidth="1"/>
    <col min="12045" max="12045" width="20.453125" style="2" customWidth="1"/>
    <col min="12046" max="12046" width="16.1796875" style="2" customWidth="1"/>
    <col min="12047" max="12047" width="17.453125" style="2" bestFit="1" customWidth="1"/>
    <col min="12048" max="12048" width="28.81640625" style="2" customWidth="1"/>
    <col min="12049" max="12049" width="14.1796875" style="2" customWidth="1"/>
    <col min="12050" max="12050" width="16.54296875" style="2" customWidth="1"/>
    <col min="12051" max="12298" width="11.453125" style="2"/>
    <col min="12299" max="12299" width="21.453125" style="2" customWidth="1"/>
    <col min="12300" max="12300" width="29" style="2" customWidth="1"/>
    <col min="12301" max="12301" width="20.453125" style="2" customWidth="1"/>
    <col min="12302" max="12302" width="16.1796875" style="2" customWidth="1"/>
    <col min="12303" max="12303" width="17.453125" style="2" bestFit="1" customWidth="1"/>
    <col min="12304" max="12304" width="28.81640625" style="2" customWidth="1"/>
    <col min="12305" max="12305" width="14.1796875" style="2" customWidth="1"/>
    <col min="12306" max="12306" width="16.54296875" style="2" customWidth="1"/>
    <col min="12307" max="12554" width="11.453125" style="2"/>
    <col min="12555" max="12555" width="21.453125" style="2" customWidth="1"/>
    <col min="12556" max="12556" width="29" style="2" customWidth="1"/>
    <col min="12557" max="12557" width="20.453125" style="2" customWidth="1"/>
    <col min="12558" max="12558" width="16.1796875" style="2" customWidth="1"/>
    <col min="12559" max="12559" width="17.453125" style="2" bestFit="1" customWidth="1"/>
    <col min="12560" max="12560" width="28.81640625" style="2" customWidth="1"/>
    <col min="12561" max="12561" width="14.1796875" style="2" customWidth="1"/>
    <col min="12562" max="12562" width="16.54296875" style="2" customWidth="1"/>
    <col min="12563" max="12810" width="11.453125" style="2"/>
    <col min="12811" max="12811" width="21.453125" style="2" customWidth="1"/>
    <col min="12812" max="12812" width="29" style="2" customWidth="1"/>
    <col min="12813" max="12813" width="20.453125" style="2" customWidth="1"/>
    <col min="12814" max="12814" width="16.1796875" style="2" customWidth="1"/>
    <col min="12815" max="12815" width="17.453125" style="2" bestFit="1" customWidth="1"/>
    <col min="12816" max="12816" width="28.81640625" style="2" customWidth="1"/>
    <col min="12817" max="12817" width="14.1796875" style="2" customWidth="1"/>
    <col min="12818" max="12818" width="16.54296875" style="2" customWidth="1"/>
    <col min="12819" max="13066" width="11.453125" style="2"/>
    <col min="13067" max="13067" width="21.453125" style="2" customWidth="1"/>
    <col min="13068" max="13068" width="29" style="2" customWidth="1"/>
    <col min="13069" max="13069" width="20.453125" style="2" customWidth="1"/>
    <col min="13070" max="13070" width="16.1796875" style="2" customWidth="1"/>
    <col min="13071" max="13071" width="17.453125" style="2" bestFit="1" customWidth="1"/>
    <col min="13072" max="13072" width="28.81640625" style="2" customWidth="1"/>
    <col min="13073" max="13073" width="14.1796875" style="2" customWidth="1"/>
    <col min="13074" max="13074" width="16.54296875" style="2" customWidth="1"/>
    <col min="13075" max="13322" width="11.453125" style="2"/>
    <col min="13323" max="13323" width="21.453125" style="2" customWidth="1"/>
    <col min="13324" max="13324" width="29" style="2" customWidth="1"/>
    <col min="13325" max="13325" width="20.453125" style="2" customWidth="1"/>
    <col min="13326" max="13326" width="16.1796875" style="2" customWidth="1"/>
    <col min="13327" max="13327" width="17.453125" style="2" bestFit="1" customWidth="1"/>
    <col min="13328" max="13328" width="28.81640625" style="2" customWidth="1"/>
    <col min="13329" max="13329" width="14.1796875" style="2" customWidth="1"/>
    <col min="13330" max="13330" width="16.54296875" style="2" customWidth="1"/>
    <col min="13331" max="13578" width="11.453125" style="2"/>
    <col min="13579" max="13579" width="21.453125" style="2" customWidth="1"/>
    <col min="13580" max="13580" width="29" style="2" customWidth="1"/>
    <col min="13581" max="13581" width="20.453125" style="2" customWidth="1"/>
    <col min="13582" max="13582" width="16.1796875" style="2" customWidth="1"/>
    <col min="13583" max="13583" width="17.453125" style="2" bestFit="1" customWidth="1"/>
    <col min="13584" max="13584" width="28.81640625" style="2" customWidth="1"/>
    <col min="13585" max="13585" width="14.1796875" style="2" customWidth="1"/>
    <col min="13586" max="13586" width="16.54296875" style="2" customWidth="1"/>
    <col min="13587" max="13834" width="11.453125" style="2"/>
    <col min="13835" max="13835" width="21.453125" style="2" customWidth="1"/>
    <col min="13836" max="13836" width="29" style="2" customWidth="1"/>
    <col min="13837" max="13837" width="20.453125" style="2" customWidth="1"/>
    <col min="13838" max="13838" width="16.1796875" style="2" customWidth="1"/>
    <col min="13839" max="13839" width="17.453125" style="2" bestFit="1" customWidth="1"/>
    <col min="13840" max="13840" width="28.81640625" style="2" customWidth="1"/>
    <col min="13841" max="13841" width="14.1796875" style="2" customWidth="1"/>
    <col min="13842" max="13842" width="16.54296875" style="2" customWidth="1"/>
    <col min="13843" max="14090" width="11.453125" style="2"/>
    <col min="14091" max="14091" width="21.453125" style="2" customWidth="1"/>
    <col min="14092" max="14092" width="29" style="2" customWidth="1"/>
    <col min="14093" max="14093" width="20.453125" style="2" customWidth="1"/>
    <col min="14094" max="14094" width="16.1796875" style="2" customWidth="1"/>
    <col min="14095" max="14095" width="17.453125" style="2" bestFit="1" customWidth="1"/>
    <col min="14096" max="14096" width="28.81640625" style="2" customWidth="1"/>
    <col min="14097" max="14097" width="14.1796875" style="2" customWidth="1"/>
    <col min="14098" max="14098" width="16.54296875" style="2" customWidth="1"/>
    <col min="14099" max="14346" width="11.453125" style="2"/>
    <col min="14347" max="14347" width="21.453125" style="2" customWidth="1"/>
    <col min="14348" max="14348" width="29" style="2" customWidth="1"/>
    <col min="14349" max="14349" width="20.453125" style="2" customWidth="1"/>
    <col min="14350" max="14350" width="16.1796875" style="2" customWidth="1"/>
    <col min="14351" max="14351" width="17.453125" style="2" bestFit="1" customWidth="1"/>
    <col min="14352" max="14352" width="28.81640625" style="2" customWidth="1"/>
    <col min="14353" max="14353" width="14.1796875" style="2" customWidth="1"/>
    <col min="14354" max="14354" width="16.54296875" style="2" customWidth="1"/>
    <col min="14355" max="14602" width="11.453125" style="2"/>
    <col min="14603" max="14603" width="21.453125" style="2" customWidth="1"/>
    <col min="14604" max="14604" width="29" style="2" customWidth="1"/>
    <col min="14605" max="14605" width="20.453125" style="2" customWidth="1"/>
    <col min="14606" max="14606" width="16.1796875" style="2" customWidth="1"/>
    <col min="14607" max="14607" width="17.453125" style="2" bestFit="1" customWidth="1"/>
    <col min="14608" max="14608" width="28.81640625" style="2" customWidth="1"/>
    <col min="14609" max="14609" width="14.1796875" style="2" customWidth="1"/>
    <col min="14610" max="14610" width="16.54296875" style="2" customWidth="1"/>
    <col min="14611" max="14858" width="11.453125" style="2"/>
    <col min="14859" max="14859" width="21.453125" style="2" customWidth="1"/>
    <col min="14860" max="14860" width="29" style="2" customWidth="1"/>
    <col min="14861" max="14861" width="20.453125" style="2" customWidth="1"/>
    <col min="14862" max="14862" width="16.1796875" style="2" customWidth="1"/>
    <col min="14863" max="14863" width="17.453125" style="2" bestFit="1" customWidth="1"/>
    <col min="14864" max="14864" width="28.81640625" style="2" customWidth="1"/>
    <col min="14865" max="14865" width="14.1796875" style="2" customWidth="1"/>
    <col min="14866" max="14866" width="16.54296875" style="2" customWidth="1"/>
    <col min="14867" max="15114" width="11.453125" style="2"/>
    <col min="15115" max="15115" width="21.453125" style="2" customWidth="1"/>
    <col min="15116" max="15116" width="29" style="2" customWidth="1"/>
    <col min="15117" max="15117" width="20.453125" style="2" customWidth="1"/>
    <col min="15118" max="15118" width="16.1796875" style="2" customWidth="1"/>
    <col min="15119" max="15119" width="17.453125" style="2" bestFit="1" customWidth="1"/>
    <col min="15120" max="15120" width="28.81640625" style="2" customWidth="1"/>
    <col min="15121" max="15121" width="14.1796875" style="2" customWidth="1"/>
    <col min="15122" max="15122" width="16.54296875" style="2" customWidth="1"/>
    <col min="15123" max="15370" width="11.453125" style="2"/>
    <col min="15371" max="15371" width="21.453125" style="2" customWidth="1"/>
    <col min="15372" max="15372" width="29" style="2" customWidth="1"/>
    <col min="15373" max="15373" width="20.453125" style="2" customWidth="1"/>
    <col min="15374" max="15374" width="16.1796875" style="2" customWidth="1"/>
    <col min="15375" max="15375" width="17.453125" style="2" bestFit="1" customWidth="1"/>
    <col min="15376" max="15376" width="28.81640625" style="2" customWidth="1"/>
    <col min="15377" max="15377" width="14.1796875" style="2" customWidth="1"/>
    <col min="15378" max="15378" width="16.54296875" style="2" customWidth="1"/>
    <col min="15379" max="15626" width="11.453125" style="2"/>
    <col min="15627" max="15627" width="21.453125" style="2" customWidth="1"/>
    <col min="15628" max="15628" width="29" style="2" customWidth="1"/>
    <col min="15629" max="15629" width="20.453125" style="2" customWidth="1"/>
    <col min="15630" max="15630" width="16.1796875" style="2" customWidth="1"/>
    <col min="15631" max="15631" width="17.453125" style="2" bestFit="1" customWidth="1"/>
    <col min="15632" max="15632" width="28.81640625" style="2" customWidth="1"/>
    <col min="15633" max="15633" width="14.1796875" style="2" customWidth="1"/>
    <col min="15634" max="15634" width="16.54296875" style="2" customWidth="1"/>
    <col min="15635" max="15882" width="11.453125" style="2"/>
    <col min="15883" max="15883" width="21.453125" style="2" customWidth="1"/>
    <col min="15884" max="15884" width="29" style="2" customWidth="1"/>
    <col min="15885" max="15885" width="20.453125" style="2" customWidth="1"/>
    <col min="15886" max="15886" width="16.1796875" style="2" customWidth="1"/>
    <col min="15887" max="15887" width="17.453125" style="2" bestFit="1" customWidth="1"/>
    <col min="15888" max="15888" width="28.81640625" style="2" customWidth="1"/>
    <col min="15889" max="15889" width="14.1796875" style="2" customWidth="1"/>
    <col min="15890" max="15890" width="16.54296875" style="2" customWidth="1"/>
    <col min="15891" max="16138" width="11.453125" style="2"/>
    <col min="16139" max="16139" width="21.453125" style="2" customWidth="1"/>
    <col min="16140" max="16140" width="29" style="2" customWidth="1"/>
    <col min="16141" max="16141" width="20.453125" style="2" customWidth="1"/>
    <col min="16142" max="16142" width="16.1796875" style="2" customWidth="1"/>
    <col min="16143" max="16143" width="17.453125" style="2" bestFit="1" customWidth="1"/>
    <col min="16144" max="16144" width="28.81640625" style="2" customWidth="1"/>
    <col min="16145" max="16145" width="14.1796875" style="2" customWidth="1"/>
    <col min="16146" max="16146" width="16.54296875" style="2" customWidth="1"/>
    <col min="16147" max="16381" width="11.453125" style="2"/>
    <col min="16382" max="16384" width="11.453125" style="2" customWidth="1"/>
  </cols>
  <sheetData>
    <row r="1" spans="1:24">
      <c r="A1" s="81"/>
    </row>
    <row r="3" spans="1:24">
      <c r="K3" s="23"/>
      <c r="L3" s="23"/>
      <c r="M3" s="23"/>
      <c r="N3" s="23"/>
      <c r="O3" s="23"/>
      <c r="P3" s="57" t="s">
        <v>6</v>
      </c>
      <c r="Q3" s="57" t="s">
        <v>7</v>
      </c>
      <c r="R3" s="58" t="s">
        <v>9</v>
      </c>
      <c r="S3" s="23"/>
      <c r="T3" s="23"/>
      <c r="U3" s="23"/>
      <c r="V3" s="23"/>
      <c r="W3" s="23"/>
      <c r="X3" s="23"/>
    </row>
    <row r="4" spans="1:24">
      <c r="F4" s="3"/>
      <c r="G4" s="3"/>
      <c r="H4" s="3"/>
      <c r="I4" s="3"/>
      <c r="J4" s="3"/>
      <c r="K4" s="23"/>
      <c r="L4" s="23"/>
      <c r="M4" s="23"/>
      <c r="N4" s="23"/>
      <c r="O4" s="23"/>
      <c r="P4" s="24" t="s">
        <v>66</v>
      </c>
      <c r="Q4" s="25" t="s">
        <v>66</v>
      </c>
      <c r="R4" s="26" t="s">
        <v>105</v>
      </c>
      <c r="S4" s="116" t="s">
        <v>100</v>
      </c>
      <c r="T4" s="23"/>
      <c r="U4" s="23"/>
      <c r="V4" s="23"/>
      <c r="W4" s="23"/>
      <c r="X4" s="23"/>
    </row>
    <row r="5" spans="1:24">
      <c r="K5" s="23"/>
      <c r="L5" s="23"/>
      <c r="M5" s="23"/>
      <c r="N5" s="23"/>
      <c r="O5" s="23"/>
      <c r="P5" s="4"/>
      <c r="Q5" s="4"/>
      <c r="R5" s="4"/>
      <c r="S5" s="23"/>
      <c r="T5" s="23"/>
      <c r="U5" s="23"/>
      <c r="V5" s="23"/>
      <c r="W5" s="23"/>
      <c r="X5" s="23"/>
    </row>
    <row r="6" spans="1:24">
      <c r="B6" s="28" t="s">
        <v>67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3"/>
      <c r="P6" s="7"/>
      <c r="Q6" s="7"/>
      <c r="R6" s="7"/>
      <c r="S6" s="23"/>
      <c r="T6" s="23"/>
      <c r="U6" s="23"/>
      <c r="V6" s="23"/>
      <c r="W6" s="23"/>
      <c r="X6" s="23"/>
    </row>
    <row r="7" spans="1:24">
      <c r="B7" s="29" t="s">
        <v>68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10"/>
      <c r="P7" s="6"/>
      <c r="Q7" s="6"/>
      <c r="R7" s="6"/>
      <c r="S7" s="23"/>
      <c r="T7" s="23"/>
      <c r="U7" s="23"/>
      <c r="V7" s="23"/>
      <c r="W7" s="23"/>
      <c r="X7" s="23"/>
    </row>
    <row r="8" spans="1:24">
      <c r="B8" s="30" t="s">
        <v>69</v>
      </c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10"/>
      <c r="P8" s="6"/>
      <c r="Q8" s="6"/>
      <c r="R8" s="6"/>
      <c r="S8" s="23"/>
      <c r="T8" s="23"/>
      <c r="U8" s="23"/>
      <c r="V8" s="23"/>
      <c r="W8" s="23"/>
      <c r="X8" s="23"/>
    </row>
    <row r="9" spans="1:24">
      <c r="B9" s="56" t="s">
        <v>70</v>
      </c>
      <c r="C9" s="8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6"/>
      <c r="Q9" s="6"/>
      <c r="R9" s="6"/>
      <c r="S9" s="23"/>
      <c r="T9" s="23"/>
      <c r="U9" s="23"/>
      <c r="V9" s="23"/>
      <c r="W9" s="23"/>
      <c r="X9" s="23"/>
    </row>
    <row r="10" spans="1:24" ht="7.5" customHeight="1" thickBot="1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3"/>
      <c r="T10" s="23"/>
      <c r="U10" s="23"/>
      <c r="V10" s="23"/>
      <c r="W10" s="23"/>
      <c r="X10" s="23"/>
    </row>
    <row r="11" spans="1:24" ht="13" thickTop="1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>
      <c r="B12" s="31" t="s">
        <v>8</v>
      </c>
      <c r="C12" s="32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6"/>
      <c r="Q12" s="6"/>
      <c r="R12" s="6"/>
      <c r="S12" s="23"/>
      <c r="T12" s="23"/>
      <c r="U12" s="23"/>
      <c r="V12" s="23"/>
      <c r="W12" s="23"/>
      <c r="X12" s="23"/>
    </row>
    <row r="13" spans="1:24" ht="7" customHeight="1">
      <c r="B13" s="31"/>
      <c r="C13" s="32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6"/>
      <c r="Q13" s="6"/>
      <c r="R13" s="6"/>
      <c r="S13" s="23"/>
      <c r="T13" s="23"/>
      <c r="U13" s="23"/>
      <c r="V13" s="23"/>
      <c r="W13" s="23"/>
      <c r="X13" s="23"/>
    </row>
    <row r="14" spans="1:24">
      <c r="B14" s="23" t="s">
        <v>71</v>
      </c>
      <c r="C14" s="23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6"/>
      <c r="Q14" s="6"/>
      <c r="R14" s="6"/>
    </row>
    <row r="15" spans="1:24">
      <c r="B15" s="23" t="s">
        <v>72</v>
      </c>
      <c r="C15" s="23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6"/>
      <c r="Q15" s="6"/>
      <c r="R15" s="6"/>
    </row>
    <row r="16" spans="1:24">
      <c r="B16" s="23"/>
      <c r="C16" s="23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6"/>
      <c r="Q16" s="6"/>
      <c r="R16" s="6"/>
    </row>
    <row r="17" spans="1:18">
      <c r="B17" s="33" t="s">
        <v>10</v>
      </c>
      <c r="C17" s="34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6"/>
      <c r="Q17" s="6"/>
      <c r="R17" s="6"/>
    </row>
    <row r="18" spans="1:18" ht="7" customHeight="1">
      <c r="B18" s="33"/>
      <c r="C18" s="34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6"/>
      <c r="Q18" s="6"/>
      <c r="R18" s="6"/>
    </row>
    <row r="19" spans="1:18">
      <c r="B19" s="88"/>
      <c r="C19" s="89" t="s">
        <v>27</v>
      </c>
      <c r="D19" s="89" t="s">
        <v>28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0"/>
      <c r="P19" s="6"/>
      <c r="Q19" s="6"/>
      <c r="R19" s="6"/>
    </row>
    <row r="20" spans="1:18">
      <c r="B20" s="90" t="s">
        <v>11</v>
      </c>
      <c r="C20" s="101" t="s">
        <v>73</v>
      </c>
      <c r="D20" s="101" t="s">
        <v>73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6"/>
      <c r="Q20" s="6"/>
      <c r="R20" s="6"/>
    </row>
    <row r="21" spans="1:18">
      <c r="B21" s="90" t="s">
        <v>12</v>
      </c>
      <c r="C21" s="101" t="s">
        <v>73</v>
      </c>
      <c r="D21" s="101" t="s">
        <v>73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6"/>
      <c r="Q21" s="6"/>
      <c r="R21" s="6"/>
    </row>
    <row r="22" spans="1:18">
      <c r="B22" s="90" t="s">
        <v>13</v>
      </c>
      <c r="C22" s="101" t="s">
        <v>73</v>
      </c>
      <c r="D22" s="101" t="s">
        <v>73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6"/>
      <c r="Q22" s="6"/>
      <c r="R22" s="6"/>
    </row>
    <row r="23" spans="1:18">
      <c r="B23" s="23"/>
      <c r="C23" s="23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6"/>
      <c r="Q23" s="6"/>
      <c r="R23" s="6"/>
    </row>
    <row r="24" spans="1:18">
      <c r="B24" s="31" t="s">
        <v>14</v>
      </c>
      <c r="C24" s="32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6"/>
      <c r="Q24" s="6"/>
      <c r="R24" s="6"/>
    </row>
    <row r="25" spans="1:18" ht="7" customHeight="1">
      <c r="B25" s="31"/>
      <c r="C25" s="32"/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6"/>
      <c r="Q25" s="6"/>
      <c r="R25" s="6"/>
    </row>
    <row r="26" spans="1:18">
      <c r="A26" s="45" t="s">
        <v>21</v>
      </c>
      <c r="B26" s="46" t="s">
        <v>74</v>
      </c>
      <c r="C26" s="32"/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6"/>
      <c r="Q26" s="6"/>
      <c r="R26" s="6"/>
    </row>
    <row r="27" spans="1:18">
      <c r="A27" s="45" t="s">
        <v>19</v>
      </c>
      <c r="B27" s="46" t="s">
        <v>75</v>
      </c>
      <c r="C27" s="32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10"/>
      <c r="P27" s="6"/>
      <c r="Q27" s="6"/>
      <c r="R27" s="6"/>
    </row>
    <row r="28" spans="1:18">
      <c r="A28" s="45" t="s">
        <v>20</v>
      </c>
      <c r="B28" s="46" t="s">
        <v>76</v>
      </c>
      <c r="C28" s="8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  <c r="P28" s="6"/>
      <c r="Q28" s="6"/>
      <c r="R28" s="6"/>
    </row>
    <row r="29" spans="1:18">
      <c r="A29" s="45" t="s">
        <v>22</v>
      </c>
      <c r="B29" s="46" t="s">
        <v>35</v>
      </c>
      <c r="C29" s="8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6"/>
      <c r="Q29" s="6"/>
      <c r="R29" s="6"/>
    </row>
    <row r="30" spans="1:18">
      <c r="A30" s="47" t="s">
        <v>29</v>
      </c>
      <c r="B30" s="46" t="s">
        <v>36</v>
      </c>
      <c r="C30" s="8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6"/>
      <c r="Q30" s="6"/>
      <c r="R30" s="6"/>
    </row>
    <row r="31" spans="1:18">
      <c r="A31" s="47" t="s">
        <v>39</v>
      </c>
      <c r="B31" s="46" t="s">
        <v>37</v>
      </c>
      <c r="C31" s="8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10"/>
      <c r="P31" s="6"/>
      <c r="Q31" s="6"/>
      <c r="R31" s="6"/>
    </row>
    <row r="32" spans="1:18">
      <c r="A32" s="47" t="s">
        <v>54</v>
      </c>
      <c r="B32" s="91" t="s">
        <v>38</v>
      </c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10"/>
      <c r="P32" s="6"/>
      <c r="Q32" s="6"/>
      <c r="R32" s="6"/>
    </row>
    <row r="33" spans="2:18">
      <c r="B33" s="1"/>
      <c r="C33" s="8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6"/>
      <c r="Q33" s="6"/>
      <c r="R33" s="6"/>
    </row>
    <row r="34" spans="2:18">
      <c r="B34" s="1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6"/>
      <c r="Q34" s="6"/>
      <c r="R34" s="6"/>
    </row>
    <row r="35" spans="2:18">
      <c r="B35" s="31" t="s">
        <v>15</v>
      </c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10"/>
      <c r="P35" s="6"/>
      <c r="Q35" s="6"/>
      <c r="R35" s="6"/>
    </row>
    <row r="36" spans="2:18">
      <c r="B36" s="31"/>
      <c r="C36" s="8"/>
      <c r="D36" s="8"/>
      <c r="G36" s="9"/>
      <c r="H36" s="9"/>
      <c r="I36" s="9"/>
      <c r="J36" s="9"/>
      <c r="K36" s="9"/>
      <c r="L36" s="9"/>
      <c r="M36" s="9"/>
      <c r="N36" s="9"/>
      <c r="O36" s="10"/>
      <c r="P36" s="6"/>
      <c r="Q36" s="6"/>
      <c r="R36" s="6"/>
    </row>
    <row r="37" spans="2:18">
      <c r="B37" s="99" t="s">
        <v>47</v>
      </c>
      <c r="C37" s="8"/>
      <c r="D37" s="8"/>
      <c r="G37" s="9"/>
      <c r="H37" s="9"/>
      <c r="I37" s="9"/>
      <c r="J37" s="9"/>
      <c r="K37" s="9"/>
      <c r="L37" s="9"/>
      <c r="M37" s="9"/>
      <c r="N37" s="9"/>
      <c r="O37" s="10"/>
      <c r="P37" s="6"/>
      <c r="Q37" s="6"/>
      <c r="R37" s="6"/>
    </row>
    <row r="38" spans="2:18">
      <c r="B38" s="1"/>
      <c r="C38" s="8"/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10"/>
      <c r="P38" s="6"/>
      <c r="Q38" s="6"/>
      <c r="R38" s="6"/>
    </row>
    <row r="39" spans="2:18">
      <c r="B39" s="67"/>
      <c r="C39" s="67"/>
      <c r="D39" s="80"/>
      <c r="E39" s="9"/>
      <c r="F39" s="9"/>
      <c r="G39" s="67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2:18" ht="25">
      <c r="B40" s="98" t="s">
        <v>30</v>
      </c>
      <c r="C40" s="98" t="s">
        <v>31</v>
      </c>
      <c r="D40" s="98" t="s">
        <v>77</v>
      </c>
      <c r="E40" s="98" t="s">
        <v>32</v>
      </c>
      <c r="F40" s="98" t="s">
        <v>44</v>
      </c>
      <c r="G40" s="98" t="s">
        <v>2</v>
      </c>
      <c r="H40" s="98" t="s">
        <v>77</v>
      </c>
      <c r="I40" s="113"/>
      <c r="J40" s="23"/>
      <c r="K40" s="23"/>
      <c r="L40" s="23"/>
      <c r="M40" s="23"/>
      <c r="N40" s="23"/>
      <c r="O40" s="23"/>
      <c r="P40" s="23"/>
      <c r="Q40" s="23"/>
      <c r="R40" s="23"/>
    </row>
    <row r="41" spans="2:18">
      <c r="B41" s="103"/>
      <c r="C41" s="59"/>
      <c r="D41" s="102"/>
      <c r="E41" s="105">
        <v>0</v>
      </c>
      <c r="F41" s="105">
        <v>0</v>
      </c>
      <c r="G41" s="104">
        <f>+'Base Mayores'!G21</f>
        <v>0</v>
      </c>
      <c r="H41" s="104">
        <f>+SUM(D41:G41)</f>
        <v>0</v>
      </c>
      <c r="I41" s="111"/>
      <c r="J41" s="9"/>
      <c r="K41" s="9"/>
      <c r="L41" s="9"/>
      <c r="M41" s="9"/>
      <c r="N41" s="9"/>
      <c r="O41" s="10"/>
      <c r="P41" s="6"/>
      <c r="Q41" s="6"/>
      <c r="R41" s="6"/>
    </row>
    <row r="42" spans="2:18">
      <c r="B42" s="1"/>
      <c r="C42" s="8"/>
      <c r="D42" s="44" t="s">
        <v>55</v>
      </c>
      <c r="E42" s="48"/>
      <c r="F42" s="48"/>
      <c r="H42" s="44" t="s">
        <v>55</v>
      </c>
      <c r="I42" s="44"/>
      <c r="J42" s="9"/>
      <c r="K42" s="9"/>
      <c r="L42" s="9"/>
      <c r="M42" s="9"/>
      <c r="N42" s="9"/>
      <c r="O42" s="10"/>
      <c r="P42" s="6"/>
      <c r="Q42" s="6"/>
      <c r="R42" s="6"/>
    </row>
    <row r="43" spans="2:18">
      <c r="B43" s="1"/>
      <c r="C43" s="8"/>
      <c r="D43" s="44"/>
      <c r="E43" s="9"/>
      <c r="F43" s="9"/>
      <c r="G43" s="44"/>
      <c r="H43" s="9"/>
      <c r="I43" s="9"/>
      <c r="J43" s="9"/>
      <c r="K43" s="9"/>
      <c r="L43" s="9"/>
      <c r="M43" s="9"/>
      <c r="N43" s="9"/>
      <c r="O43" s="10"/>
      <c r="P43" s="6"/>
      <c r="Q43" s="6"/>
      <c r="R43" s="6"/>
    </row>
    <row r="44" spans="2:18">
      <c r="B44" s="1"/>
      <c r="C44" s="8"/>
      <c r="D44" s="8"/>
      <c r="E44" s="9"/>
      <c r="F44" s="9"/>
      <c r="H44" s="9"/>
      <c r="I44" s="9"/>
      <c r="J44" s="9"/>
      <c r="K44" s="9"/>
      <c r="L44" s="9"/>
      <c r="M44" s="9"/>
      <c r="N44" s="9"/>
      <c r="O44" s="10"/>
      <c r="P44" s="6"/>
      <c r="Q44" s="6"/>
      <c r="R44" s="6"/>
    </row>
    <row r="45" spans="2:18">
      <c r="B45" s="100" t="s">
        <v>48</v>
      </c>
      <c r="C45" s="8"/>
      <c r="D45" s="8"/>
      <c r="E45" s="9"/>
      <c r="F45" s="9"/>
      <c r="H45" s="9"/>
      <c r="I45" s="9"/>
      <c r="J45" s="9"/>
      <c r="K45" s="97" t="s">
        <v>78</v>
      </c>
      <c r="L45" s="117" t="s">
        <v>79</v>
      </c>
      <c r="M45" s="9"/>
      <c r="N45" s="9"/>
      <c r="O45" s="10"/>
      <c r="P45" s="6"/>
      <c r="Q45" s="6"/>
      <c r="R45" s="6"/>
    </row>
    <row r="46" spans="2:18">
      <c r="B46" s="6"/>
      <c r="C46" s="6"/>
      <c r="D46" s="6"/>
      <c r="E46" s="6"/>
      <c r="F46" s="6"/>
      <c r="G46" s="6"/>
      <c r="H46" s="6"/>
      <c r="I46" s="6"/>
      <c r="J46" s="12"/>
      <c r="K46" s="97" t="s">
        <v>80</v>
      </c>
      <c r="L46" s="117" t="s">
        <v>103</v>
      </c>
      <c r="M46" s="6"/>
      <c r="N46" s="6"/>
      <c r="O46" s="6"/>
      <c r="P46" s="6"/>
      <c r="Q46" s="6"/>
      <c r="R46" s="6"/>
    </row>
    <row r="47" spans="2:18">
      <c r="B47" s="35">
        <v>41182</v>
      </c>
      <c r="C47" s="12"/>
      <c r="D47" s="12"/>
      <c r="E47" s="12"/>
      <c r="F47" s="12"/>
      <c r="G47" s="12"/>
      <c r="H47" s="12"/>
      <c r="I47" s="12"/>
      <c r="K47" s="13"/>
      <c r="L47" s="14">
        <v>44926</v>
      </c>
      <c r="M47" s="14"/>
      <c r="N47" s="14"/>
      <c r="O47" s="12"/>
      <c r="P47" s="12"/>
      <c r="Q47" s="12"/>
      <c r="R47" s="12"/>
    </row>
    <row r="48" spans="2:18" ht="12.5" customHeight="1">
      <c r="B48" s="130" t="s">
        <v>0</v>
      </c>
      <c r="C48" s="130" t="s">
        <v>56</v>
      </c>
      <c r="D48" s="130" t="s">
        <v>41</v>
      </c>
      <c r="E48" s="134" t="s">
        <v>1</v>
      </c>
      <c r="F48" s="134"/>
      <c r="G48" s="130" t="s">
        <v>49</v>
      </c>
      <c r="H48" s="125" t="s">
        <v>26</v>
      </c>
      <c r="I48" s="125" t="s">
        <v>50</v>
      </c>
      <c r="J48" s="130" t="s">
        <v>4</v>
      </c>
      <c r="K48" s="125" t="s">
        <v>33</v>
      </c>
      <c r="L48" s="125" t="s">
        <v>45</v>
      </c>
      <c r="M48" s="129" t="s">
        <v>2</v>
      </c>
      <c r="N48" s="129"/>
      <c r="O48" s="129"/>
      <c r="P48" s="127" t="s">
        <v>60</v>
      </c>
      <c r="Q48" s="129" t="s">
        <v>51</v>
      </c>
      <c r="R48" s="129"/>
    </row>
    <row r="49" spans="2:24" ht="37.5">
      <c r="B49" s="130"/>
      <c r="C49" s="130"/>
      <c r="D49" s="130"/>
      <c r="E49" s="114" t="s">
        <v>3</v>
      </c>
      <c r="F49" s="114" t="s">
        <v>42</v>
      </c>
      <c r="G49" s="130"/>
      <c r="H49" s="126"/>
      <c r="I49" s="126"/>
      <c r="J49" s="130"/>
      <c r="K49" s="126"/>
      <c r="L49" s="126"/>
      <c r="M49" s="115" t="s">
        <v>62</v>
      </c>
      <c r="N49" s="115" t="s">
        <v>63</v>
      </c>
      <c r="O49" s="115" t="s">
        <v>98</v>
      </c>
      <c r="P49" s="128"/>
      <c r="Q49" s="98" t="s">
        <v>52</v>
      </c>
      <c r="R49" s="98" t="s">
        <v>53</v>
      </c>
    </row>
    <row r="50" spans="2:24" ht="13.5" customHeight="1">
      <c r="B50" s="122" t="s">
        <v>104</v>
      </c>
      <c r="C50" s="61"/>
      <c r="D50" s="62"/>
      <c r="E50" s="123"/>
      <c r="F50" s="123"/>
      <c r="G50" s="63"/>
      <c r="H50" s="64"/>
      <c r="I50" s="66" t="str">
        <f>+IF(F50&gt;$K$46,"Vigente","No vigente")</f>
        <v>No vigente</v>
      </c>
      <c r="J50" s="65">
        <f>+F50-E50</f>
        <v>0</v>
      </c>
      <c r="K50" s="107" t="e">
        <f>+$K$46-E50</f>
        <v>#VALUE!</v>
      </c>
      <c r="L50" s="66">
        <f>+G50*H50/360*J50</f>
        <v>0</v>
      </c>
      <c r="M50" s="112" t="e">
        <f>+O50-N50</f>
        <v>#VALUE!</v>
      </c>
      <c r="N50" s="112" t="e">
        <f>+G50*(H50/360)*($K$46-$K$45)</f>
        <v>#VALUE!</v>
      </c>
      <c r="O50" s="93">
        <f>+IF((F50&gt;$K$46),(G50*(H50/360)*K50),(G50*(H50/360)*(F50-E50)))</f>
        <v>0</v>
      </c>
      <c r="P50" s="66">
        <f>+IF(I50="Vigente",G50,0)</f>
        <v>0</v>
      </c>
      <c r="Q50" s="66">
        <f>+IF(E50&gt;$K$45,G50,0)</f>
        <v>0</v>
      </c>
      <c r="R50" s="66">
        <f>+IF(F50&lt;$K$46,G50,0)</f>
        <v>0</v>
      </c>
      <c r="S50" s="22"/>
      <c r="V50" s="22"/>
      <c r="W50" s="21"/>
      <c r="X50" s="21"/>
    </row>
    <row r="51" spans="2:24" ht="13.5" customHeight="1">
      <c r="B51" s="122" t="s">
        <v>101</v>
      </c>
      <c r="C51" s="61"/>
      <c r="D51" s="62"/>
      <c r="E51" s="123"/>
      <c r="F51" s="123"/>
      <c r="G51" s="63"/>
      <c r="H51" s="64"/>
      <c r="I51" s="66" t="str">
        <f>+IF(F51&gt;$K$46,"Vigente","No vigente")</f>
        <v>No vigente</v>
      </c>
      <c r="J51" s="107">
        <f>+F51-E51</f>
        <v>0</v>
      </c>
      <c r="K51" s="107" t="e">
        <f>+$K$46-E51</f>
        <v>#VALUE!</v>
      </c>
      <c r="L51" s="66">
        <f>+G51*H51/360*J51</f>
        <v>0</v>
      </c>
      <c r="M51" s="93">
        <v>0</v>
      </c>
      <c r="N51" s="93">
        <f>IF(K46&lt;F51,0,(G51*H51/360*J51))</f>
        <v>0</v>
      </c>
      <c r="O51" s="124">
        <f>+IF(K46&lt;F51,(G51*H51/360*(F51-E51)),0)</f>
        <v>0</v>
      </c>
      <c r="P51" s="66">
        <f t="shared" ref="P51:P52" si="0">+IF(I51="Vigente",G51,0)</f>
        <v>0</v>
      </c>
      <c r="Q51" s="66">
        <f>+IF(E51&gt;$K$45,G51,0)</f>
        <v>0</v>
      </c>
      <c r="R51" s="66">
        <f>+IF(F51&lt;$K$46,G51,0)</f>
        <v>0</v>
      </c>
      <c r="S51" s="22"/>
      <c r="V51" s="22"/>
      <c r="W51" s="21"/>
      <c r="X51" s="21"/>
    </row>
    <row r="52" spans="2:24" ht="13.5" customHeight="1">
      <c r="B52" s="122" t="s">
        <v>102</v>
      </c>
      <c r="C52" s="61"/>
      <c r="D52" s="62"/>
      <c r="E52" s="123"/>
      <c r="F52" s="123"/>
      <c r="G52" s="63"/>
      <c r="H52" s="64"/>
      <c r="I52" s="66" t="str">
        <f>+IF(F52&gt;$K$46,"Vigente","No vigente")</f>
        <v>No vigente</v>
      </c>
      <c r="J52" s="107">
        <f>+F52-E52</f>
        <v>0</v>
      </c>
      <c r="K52" s="107" t="e">
        <f>+$K$46-E52</f>
        <v>#VALUE!</v>
      </c>
      <c r="L52" s="66">
        <f>+G52*H52/360*J52</f>
        <v>0</v>
      </c>
      <c r="M52" s="112" t="e">
        <f>+L52-N52</f>
        <v>#VALUE!</v>
      </c>
      <c r="N52" s="93" t="e">
        <f>+G52*H52/360*(F52-K45)</f>
        <v>#VALUE!</v>
      </c>
      <c r="O52" s="124">
        <f>+IF(K46&lt;F52,(G52*H52/360*(F52-E52)),0)</f>
        <v>0</v>
      </c>
      <c r="P52" s="66">
        <f t="shared" si="0"/>
        <v>0</v>
      </c>
      <c r="Q52" s="66">
        <f>+IF(E52&gt;$K$45,G52,0)</f>
        <v>0</v>
      </c>
      <c r="R52" s="66">
        <f>+IF(F52&lt;$K$46,G52,0)</f>
        <v>0</v>
      </c>
      <c r="S52" s="22"/>
      <c r="V52" s="22"/>
      <c r="W52" s="21"/>
      <c r="X52" s="21"/>
    </row>
    <row r="53" spans="2:24">
      <c r="B53" s="12"/>
      <c r="C53" s="37"/>
      <c r="D53" s="118"/>
      <c r="E53" s="38"/>
      <c r="F53" s="38"/>
      <c r="G53" s="39"/>
      <c r="H53" s="40"/>
      <c r="I53" s="40"/>
      <c r="J53" s="41"/>
      <c r="K53" s="41"/>
      <c r="L53" s="42"/>
      <c r="N53" s="48" t="s">
        <v>23</v>
      </c>
      <c r="O53" s="48" t="s">
        <v>24</v>
      </c>
      <c r="P53" s="48" t="s">
        <v>25</v>
      </c>
      <c r="Q53" s="48"/>
      <c r="R53" s="48"/>
      <c r="S53" s="22"/>
    </row>
    <row r="54" spans="2:24">
      <c r="B54" s="12"/>
      <c r="C54" s="15"/>
      <c r="D54" s="15"/>
      <c r="E54" s="15"/>
      <c r="F54" s="16"/>
      <c r="G54" s="23"/>
      <c r="L54" s="48"/>
      <c r="M54" s="48"/>
      <c r="N54" s="48"/>
      <c r="O54" s="48"/>
      <c r="P54" s="48"/>
      <c r="Q54" s="48"/>
      <c r="R54" s="48"/>
    </row>
    <row r="55" spans="2:24">
      <c r="B55" s="12"/>
      <c r="C55" s="15"/>
      <c r="D55" s="15"/>
      <c r="E55" s="23"/>
      <c r="F55" s="23"/>
      <c r="H55" s="23"/>
      <c r="I55" s="23"/>
      <c r="J55" s="16"/>
      <c r="K55" s="20"/>
      <c r="L55" s="15"/>
      <c r="M55" s="15"/>
      <c r="N55" s="15"/>
      <c r="O55" s="110"/>
      <c r="P55" s="18"/>
      <c r="Q55" s="18"/>
      <c r="R55" s="18"/>
    </row>
    <row r="56" spans="2:24">
      <c r="B56" s="12"/>
      <c r="C56" s="15"/>
      <c r="D56" s="15"/>
      <c r="E56" s="16"/>
      <c r="F56" s="16"/>
      <c r="G56" s="20"/>
      <c r="H56" s="17"/>
      <c r="I56" s="17"/>
      <c r="J56" s="106"/>
      <c r="K56" s="106"/>
      <c r="O56" s="15"/>
      <c r="P56" s="18"/>
      <c r="Q56" s="18"/>
      <c r="R56" s="18"/>
    </row>
    <row r="57" spans="2:24">
      <c r="B57" s="131" t="s">
        <v>40</v>
      </c>
      <c r="C57" s="132"/>
      <c r="D57" s="13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</row>
    <row r="58" spans="2:24" s="6" customFormat="1">
      <c r="B58" s="80"/>
      <c r="C58" s="80"/>
      <c r="D58" s="80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</row>
    <row r="59" spans="2:24">
      <c r="B59" s="94" t="s">
        <v>57</v>
      </c>
      <c r="C59" s="95"/>
      <c r="D59" s="95"/>
      <c r="E59" s="5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2:24">
      <c r="B60" s="76"/>
      <c r="C60" s="49"/>
      <c r="D60" s="49"/>
      <c r="E60" s="50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</row>
    <row r="61" spans="2:24" ht="25">
      <c r="B61" s="98" t="s">
        <v>30</v>
      </c>
      <c r="C61" s="98" t="s">
        <v>31</v>
      </c>
      <c r="D61" s="68" t="s">
        <v>77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W61" s="23"/>
    </row>
    <row r="62" spans="2:24">
      <c r="B62" s="103"/>
      <c r="C62" s="59"/>
      <c r="D62" s="69"/>
      <c r="E62" s="73" t="s">
        <v>55</v>
      </c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W62" s="23"/>
    </row>
    <row r="63" spans="2:24">
      <c r="B63" s="12"/>
      <c r="C63" s="70"/>
      <c r="D63" s="44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spans="2:24" ht="19" customHeight="1">
      <c r="B64" s="12"/>
      <c r="C64" s="77" t="s">
        <v>58</v>
      </c>
      <c r="D64" s="108">
        <f>+P50</f>
        <v>0</v>
      </c>
      <c r="E64" s="72" t="s">
        <v>25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</row>
    <row r="65" spans="2:19">
      <c r="B65" s="12"/>
      <c r="C65" s="77" t="s">
        <v>59</v>
      </c>
      <c r="D65" s="108">
        <f>+O50</f>
        <v>0</v>
      </c>
      <c r="E65" s="72" t="s">
        <v>24</v>
      </c>
      <c r="F65" s="116" t="s">
        <v>99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2:19" ht="13" thickBot="1">
      <c r="B66" s="12"/>
      <c r="C66" s="19" t="s">
        <v>34</v>
      </c>
      <c r="D66" s="96">
        <f>+D62-D64-D65</f>
        <v>0</v>
      </c>
      <c r="E66" s="16"/>
      <c r="F66" s="16"/>
      <c r="G66" s="20"/>
      <c r="H66" s="17"/>
      <c r="I66" s="17"/>
      <c r="O66" s="15"/>
      <c r="P66" s="18"/>
      <c r="Q66" s="18"/>
      <c r="R66" s="18"/>
    </row>
    <row r="67" spans="2:19" ht="13" thickTop="1">
      <c r="B67" s="12"/>
      <c r="C67" s="71"/>
      <c r="D67" s="75"/>
      <c r="E67" s="16"/>
      <c r="F67" s="16"/>
      <c r="G67" s="20"/>
      <c r="H67" s="17"/>
      <c r="I67" s="17"/>
      <c r="O67" s="15"/>
      <c r="P67" s="18"/>
      <c r="Q67" s="18"/>
      <c r="R67" s="18"/>
    </row>
    <row r="68" spans="2:19">
      <c r="B68" s="12"/>
      <c r="C68" s="15"/>
      <c r="D68" s="15"/>
      <c r="E68" s="16"/>
      <c r="F68" s="16"/>
      <c r="G68" s="20"/>
      <c r="H68" s="17"/>
      <c r="I68" s="17"/>
      <c r="O68" s="15"/>
      <c r="P68" s="18"/>
      <c r="Q68" s="18"/>
      <c r="R68" s="18"/>
    </row>
    <row r="69" spans="2:19" ht="15.5" customHeight="1">
      <c r="B69" s="94" t="s">
        <v>46</v>
      </c>
      <c r="C69" s="15"/>
      <c r="D69" s="15"/>
      <c r="E69" s="16"/>
      <c r="F69" s="16"/>
      <c r="G69" s="20"/>
      <c r="H69" s="17"/>
      <c r="I69" s="17"/>
      <c r="O69" s="15"/>
      <c r="P69" s="18"/>
      <c r="Q69" s="18"/>
      <c r="R69" s="18"/>
    </row>
    <row r="70" spans="2:19" ht="15.5" customHeight="1">
      <c r="B70" s="74"/>
      <c r="C70" s="15"/>
      <c r="D70" s="15"/>
      <c r="E70" s="16"/>
      <c r="F70" s="16"/>
      <c r="G70" s="20"/>
      <c r="H70" s="17"/>
      <c r="I70" s="17"/>
      <c r="O70" s="15"/>
      <c r="P70" s="18"/>
      <c r="Q70" s="18"/>
      <c r="R70" s="18"/>
    </row>
    <row r="71" spans="2:19" ht="25">
      <c r="B71" s="98" t="s">
        <v>30</v>
      </c>
      <c r="C71" s="98" t="s">
        <v>31</v>
      </c>
      <c r="D71" s="68" t="s">
        <v>77</v>
      </c>
      <c r="E71" s="23"/>
      <c r="F71" s="23"/>
      <c r="G71" s="16"/>
      <c r="H71" s="16"/>
      <c r="I71" s="16"/>
      <c r="J71" s="16"/>
      <c r="K71" s="20"/>
      <c r="L71" s="15"/>
      <c r="M71" s="15"/>
      <c r="N71" s="15"/>
      <c r="O71" s="15"/>
      <c r="P71" s="18"/>
      <c r="Q71" s="18"/>
      <c r="R71" s="18"/>
    </row>
    <row r="72" spans="2:19" s="6" customFormat="1">
      <c r="B72" s="60"/>
      <c r="C72" s="60"/>
      <c r="D72" s="63"/>
      <c r="E72" s="78" t="s">
        <v>61</v>
      </c>
      <c r="F72" s="119" t="s">
        <v>81</v>
      </c>
      <c r="G72" s="52"/>
      <c r="H72" s="52"/>
      <c r="I72" s="52"/>
      <c r="J72" s="52"/>
      <c r="K72" s="53"/>
      <c r="L72" s="54"/>
      <c r="M72" s="54"/>
      <c r="N72" s="54"/>
      <c r="O72" s="54"/>
      <c r="P72" s="55"/>
      <c r="Q72" s="55"/>
      <c r="R72" s="55"/>
    </row>
    <row r="73" spans="2:19" s="6" customFormat="1">
      <c r="B73" s="51"/>
      <c r="C73" s="51"/>
      <c r="D73" s="20"/>
      <c r="E73" s="78"/>
      <c r="F73" s="51"/>
      <c r="G73" s="52"/>
      <c r="H73" s="52"/>
      <c r="I73" s="52"/>
      <c r="J73" s="52"/>
      <c r="K73" s="53"/>
      <c r="L73" s="54"/>
      <c r="M73" s="54"/>
      <c r="N73" s="54"/>
      <c r="O73" s="54"/>
      <c r="P73" s="55"/>
      <c r="Q73" s="55"/>
      <c r="R73" s="55"/>
    </row>
    <row r="74" spans="2:19" s="6" customFormat="1">
      <c r="B74" s="51"/>
      <c r="C74" s="77" t="s">
        <v>59</v>
      </c>
      <c r="D74" s="109" t="e">
        <f>+N50</f>
        <v>#VALUE!</v>
      </c>
      <c r="E74" s="72" t="s">
        <v>23</v>
      </c>
      <c r="F74" s="51"/>
      <c r="G74" s="52"/>
      <c r="H74" s="52"/>
      <c r="I74" s="52"/>
      <c r="J74" s="52"/>
      <c r="K74" s="53"/>
      <c r="L74" s="54"/>
      <c r="M74" s="54"/>
      <c r="N74" s="54"/>
      <c r="O74" s="54"/>
      <c r="P74" s="55"/>
      <c r="Q74" s="55"/>
      <c r="R74" s="55"/>
    </row>
    <row r="75" spans="2:19" s="6" customFormat="1" ht="13" thickBot="1">
      <c r="B75" s="51"/>
      <c r="C75" s="19" t="s">
        <v>34</v>
      </c>
      <c r="D75" s="96" t="e">
        <f>+D72-D74</f>
        <v>#VALUE!</v>
      </c>
      <c r="E75" s="51"/>
      <c r="F75" s="51"/>
      <c r="G75" s="52"/>
      <c r="H75" s="52"/>
      <c r="I75" s="52"/>
      <c r="J75" s="52"/>
      <c r="K75" s="53"/>
      <c r="L75" s="54"/>
      <c r="M75" s="54"/>
      <c r="N75" s="54"/>
      <c r="O75" s="54"/>
      <c r="P75" s="55"/>
      <c r="Q75" s="55"/>
      <c r="R75" s="55"/>
    </row>
    <row r="76" spans="2:19" s="6" customFormat="1" ht="13" thickTop="1">
      <c r="B76" s="51"/>
      <c r="C76" s="51"/>
      <c r="D76" s="43"/>
      <c r="E76" s="51"/>
      <c r="F76" s="51"/>
      <c r="G76" s="52"/>
      <c r="H76" s="52"/>
      <c r="I76" s="52"/>
      <c r="J76" s="52"/>
      <c r="K76" s="53"/>
      <c r="L76" s="54"/>
      <c r="M76" s="54"/>
      <c r="N76" s="54"/>
      <c r="O76" s="54"/>
      <c r="P76" s="55"/>
      <c r="Q76" s="55"/>
      <c r="R76" s="55"/>
    </row>
    <row r="77" spans="2:19">
      <c r="B77" s="82"/>
      <c r="C77" s="82"/>
      <c r="D77" s="82"/>
      <c r="E77" s="82"/>
      <c r="F77" s="11"/>
      <c r="G77" s="11"/>
      <c r="H77" s="11"/>
      <c r="I77" s="11"/>
      <c r="J77" s="11"/>
      <c r="K77" s="83"/>
      <c r="L77" s="84"/>
      <c r="M77" s="84"/>
      <c r="N77" s="84"/>
      <c r="O77" s="85"/>
    </row>
    <row r="78" spans="2:19">
      <c r="B78" s="36" t="s">
        <v>16</v>
      </c>
      <c r="E78" s="86"/>
      <c r="J78" s="86"/>
      <c r="K78" s="87"/>
    </row>
    <row r="79" spans="2:19" ht="7" customHeight="1">
      <c r="B79" s="36"/>
      <c r="E79" s="86"/>
      <c r="J79" s="86"/>
      <c r="K79" s="87"/>
    </row>
    <row r="80" spans="2:19">
      <c r="B80" s="23" t="s">
        <v>82</v>
      </c>
      <c r="C80" s="6"/>
      <c r="E80" s="86"/>
      <c r="J80" s="86"/>
      <c r="K80" s="87"/>
    </row>
    <row r="81" spans="1:11">
      <c r="B81" s="23" t="s">
        <v>83</v>
      </c>
      <c r="C81" s="6"/>
      <c r="E81" s="86"/>
      <c r="J81" s="86"/>
      <c r="K81" s="87"/>
    </row>
    <row r="82" spans="1:11">
      <c r="B82" s="23" t="s">
        <v>84</v>
      </c>
      <c r="C82" s="6"/>
      <c r="E82" s="86"/>
      <c r="J82" s="86"/>
      <c r="K82" s="87"/>
    </row>
    <row r="83" spans="1:11">
      <c r="B83" s="23" t="s">
        <v>17</v>
      </c>
      <c r="E83" s="86"/>
      <c r="J83" s="86"/>
      <c r="K83" s="87"/>
    </row>
    <row r="84" spans="1:11">
      <c r="B84" s="92" t="s">
        <v>43</v>
      </c>
      <c r="E84" s="86"/>
      <c r="J84" s="86"/>
      <c r="K84" s="87"/>
    </row>
    <row r="85" spans="1:11">
      <c r="B85" s="23" t="s">
        <v>18</v>
      </c>
      <c r="E85" s="86"/>
      <c r="J85" s="86"/>
      <c r="K85" s="87"/>
    </row>
    <row r="86" spans="1:11">
      <c r="B86" s="23"/>
      <c r="E86" s="86"/>
      <c r="J86" s="86"/>
      <c r="K86" s="87"/>
    </row>
    <row r="87" spans="1:11">
      <c r="A87" s="120"/>
      <c r="B87" s="79" t="s">
        <v>85</v>
      </c>
      <c r="C87" s="23"/>
      <c r="E87" s="86"/>
      <c r="J87" s="86"/>
      <c r="K87" s="87"/>
    </row>
    <row r="88" spans="1:11" ht="7" customHeight="1">
      <c r="A88" s="120"/>
      <c r="B88" s="79"/>
      <c r="C88" s="23"/>
      <c r="E88" s="86"/>
      <c r="J88" s="86"/>
      <c r="K88" s="87"/>
    </row>
    <row r="89" spans="1:11">
      <c r="A89" s="120" t="s">
        <v>86</v>
      </c>
      <c r="B89" s="79"/>
      <c r="C89" s="23"/>
      <c r="E89" s="86"/>
      <c r="J89" s="86"/>
      <c r="K89" s="87"/>
    </row>
    <row r="90" spans="1:11">
      <c r="A90" s="120" t="s">
        <v>87</v>
      </c>
      <c r="B90" s="79"/>
      <c r="C90" s="23"/>
      <c r="E90" s="86"/>
      <c r="J90" s="86"/>
      <c r="K90" s="87"/>
    </row>
    <row r="91" spans="1:11">
      <c r="A91" s="120" t="s">
        <v>88</v>
      </c>
      <c r="B91" s="79"/>
      <c r="C91" s="23"/>
      <c r="E91" s="86"/>
      <c r="J91" s="86"/>
      <c r="K91" s="87"/>
    </row>
    <row r="92" spans="1:11">
      <c r="A92" s="120"/>
      <c r="B92" s="79"/>
      <c r="C92" s="23"/>
      <c r="E92" s="86"/>
      <c r="J92" s="86"/>
      <c r="K92" s="87"/>
    </row>
    <row r="93" spans="1:11">
      <c r="A93" s="120"/>
      <c r="B93" s="79" t="s">
        <v>89</v>
      </c>
      <c r="C93" s="23"/>
      <c r="E93" s="86"/>
      <c r="J93" s="86"/>
      <c r="K93" s="87"/>
    </row>
    <row r="94" spans="1:11" ht="7" customHeight="1">
      <c r="A94" s="120"/>
      <c r="B94" s="79"/>
      <c r="C94" s="23"/>
      <c r="E94" s="86"/>
      <c r="J94" s="86"/>
      <c r="K94" s="87"/>
    </row>
    <row r="95" spans="1:11">
      <c r="A95" s="120" t="s">
        <v>90</v>
      </c>
      <c r="B95" s="79"/>
      <c r="C95" s="23"/>
      <c r="E95" s="86"/>
      <c r="J95" s="86"/>
      <c r="K95" s="87"/>
    </row>
    <row r="96" spans="1:11">
      <c r="A96" s="120" t="s">
        <v>91</v>
      </c>
      <c r="B96" s="79"/>
      <c r="C96" s="23"/>
      <c r="E96" s="86"/>
      <c r="J96" s="86"/>
      <c r="K96" s="87"/>
    </row>
    <row r="97" spans="1:11">
      <c r="A97" s="120" t="s">
        <v>92</v>
      </c>
      <c r="B97" s="79"/>
      <c r="C97" s="23"/>
      <c r="E97" s="86"/>
      <c r="J97" s="86"/>
      <c r="K97" s="87"/>
    </row>
    <row r="98" spans="1:11">
      <c r="A98" s="120"/>
      <c r="B98" s="121"/>
      <c r="C98" s="23"/>
      <c r="E98" s="86"/>
      <c r="J98" s="86"/>
      <c r="K98" s="87"/>
    </row>
    <row r="99" spans="1:11">
      <c r="A99" s="120"/>
      <c r="B99" s="79" t="s">
        <v>93</v>
      </c>
      <c r="C99" s="23"/>
      <c r="E99" s="86"/>
      <c r="J99" s="86"/>
      <c r="K99" s="87"/>
    </row>
    <row r="100" spans="1:11" ht="7" customHeight="1">
      <c r="A100" s="120"/>
      <c r="B100" s="79"/>
      <c r="C100" s="23"/>
      <c r="E100" s="86"/>
      <c r="J100" s="86"/>
      <c r="K100" s="87"/>
    </row>
    <row r="101" spans="1:11">
      <c r="A101" s="120" t="s">
        <v>94</v>
      </c>
      <c r="B101" s="79"/>
      <c r="C101" s="23"/>
      <c r="E101" s="86"/>
      <c r="J101" s="86"/>
      <c r="K101" s="87"/>
    </row>
    <row r="102" spans="1:11">
      <c r="A102" s="120" t="s">
        <v>95</v>
      </c>
      <c r="B102" s="79"/>
      <c r="C102" s="23"/>
      <c r="E102" s="86"/>
      <c r="J102" s="86"/>
      <c r="K102" s="87"/>
    </row>
    <row r="103" spans="1:11">
      <c r="A103" s="120" t="s">
        <v>96</v>
      </c>
      <c r="B103" s="79"/>
      <c r="C103" s="23"/>
      <c r="E103" s="86"/>
      <c r="J103" s="86"/>
      <c r="K103" s="87"/>
    </row>
    <row r="104" spans="1:11">
      <c r="A104" s="120"/>
      <c r="B104" s="121"/>
      <c r="C104" s="23"/>
      <c r="E104" s="86"/>
      <c r="J104" s="86"/>
      <c r="K104" s="87"/>
    </row>
    <row r="105" spans="1:11">
      <c r="A105" s="23"/>
      <c r="B105" s="79" t="s">
        <v>5</v>
      </c>
      <c r="C105" s="23"/>
      <c r="E105" s="86"/>
      <c r="J105" s="86"/>
      <c r="K105" s="87"/>
    </row>
    <row r="106" spans="1:11" ht="7" customHeight="1">
      <c r="A106" s="23"/>
      <c r="B106" s="79"/>
      <c r="C106" s="23"/>
      <c r="E106" s="86"/>
      <c r="J106" s="86"/>
      <c r="K106" s="87"/>
    </row>
    <row r="107" spans="1:11">
      <c r="A107" s="23"/>
      <c r="B107" s="116" t="s">
        <v>97</v>
      </c>
      <c r="C107" s="23"/>
      <c r="E107" s="86"/>
      <c r="J107" s="86"/>
      <c r="K107" s="87"/>
    </row>
    <row r="108" spans="1:11">
      <c r="B108" s="23"/>
      <c r="E108" s="86"/>
      <c r="J108" s="86"/>
      <c r="K108" s="87"/>
    </row>
    <row r="109" spans="1:11">
      <c r="B109" s="23"/>
      <c r="E109" s="86"/>
      <c r="J109" s="86"/>
      <c r="K109" s="87"/>
    </row>
    <row r="110" spans="1:11">
      <c r="B110" s="23"/>
      <c r="E110" s="86"/>
      <c r="J110" s="86"/>
      <c r="K110" s="87"/>
    </row>
  </sheetData>
  <mergeCells count="14">
    <mergeCell ref="B57:D57"/>
    <mergeCell ref="D48:D49"/>
    <mergeCell ref="B48:B49"/>
    <mergeCell ref="C48:C49"/>
    <mergeCell ref="E48:F48"/>
    <mergeCell ref="I48:I49"/>
    <mergeCell ref="P48:P49"/>
    <mergeCell ref="Q48:R48"/>
    <mergeCell ref="G48:G49"/>
    <mergeCell ref="H48:H49"/>
    <mergeCell ref="L48:L49"/>
    <mergeCell ref="K48:K49"/>
    <mergeCell ref="J48:J49"/>
    <mergeCell ref="M48:O4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05F7-F9B1-4E90-A501-BFA1A0196EB5}">
  <sheetPr>
    <pageSetUpPr fitToPage="1"/>
  </sheetPr>
  <dimension ref="B3:B13"/>
  <sheetViews>
    <sheetView showGridLines="0" zoomScaleNormal="90" workbookViewId="0">
      <selection activeCell="B4" sqref="B4"/>
    </sheetView>
  </sheetViews>
  <sheetFormatPr baseColWidth="10" defaultColWidth="11.453125" defaultRowHeight="14.5"/>
  <cols>
    <col min="1" max="1" width="4.81640625" customWidth="1"/>
    <col min="2" max="2" width="11.81640625" customWidth="1"/>
    <col min="3" max="3" width="14.453125" bestFit="1" customWidth="1"/>
    <col min="4" max="4" width="27.81640625" bestFit="1" customWidth="1"/>
    <col min="5" max="5" width="21.453125" customWidth="1"/>
    <col min="6" max="6" width="11.54296875" customWidth="1"/>
    <col min="7" max="7" width="15.81640625" customWidth="1"/>
    <col min="8" max="8" width="5.81640625" bestFit="1" customWidth="1"/>
    <col min="9" max="9" width="15.81640625" customWidth="1"/>
    <col min="10" max="10" width="15.1796875" customWidth="1"/>
    <col min="11" max="11" width="13" customWidth="1"/>
    <col min="12" max="12" width="9.81640625" customWidth="1"/>
    <col min="13" max="13" width="48.6328125" bestFit="1" customWidth="1"/>
  </cols>
  <sheetData>
    <row r="3" spans="2:2">
      <c r="B3" s="116" t="s">
        <v>65</v>
      </c>
    </row>
    <row r="10" spans="2:2" ht="30.75" customHeight="1"/>
    <row r="13" spans="2:2" ht="23.25" customHeight="1"/>
  </sheetData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EED5-2DCF-43C8-806F-47C663CF84AC}">
  <dimension ref="B5"/>
  <sheetViews>
    <sheetView showGridLines="0" topLeftCell="A4" workbookViewId="0">
      <selection activeCell="B5" sqref="B5"/>
    </sheetView>
  </sheetViews>
  <sheetFormatPr baseColWidth="10" defaultColWidth="10.90625" defaultRowHeight="12.5"/>
  <cols>
    <col min="1" max="4" width="10.90625" style="23"/>
    <col min="5" max="5" width="38.81640625" style="23" bestFit="1" customWidth="1"/>
    <col min="6" max="6" width="21.1796875" style="23" bestFit="1" customWidth="1"/>
    <col min="7" max="7" width="7.6328125" style="23" bestFit="1" customWidth="1"/>
    <col min="8" max="8" width="11.81640625" style="23" bestFit="1" customWidth="1"/>
    <col min="9" max="9" width="29.81640625" style="23" bestFit="1" customWidth="1"/>
    <col min="10" max="10" width="27.81640625" style="23" bestFit="1" customWidth="1"/>
    <col min="11" max="11" width="34.54296875" style="23" bestFit="1" customWidth="1"/>
    <col min="12" max="16384" width="10.90625" style="23"/>
  </cols>
  <sheetData>
    <row r="5" spans="2:2">
      <c r="B5" s="116" t="s">
        <v>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140.08</vt:lpstr>
      <vt:lpstr>PPC Detalle de inversiones</vt:lpstr>
      <vt:lpstr>Base Mayores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Varela</dc:creator>
  <cp:lastModifiedBy>Admin</cp:lastModifiedBy>
  <dcterms:created xsi:type="dcterms:W3CDTF">2015-12-21T16:06:45Z</dcterms:created>
  <dcterms:modified xsi:type="dcterms:W3CDTF">2026-04-16T23:57:13Z</dcterms:modified>
</cp:coreProperties>
</file>