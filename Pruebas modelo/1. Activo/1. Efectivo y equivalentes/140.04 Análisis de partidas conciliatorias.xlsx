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1. Efectivo y equivalentes\"/>
    </mc:Choice>
  </mc:AlternateContent>
  <xr:revisionPtr revIDLastSave="0" documentId="13_ncr:1_{73F1444D-5E3D-4930-83F9-BA6A67F85C9E}" xr6:coauthVersionLast="47" xr6:coauthVersionMax="47" xr10:uidLastSave="{00000000-0000-0000-0000-000000000000}"/>
  <bookViews>
    <workbookView xWindow="-110" yWindow="-110" windowWidth="19420" windowHeight="10300" xr2:uid="{0D738A29-DFC9-4DD3-BEA4-B5658DEB317C}"/>
  </bookViews>
  <sheets>
    <sheet name="140.04" sheetId="1" r:id="rId1"/>
  </sheets>
  <definedNames>
    <definedName name="_xlnm._FilterDatabase" localSheetId="0" hidden="1">'140.04'!$B$37:$J$40</definedName>
  </definedNames>
  <calcPr calcId="191029"/>
  <pivotCaches>
    <pivotCache cacheId="2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" i="1" l="1"/>
  <c r="P40" i="1" s="1"/>
  <c r="O39" i="1"/>
  <c r="P39" i="1" s="1"/>
  <c r="O38" i="1"/>
  <c r="P38" i="1" s="1"/>
  <c r="O37" i="1"/>
  <c r="P37" i="1" s="1"/>
  <c r="J37" i="1"/>
  <c r="J38" i="1"/>
  <c r="J39" i="1"/>
  <c r="J40" i="1"/>
  <c r="I42" i="1"/>
</calcChain>
</file>

<file path=xl/sharedStrings.xml><?xml version="1.0" encoding="utf-8"?>
<sst xmlns="http://schemas.openxmlformats.org/spreadsheetml/2006/main" count="79" uniqueCount="70">
  <si>
    <t>Valor</t>
  </si>
  <si>
    <t xml:space="preserve">Concepto </t>
  </si>
  <si>
    <t>Beneficiario</t>
  </si>
  <si>
    <t>Partida conciliatoria</t>
  </si>
  <si>
    <t>Desarrollo:</t>
  </si>
  <si>
    <t>3.-</t>
  </si>
  <si>
    <t>2.-</t>
  </si>
  <si>
    <t>1.-</t>
  </si>
  <si>
    <t>Objetivo:</t>
  </si>
  <si>
    <t>ANÁLISIS DE PARTIDAS CONCILIATORIAS</t>
  </si>
  <si>
    <t>Revisado por:</t>
  </si>
  <si>
    <t>Detalle de las partidas conciliatorias</t>
  </si>
  <si>
    <t>Base de decisión: Materialidad</t>
  </si>
  <si>
    <t>Preparado por:</t>
  </si>
  <si>
    <t>Ref.</t>
  </si>
  <si>
    <t>General</t>
  </si>
  <si>
    <t>XXX.XXX</t>
  </si>
  <si>
    <t>Desempeño</t>
  </si>
  <si>
    <t>Errores Triviales</t>
  </si>
  <si>
    <t>Procedimientos:</t>
  </si>
  <si>
    <t>Marcas de auditoría:</t>
  </si>
  <si>
    <t>Conclusión:</t>
  </si>
  <si>
    <t>A</t>
  </si>
  <si>
    <t>Sumatoria</t>
  </si>
  <si>
    <t>COMPAÑÍA MODELO S.A.</t>
  </si>
  <si>
    <t>XX</t>
  </si>
  <si>
    <t>AL 31 DE DICIEMBRE DE 20XX</t>
  </si>
  <si>
    <t>_/_/20XX</t>
  </si>
  <si>
    <t>***(Conceptos de acuerdo a la información proporcionada por el cliente)</t>
  </si>
  <si>
    <t>Notas aclaratorias:</t>
  </si>
  <si>
    <t>Observaciones:</t>
  </si>
  <si>
    <t>140.04</t>
  </si>
  <si>
    <t xml:space="preserve">Fecha </t>
  </si>
  <si>
    <t>p/t 140.03</t>
  </si>
  <si>
    <t>a)</t>
  </si>
  <si>
    <t>b)</t>
  </si>
  <si>
    <t>c)</t>
  </si>
  <si>
    <t>Obs.1</t>
  </si>
  <si>
    <t>Obs.2</t>
  </si>
  <si>
    <t>Obs.3</t>
  </si>
  <si>
    <t>***Concluir en función al objetivo</t>
  </si>
  <si>
    <t>Preliminar</t>
  </si>
  <si>
    <t xml:space="preserve">Final </t>
  </si>
  <si>
    <t xml:space="preserve">Valor </t>
  </si>
  <si>
    <t xml:space="preserve">Regularización </t>
  </si>
  <si>
    <t xml:space="preserve">Diferencia </t>
  </si>
  <si>
    <t>X</t>
  </si>
  <si>
    <t>Total general</t>
  </si>
  <si>
    <t>C</t>
  </si>
  <si>
    <t>Resumen de cuentas no regularizadas al _/_/20XX</t>
  </si>
  <si>
    <t>B</t>
  </si>
  <si>
    <t>FECHA DE CORTE: _/_/20XX</t>
  </si>
  <si>
    <t>Información proporcionada por el cliente</t>
  </si>
  <si>
    <t>Cálculos de Auditoría</t>
  </si>
  <si>
    <t xml:space="preserve">Documentar el papel de trabajo y concluir en base al objetivo. </t>
  </si>
  <si>
    <t>Nro. egreso / 
Nro. contable</t>
  </si>
  <si>
    <t>Días antigüedad</t>
  </si>
  <si>
    <t xml:space="preserve">Nro. transacción </t>
  </si>
  <si>
    <t>Fecha</t>
  </si>
  <si>
    <t>Determinar la antigüedad de las partidas conciliatorias que se presentan en las conciliaciones bancarias elaboradas por la Compañía al _/_/20XX.</t>
  </si>
  <si>
    <t>Verificar que las partidas conciliatorias detalladas por la Compañía sean reales.</t>
  </si>
  <si>
    <t>Nro. cheque</t>
  </si>
  <si>
    <t>Verificar con documentos soporte la regularización de las partidas conciliatorias al _/_/20XX.</t>
  </si>
  <si>
    <t>Verificaciones:</t>
  </si>
  <si>
    <t>Nombre del banco</t>
  </si>
  <si>
    <t>Saldo al _/_/20XX ***(Fecha de revisión)</t>
  </si>
  <si>
    <t>(Varios elementos)</t>
  </si>
  <si>
    <t xml:space="preserve">Analizar la antigüedad de las partidas conciliatorias al _/_/20XX. </t>
  </si>
  <si>
    <t xml:space="preserve">Documentación de sustento </t>
  </si>
  <si>
    <t xml:space="preserve">Comprobante de ingreso /egreso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</si>
</sst>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Arial"/>
      <family val="2"/>
    </font>
    <font>
      <b/>
      <i/>
      <sz val="10"/>
      <name val="Tahoma"/>
      <family val="2"/>
    </font>
    <font>
      <b/>
      <u/>
      <sz val="10"/>
      <color rgb="FF0000CC"/>
      <name val="Tahoma"/>
      <family val="2"/>
    </font>
    <font>
      <b/>
      <sz val="10"/>
      <color indexed="10"/>
      <name val="Tahoma"/>
      <family val="2"/>
    </font>
    <font>
      <b/>
      <sz val="10"/>
      <color rgb="FFFF0000"/>
      <name val="Tahoma"/>
      <family val="2"/>
    </font>
    <font>
      <sz val="10"/>
      <color indexed="8"/>
      <name val="MS Sans Serif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b/>
      <sz val="10"/>
      <color indexed="8"/>
      <name val="Tahoma"/>
      <family val="2"/>
    </font>
    <font>
      <sz val="10"/>
      <color indexed="8"/>
      <name val="Verdana"/>
      <family val="2"/>
    </font>
    <font>
      <sz val="10"/>
      <color rgb="FF000000"/>
      <name val="Tahoma"/>
      <family val="2"/>
    </font>
    <font>
      <b/>
      <sz val="10"/>
      <color rgb="FF002060"/>
      <name val="Tahoma"/>
      <family val="2"/>
    </font>
    <font>
      <b/>
      <sz val="10"/>
      <name val="Tahoma"/>
      <family val="2"/>
    </font>
    <font>
      <b/>
      <u/>
      <sz val="10"/>
      <color indexed="8"/>
      <name val="Tahoma"/>
      <family val="2"/>
    </font>
    <font>
      <b/>
      <sz val="10"/>
      <color rgb="FF000000"/>
      <name val="Tahoma"/>
      <family val="2"/>
    </font>
    <font>
      <b/>
      <sz val="10"/>
      <color theme="4" tint="-0.499984740745262"/>
      <name val="Tahoma"/>
      <family val="2"/>
    </font>
    <font>
      <b/>
      <u/>
      <sz val="10"/>
      <color rgb="FF0000FF"/>
      <name val="Tahoma"/>
      <family val="2"/>
    </font>
    <font>
      <sz val="10"/>
      <color rgb="FF002060"/>
      <name val="Tahoma"/>
      <family val="2"/>
    </font>
    <font>
      <sz val="10"/>
      <color theme="0"/>
      <name val="Tahoma"/>
      <family val="2"/>
    </font>
    <font>
      <b/>
      <u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rgb="FFDEEAF6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11" fillId="0" borderId="0"/>
    <xf numFmtId="0" fontId="12" fillId="0" borderId="0"/>
    <xf numFmtId="0" fontId="6" fillId="0" borderId="0"/>
    <xf numFmtId="0" fontId="15" fillId="0" borderId="0"/>
    <xf numFmtId="0" fontId="12" fillId="0" borderId="0"/>
    <xf numFmtId="0" fontId="6" fillId="0" borderId="0"/>
    <xf numFmtId="0" fontId="6" fillId="0" borderId="0"/>
    <xf numFmtId="0" fontId="6" fillId="0" borderId="0"/>
  </cellStyleXfs>
  <cellXfs count="109">
    <xf numFmtId="0" fontId="0" fillId="0" borderId="0" xfId="0"/>
    <xf numFmtId="0" fontId="1" fillId="2" borderId="0" xfId="0" applyFont="1" applyFill="1"/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7" fillId="2" borderId="0" xfId="3" applyFont="1" applyFill="1" applyAlignment="1">
      <alignment horizontal="center" vertical="center"/>
    </xf>
    <xf numFmtId="0" fontId="8" fillId="2" borderId="0" xfId="3" applyFont="1" applyFill="1" applyAlignment="1">
      <alignment horizontal="left" vertical="center"/>
    </xf>
    <xf numFmtId="9" fontId="9" fillId="2" borderId="0" xfId="2" applyFont="1" applyFill="1" applyBorder="1" applyAlignment="1">
      <alignment horizontal="center"/>
    </xf>
    <xf numFmtId="0" fontId="10" fillId="2" borderId="0" xfId="3" applyFont="1" applyFill="1" applyAlignment="1">
      <alignment horizontal="center"/>
    </xf>
    <xf numFmtId="0" fontId="9" fillId="2" borderId="0" xfId="5" applyFont="1" applyFill="1" applyAlignment="1">
      <alignment horizontal="center"/>
    </xf>
    <xf numFmtId="0" fontId="13" fillId="2" borderId="0" xfId="5" applyFont="1" applyFill="1"/>
    <xf numFmtId="0" fontId="5" fillId="2" borderId="0" xfId="3" applyFont="1" applyFill="1" applyAlignment="1">
      <alignment vertical="center" wrapText="1"/>
    </xf>
    <xf numFmtId="0" fontId="13" fillId="2" borderId="0" xfId="6" applyFont="1" applyFill="1" applyAlignment="1">
      <alignment horizontal="left" wrapText="1"/>
    </xf>
    <xf numFmtId="0" fontId="13" fillId="2" borderId="0" xfId="3" applyFont="1" applyFill="1" applyAlignment="1">
      <alignment horizontal="center"/>
    </xf>
    <xf numFmtId="0" fontId="10" fillId="0" borderId="0" xfId="3" applyFont="1" applyAlignment="1">
      <alignment horizontal="right"/>
    </xf>
    <xf numFmtId="0" fontId="13" fillId="2" borderId="0" xfId="3" applyFont="1" applyFill="1"/>
    <xf numFmtId="0" fontId="10" fillId="2" borderId="0" xfId="3" applyFont="1" applyFill="1" applyAlignment="1">
      <alignment horizontal="left"/>
    </xf>
    <xf numFmtId="164" fontId="14" fillId="2" borderId="1" xfId="1" applyNumberFormat="1" applyFont="1" applyFill="1" applyBorder="1" applyAlignment="1"/>
    <xf numFmtId="0" fontId="14" fillId="2" borderId="0" xfId="3" applyFont="1" applyFill="1" applyAlignment="1">
      <alignment horizontal="right"/>
    </xf>
    <xf numFmtId="9" fontId="2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4" fontId="13" fillId="2" borderId="0" xfId="3" applyNumberFormat="1" applyFont="1" applyFill="1" applyAlignment="1">
      <alignment horizontal="center" vertical="center"/>
    </xf>
    <xf numFmtId="164" fontId="13" fillId="2" borderId="0" xfId="1" applyNumberFormat="1" applyFont="1" applyFill="1" applyBorder="1" applyAlignment="1" applyProtection="1">
      <alignment horizontal="center" vertical="center"/>
    </xf>
    <xf numFmtId="0" fontId="13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4" fontId="5" fillId="2" borderId="0" xfId="0" applyNumberFormat="1" applyFont="1" applyFill="1" applyAlignment="1">
      <alignment horizontal="center" vertical="center"/>
    </xf>
    <xf numFmtId="164" fontId="13" fillId="0" borderId="2" xfId="3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165" fontId="16" fillId="0" borderId="2" xfId="1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5" fillId="0" borderId="2" xfId="7" applyFont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6" fillId="0" borderId="2" xfId="0" applyFont="1" applyBorder="1" applyAlignment="1">
      <alignment horizontal="left" vertical="center"/>
    </xf>
    <xf numFmtId="0" fontId="1" fillId="0" borderId="2" xfId="0" applyFont="1" applyBorder="1"/>
    <xf numFmtId="0" fontId="1" fillId="0" borderId="0" xfId="0" applyFont="1" applyAlignment="1">
      <alignment horizontal="center" vertical="center"/>
    </xf>
    <xf numFmtId="14" fontId="16" fillId="0" borderId="2" xfId="0" applyNumberFormat="1" applyFont="1" applyBorder="1" applyAlignment="1">
      <alignment vertical="center"/>
    </xf>
    <xf numFmtId="0" fontId="1" fillId="0" borderId="0" xfId="0" applyFont="1"/>
    <xf numFmtId="0" fontId="5" fillId="0" borderId="2" xfId="3" applyFont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14" fontId="18" fillId="2" borderId="0" xfId="4" applyNumberFormat="1" applyFont="1" applyFill="1" applyAlignment="1">
      <alignment horizontal="center" vertical="center"/>
    </xf>
    <xf numFmtId="0" fontId="18" fillId="2" borderId="0" xfId="4" applyFont="1" applyFill="1" applyAlignment="1">
      <alignment horizontal="center" vertical="center"/>
    </xf>
    <xf numFmtId="0" fontId="10" fillId="2" borderId="0" xfId="4" applyFont="1" applyFill="1" applyAlignment="1">
      <alignment horizontal="center" vertical="center"/>
    </xf>
    <xf numFmtId="0" fontId="8" fillId="2" borderId="0" xfId="4" applyFont="1" applyFill="1" applyAlignment="1">
      <alignment vertical="center"/>
    </xf>
    <xf numFmtId="0" fontId="18" fillId="2" borderId="0" xfId="4" applyFont="1" applyFill="1" applyAlignment="1">
      <alignment vertical="center"/>
    </xf>
    <xf numFmtId="0" fontId="13" fillId="2" borderId="0" xfId="6" applyFont="1" applyFill="1"/>
    <xf numFmtId="0" fontId="13" fillId="2" borderId="0" xfId="8" applyFont="1" applyFill="1" applyAlignment="1">
      <alignment horizontal="left" wrapText="1"/>
    </xf>
    <xf numFmtId="0" fontId="13" fillId="2" borderId="0" xfId="8" applyFont="1" applyFill="1" applyAlignment="1">
      <alignment wrapText="1"/>
    </xf>
    <xf numFmtId="0" fontId="19" fillId="2" borderId="0" xfId="8" applyFont="1" applyFill="1"/>
    <xf numFmtId="0" fontId="8" fillId="2" borderId="0" xfId="8" applyFont="1" applyFill="1"/>
    <xf numFmtId="0" fontId="13" fillId="2" borderId="0" xfId="8" applyFont="1" applyFill="1"/>
    <xf numFmtId="0" fontId="20" fillId="2" borderId="0" xfId="3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top"/>
    </xf>
    <xf numFmtId="0" fontId="17" fillId="2" borderId="0" xfId="0" applyFont="1" applyFill="1" applyAlignment="1">
      <alignment vertical="center"/>
    </xf>
    <xf numFmtId="0" fontId="17" fillId="0" borderId="0" xfId="0" applyFont="1" applyAlignment="1" applyProtection="1">
      <alignment horizontal="left" vertical="center"/>
      <protection hidden="1"/>
    </xf>
    <xf numFmtId="0" fontId="21" fillId="2" borderId="0" xfId="0" applyFont="1" applyFill="1" applyAlignment="1" applyProtection="1">
      <alignment vertical="center"/>
      <protection hidden="1"/>
    </xf>
    <xf numFmtId="0" fontId="22" fillId="0" borderId="0" xfId="0" applyFont="1"/>
    <xf numFmtId="0" fontId="1" fillId="2" borderId="0" xfId="0" applyFont="1" applyFill="1" applyAlignment="1">
      <alignment horizontal="right"/>
    </xf>
    <xf numFmtId="0" fontId="10" fillId="2" borderId="0" xfId="3" applyFont="1" applyFill="1" applyAlignment="1">
      <alignment horizontal="center" vertical="center" wrapText="1"/>
    </xf>
    <xf numFmtId="2" fontId="9" fillId="2" borderId="0" xfId="5" applyNumberFormat="1" applyFont="1" applyFill="1" applyAlignment="1">
      <alignment horizontal="center"/>
    </xf>
    <xf numFmtId="0" fontId="1" fillId="0" borderId="5" xfId="0" applyFont="1" applyBorder="1"/>
    <xf numFmtId="0" fontId="18" fillId="2" borderId="0" xfId="9" applyFont="1" applyFill="1" applyAlignment="1">
      <alignment horizontal="left" vertical="center" indent="1"/>
    </xf>
    <xf numFmtId="0" fontId="1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2" borderId="2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 applyProtection="1">
      <alignment horizontal="center" vertical="center"/>
      <protection hidden="1"/>
    </xf>
    <xf numFmtId="0" fontId="17" fillId="4" borderId="2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0" fontId="2" fillId="2" borderId="0" xfId="0" applyFont="1" applyFill="1"/>
    <xf numFmtId="0" fontId="17" fillId="4" borderId="2" xfId="3" applyFont="1" applyFill="1" applyBorder="1" applyAlignment="1">
      <alignment horizontal="center" vertical="center" wrapText="1"/>
    </xf>
    <xf numFmtId="0" fontId="2" fillId="0" borderId="0" xfId="0" applyFont="1"/>
    <xf numFmtId="0" fontId="17" fillId="4" borderId="3" xfId="3" applyFont="1" applyFill="1" applyBorder="1" applyAlignment="1">
      <alignment horizontal="center" vertical="center" wrapText="1"/>
    </xf>
    <xf numFmtId="0" fontId="1" fillId="2" borderId="2" xfId="10" applyFont="1" applyFill="1" applyBorder="1" applyAlignment="1" applyProtection="1">
      <alignment horizontal="center" vertical="center"/>
      <protection hidden="1"/>
    </xf>
    <xf numFmtId="0" fontId="1" fillId="3" borderId="2" xfId="9" applyFont="1" applyFill="1" applyBorder="1" applyAlignment="1">
      <alignment horizontal="center" vertical="center" wrapText="1"/>
    </xf>
    <xf numFmtId="164" fontId="14" fillId="2" borderId="0" xfId="1" applyNumberFormat="1" applyFont="1" applyFill="1" applyBorder="1" applyAlignment="1"/>
    <xf numFmtId="0" fontId="17" fillId="4" borderId="6" xfId="3" applyFont="1" applyFill="1" applyBorder="1" applyAlignment="1">
      <alignment horizontal="center" vertical="center" wrapText="1"/>
    </xf>
    <xf numFmtId="164" fontId="13" fillId="0" borderId="3" xfId="3" applyNumberFormat="1" applyFont="1" applyBorder="1" applyAlignment="1">
      <alignment horizontal="center" vertical="center"/>
    </xf>
    <xf numFmtId="0" fontId="17" fillId="4" borderId="3" xfId="3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7" fillId="4" borderId="4" xfId="3" applyFont="1" applyFill="1" applyBorder="1" applyAlignment="1">
      <alignment vertical="center" wrapText="1"/>
    </xf>
    <xf numFmtId="0" fontId="24" fillId="2" borderId="0" xfId="0" applyFont="1" applyFill="1" applyBorder="1" applyAlignment="1">
      <alignment vertical="center" wrapText="1"/>
    </xf>
    <xf numFmtId="0" fontId="1" fillId="2" borderId="2" xfId="0" applyFont="1" applyFill="1" applyBorder="1"/>
    <xf numFmtId="0" fontId="10" fillId="2" borderId="0" xfId="0" applyFont="1" applyFill="1"/>
    <xf numFmtId="0" fontId="1" fillId="2" borderId="7" xfId="0" applyFont="1" applyFill="1" applyBorder="1" applyAlignment="1">
      <alignment horizontal="left"/>
    </xf>
    <xf numFmtId="0" fontId="1" fillId="2" borderId="7" xfId="0" applyNumberFormat="1" applyFont="1" applyFill="1" applyBorder="1"/>
    <xf numFmtId="0" fontId="5" fillId="0" borderId="0" xfId="11" applyFont="1" applyBorder="1"/>
    <xf numFmtId="0" fontId="1" fillId="0" borderId="0" xfId="0" applyFont="1" applyBorder="1"/>
    <xf numFmtId="0" fontId="23" fillId="4" borderId="2" xfId="0" applyFont="1" applyFill="1" applyBorder="1" applyAlignment="1">
      <alignment horizontal="center" wrapText="1"/>
    </xf>
    <xf numFmtId="0" fontId="25" fillId="2" borderId="0" xfId="8" applyFont="1" applyFill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/>
    <xf numFmtId="0" fontId="5" fillId="0" borderId="2" xfId="10" applyFont="1" applyBorder="1" applyAlignment="1">
      <alignment horizontal="center"/>
    </xf>
    <xf numFmtId="0" fontId="3" fillId="2" borderId="0" xfId="0" applyFont="1" applyFill="1"/>
    <xf numFmtId="0" fontId="17" fillId="4" borderId="8" xfId="3" applyFont="1" applyFill="1" applyBorder="1" applyAlignment="1">
      <alignment vertical="center" wrapText="1"/>
    </xf>
    <xf numFmtId="14" fontId="23" fillId="0" borderId="2" xfId="3" applyNumberFormat="1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2" xfId="0" applyFont="1" applyBorder="1"/>
    <xf numFmtId="165" fontId="23" fillId="0" borderId="2" xfId="0" applyNumberFormat="1" applyFont="1" applyBorder="1"/>
    <xf numFmtId="0" fontId="23" fillId="0" borderId="2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0" borderId="3" xfId="0" applyFont="1" applyBorder="1"/>
    <xf numFmtId="0" fontId="17" fillId="4" borderId="9" xfId="3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wrapText="1"/>
    </xf>
    <xf numFmtId="0" fontId="17" fillId="5" borderId="6" xfId="0" applyFont="1" applyFill="1" applyBorder="1" applyAlignment="1">
      <alignment horizontal="center" wrapText="1"/>
    </xf>
    <xf numFmtId="0" fontId="17" fillId="6" borderId="2" xfId="3" applyFont="1" applyFill="1" applyBorder="1" applyAlignment="1">
      <alignment horizontal="center" vertical="center" wrapText="1"/>
    </xf>
    <xf numFmtId="0" fontId="17" fillId="6" borderId="6" xfId="3" applyFont="1" applyFill="1" applyBorder="1" applyAlignment="1">
      <alignment horizontal="center" vertical="center" wrapText="1"/>
    </xf>
  </cellXfs>
  <cellStyles count="12">
    <cellStyle name="Millares" xfId="1" builtinId="3"/>
    <cellStyle name="Normal" xfId="0" builtinId="0"/>
    <cellStyle name="Normal 10 2" xfId="6" xr:uid="{44B09D9F-6571-40DC-8A2D-3225337F3CFE}"/>
    <cellStyle name="Normal 17 2" xfId="11" xr:uid="{AC4A6608-0087-4C9E-A5A1-DF8E36745D39}"/>
    <cellStyle name="Normal 2" xfId="3" xr:uid="{795B75C1-8427-4315-AF28-6C64E2513B53}"/>
    <cellStyle name="Normal 2 10" xfId="10" xr:uid="{50B731BF-1156-4E6B-BCB8-39ED420805B8}"/>
    <cellStyle name="Normal 2 2" xfId="7" xr:uid="{BCE75100-DAB0-4AEB-AA18-FD46387688A7}"/>
    <cellStyle name="Normal 2 2 2 2" xfId="9" xr:uid="{4034C8F0-4A13-46CF-915E-60683AC09F44}"/>
    <cellStyle name="Normal_2102.1 Resumen de Conciliaciones Bancarias" xfId="5" xr:uid="{2FA461CF-C887-42DD-9C8A-DEACF040E1EA}"/>
    <cellStyle name="Normal_2102.1.1 Analisis de Partidas Conciliatorias" xfId="8" xr:uid="{6D42B7B0-CFFA-4F42-BF6D-3E28D0B8810A}"/>
    <cellStyle name="Normal_bce general_06" xfId="4" xr:uid="{9F90FBCB-B671-45B9-B94B-CB8F9B41A0A7}"/>
    <cellStyle name="Porcentaje" xfId="2" builtinId="5"/>
  </cellStyles>
  <dxfs count="31">
    <dxf>
      <alignment horizontal="center"/>
    </dxf>
    <dxf>
      <alignment horizontal="center"/>
    </dxf>
    <dxf>
      <border>
        <bottom style="double">
          <color indexed="64"/>
        </bottom>
      </border>
    </dxf>
    <dxf>
      <border>
        <bottom style="double">
          <color indexed="64"/>
        </bottom>
      </border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alignment wrapText="1"/>
    </dxf>
    <dxf>
      <alignment wrapText="1"/>
    </dxf>
    <dxf>
      <font>
        <color rgb="FF002060"/>
      </font>
    </dxf>
    <dxf>
      <font>
        <color rgb="FF00206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  <dxf>
      <font>
        <name val="Tahom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185965</xdr:colOff>
      <xdr:row>33</xdr:row>
      <xdr:rowOff>79375</xdr:rowOff>
    </xdr:from>
    <xdr:to>
      <xdr:col>8</xdr:col>
      <xdr:colOff>1061358</xdr:colOff>
      <xdr:row>33</xdr:row>
      <xdr:rowOff>81643</xdr:rowOff>
    </xdr:to>
    <xdr:cxnSp macro="">
      <xdr:nvCxnSpPr>
        <xdr:cNvPr id="2" name="Conector recto de flecha 1">
          <a:extLst>
            <a:ext uri="{FF2B5EF4-FFF2-40B4-BE49-F238E27FC236}">
              <a16:creationId xmlns:a16="http://schemas.microsoft.com/office/drawing/2014/main" id="{D3329932-0740-40DF-9423-A5BA59CCF5A6}"/>
            </a:ext>
          </a:extLst>
        </xdr:cNvPr>
        <xdr:cNvCxnSpPr/>
      </xdr:nvCxnSpPr>
      <xdr:spPr>
        <a:xfrm>
          <a:off x="639536" y="4941661"/>
          <a:ext cx="13666108" cy="226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188425</xdr:colOff>
      <xdr:row>33</xdr:row>
      <xdr:rowOff>79375</xdr:rowOff>
    </xdr:from>
    <xdr:to>
      <xdr:col>13</xdr:col>
      <xdr:colOff>1016000</xdr:colOff>
      <xdr:row>33</xdr:row>
      <xdr:rowOff>80292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A57F8BBA-258A-4DC4-902E-EC3E603838F4}"/>
            </a:ext>
          </a:extLst>
        </xdr:cNvPr>
        <xdr:cNvCxnSpPr>
          <a:cxnSpLocks/>
        </xdr:cNvCxnSpPr>
      </xdr:nvCxnSpPr>
      <xdr:spPr>
        <a:xfrm flipV="1">
          <a:off x="14563238" y="5056188"/>
          <a:ext cx="3272325" cy="91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143278</xdr:colOff>
      <xdr:row>52</xdr:row>
      <xdr:rowOff>66482</xdr:rowOff>
    </xdr:from>
    <xdr:to>
      <xdr:col>0</xdr:col>
      <xdr:colOff>302028</xdr:colOff>
      <xdr:row>53</xdr:row>
      <xdr:rowOff>131536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9B31AB4-C4F2-4BBA-BDA3-D8DCBF9F2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278" y="9513194"/>
          <a:ext cx="158750" cy="152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456053</xdr:colOff>
      <xdr:row>32</xdr:row>
      <xdr:rowOff>144550</xdr:rowOff>
    </xdr:from>
    <xdr:to>
      <xdr:col>1</xdr:col>
      <xdr:colOff>174486</xdr:colOff>
      <xdr:row>34</xdr:row>
      <xdr:rowOff>7050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3FE23C5-B0D9-48CF-8E5D-DA5A23542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053" y="5510300"/>
          <a:ext cx="178808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134206</xdr:colOff>
      <xdr:row>53</xdr:row>
      <xdr:rowOff>131224</xdr:rowOff>
    </xdr:from>
    <xdr:to>
      <xdr:col>0</xdr:col>
      <xdr:colOff>292956</xdr:colOff>
      <xdr:row>54</xdr:row>
      <xdr:rowOff>126686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9B539AD-7004-408C-A236-5D1C1F506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06" y="9664923"/>
          <a:ext cx="158750" cy="152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528536</xdr:colOff>
      <xdr:row>32</xdr:row>
      <xdr:rowOff>153634</xdr:rowOff>
    </xdr:from>
    <xdr:to>
      <xdr:col>9</xdr:col>
      <xdr:colOff>711704</xdr:colOff>
      <xdr:row>34</xdr:row>
      <xdr:rowOff>16134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8E5116C-D9C6-4D92-BE72-A715B2A05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8786" y="5519384"/>
          <a:ext cx="183168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123246</xdr:colOff>
      <xdr:row>55</xdr:row>
      <xdr:rowOff>146356</xdr:rowOff>
    </xdr:from>
    <xdr:ext cx="158750" cy="158750"/>
    <xdr:pic>
      <xdr:nvPicPr>
        <xdr:cNvPr id="29" name="Imagen 28">
          <a:extLst>
            <a:ext uri="{FF2B5EF4-FFF2-40B4-BE49-F238E27FC236}">
              <a16:creationId xmlns:a16="http://schemas.microsoft.com/office/drawing/2014/main" id="{2A8EF947-C5BB-4C39-BB59-8247BAD9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246" y="9993205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763474</xdr:colOff>
      <xdr:row>41</xdr:row>
      <xdr:rowOff>1474</xdr:rowOff>
    </xdr:from>
    <xdr:ext cx="192088" cy="192088"/>
    <xdr:pic>
      <xdr:nvPicPr>
        <xdr:cNvPr id="30" name="Imagen 29">
          <a:extLst>
            <a:ext uri="{FF2B5EF4-FFF2-40B4-BE49-F238E27FC236}">
              <a16:creationId xmlns:a16="http://schemas.microsoft.com/office/drawing/2014/main" id="{061F10FF-FA0E-444D-8F2F-BBA6BC194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37331" y="7095331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1762125</xdr:colOff>
      <xdr:row>32</xdr:row>
      <xdr:rowOff>0</xdr:rowOff>
    </xdr:from>
    <xdr:to>
      <xdr:col>6</xdr:col>
      <xdr:colOff>870</xdr:colOff>
      <xdr:row>35</xdr:row>
      <xdr:rowOff>83506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D5B84691-6581-469F-AA65-CF8CFFD45A08}"/>
            </a:ext>
          </a:extLst>
        </xdr:cNvPr>
        <xdr:cNvCxnSpPr/>
      </xdr:nvCxnSpPr>
      <xdr:spPr>
        <a:xfrm>
          <a:off x="8167688" y="4937125"/>
          <a:ext cx="556495" cy="7026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5546</xdr:colOff>
      <xdr:row>32</xdr:row>
      <xdr:rowOff>153073</xdr:rowOff>
    </xdr:from>
    <xdr:to>
      <xdr:col>14</xdr:col>
      <xdr:colOff>188714</xdr:colOff>
      <xdr:row>34</xdr:row>
      <xdr:rowOff>15573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736960C-D19D-4D44-9EF1-60EB29AC3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72859" y="4971136"/>
          <a:ext cx="183168" cy="18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188714</xdr:colOff>
      <xdr:row>33</xdr:row>
      <xdr:rowOff>79375</xdr:rowOff>
    </xdr:from>
    <xdr:to>
      <xdr:col>16</xdr:col>
      <xdr:colOff>23812</xdr:colOff>
      <xdr:row>33</xdr:row>
      <xdr:rowOff>84323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6AA8D7B0-6DE7-4832-A324-E34031E62868}"/>
            </a:ext>
          </a:extLst>
        </xdr:cNvPr>
        <xdr:cNvCxnSpPr>
          <a:stCxn id="20" idx="3"/>
        </xdr:cNvCxnSpPr>
      </xdr:nvCxnSpPr>
      <xdr:spPr>
        <a:xfrm flipV="1">
          <a:off x="18056027" y="5056188"/>
          <a:ext cx="1914723" cy="494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127003</xdr:colOff>
      <xdr:row>55</xdr:row>
      <xdr:rowOff>0</xdr:rowOff>
    </xdr:from>
    <xdr:to>
      <xdr:col>0</xdr:col>
      <xdr:colOff>285753</xdr:colOff>
      <xdr:row>56</xdr:row>
      <xdr:rowOff>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88F93C9-A5CD-46A1-8BEB-22ACDB4CD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3" y="885031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380207</xdr:colOff>
      <xdr:row>32</xdr:row>
      <xdr:rowOff>126205</xdr:rowOff>
    </xdr:from>
    <xdr:to>
      <xdr:col>11</xdr:col>
      <xdr:colOff>191295</xdr:colOff>
      <xdr:row>34</xdr:row>
      <xdr:rowOff>793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B2A0CF-1B01-4C3A-AE21-CCE7E74BC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74020" y="5015705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202.505938078706" createdVersion="7" refreshedVersion="7" minRefreshableVersion="3" recordCount="4" xr:uid="{CB867427-E53B-4687-A4E6-C9AE6243B701}">
  <cacheSource type="worksheet">
    <worksheetSource ref="B36:P40" sheet="140.04"/>
  </cacheSource>
  <cacheFields count="15">
    <cacheField name="Nombre del banco" numFmtId="0">
      <sharedItems containsNonDate="0" containsString="0" containsBlank="1"/>
    </cacheField>
    <cacheField name="Partida conciliatoria" numFmtId="0">
      <sharedItems containsNonDate="0" containsBlank="1" count="6">
        <m/>
        <s v="X" u="1"/>
        <s v="Cheque girados y no cobrado" u="1"/>
        <s v="C" u="1"/>
        <s v="V" u="1"/>
        <s v="Beneficiario" u="1"/>
      </sharedItems>
    </cacheField>
    <cacheField name="Fecha " numFmtId="14">
      <sharedItems containsNonDate="0" containsString="0" containsBlank="1"/>
    </cacheField>
    <cacheField name="Beneficiario" numFmtId="0">
      <sharedItems containsNonDate="0" containsString="0" containsBlank="1"/>
    </cacheField>
    <cacheField name="Concepto " numFmtId="0">
      <sharedItems containsNonDate="0" containsString="0" containsBlank="1" count="1">
        <m/>
      </sharedItems>
    </cacheField>
    <cacheField name="Nro. egreso / _x000a_Nro. contable" numFmtId="0">
      <sharedItems containsNonDate="0" containsString="0" containsBlank="1"/>
    </cacheField>
    <cacheField name="Nro. cheque" numFmtId="0">
      <sharedItems containsNonDate="0" containsString="0" containsBlank="1"/>
    </cacheField>
    <cacheField name="Valor" numFmtId="165">
      <sharedItems containsNonDate="0" containsString="0" containsBlank="1"/>
    </cacheField>
    <cacheField name="Días antigüedad" numFmtId="164">
      <sharedItems/>
    </cacheField>
    <cacheField name="X" numFmtId="0">
      <sharedItems containsNonDate="0" containsString="0" containsBlank="1"/>
    </cacheField>
    <cacheField name="Fecha" numFmtId="14">
      <sharedItems containsNonDate="0" containsString="0" containsBlank="1"/>
    </cacheField>
    <cacheField name="Nro. transacción " numFmtId="164">
      <sharedItems containsNonDate="0" containsString="0" containsBlank="1"/>
    </cacheField>
    <cacheField name="Valor " numFmtId="0">
      <sharedItems containsNonDate="0" containsString="0" containsBlank="1"/>
    </cacheField>
    <cacheField name="Diferencia " numFmtId="165">
      <sharedItems containsSemiMixedTypes="0" containsString="0" containsNumber="1" containsInteger="1" minValue="0" maxValue="0"/>
    </cacheField>
    <cacheField name="Regularización " numFmtId="0">
      <sharedItems count="2">
        <s v="Regularizado"/>
        <s v="No regularizado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m/>
    <x v="0"/>
    <m/>
    <m/>
    <x v="0"/>
    <m/>
    <m/>
    <m/>
    <e v="#VALUE!"/>
    <m/>
    <m/>
    <m/>
    <m/>
    <n v="0"/>
    <x v="0"/>
  </r>
  <r>
    <m/>
    <x v="0"/>
    <m/>
    <m/>
    <x v="0"/>
    <m/>
    <m/>
    <m/>
    <e v="#VALUE!"/>
    <m/>
    <m/>
    <m/>
    <m/>
    <n v="0"/>
    <x v="0"/>
  </r>
  <r>
    <m/>
    <x v="0"/>
    <m/>
    <m/>
    <x v="0"/>
    <m/>
    <m/>
    <m/>
    <e v="#VALUE!"/>
    <m/>
    <m/>
    <m/>
    <m/>
    <n v="0"/>
    <x v="0"/>
  </r>
  <r>
    <m/>
    <x v="0"/>
    <m/>
    <m/>
    <x v="0"/>
    <m/>
    <m/>
    <m/>
    <e v="#VALUE!"/>
    <m/>
    <m/>
    <m/>
    <m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D26355-1C58-4596-BD85-2AB09A4CE94A}" name="TablaDinámica4" cacheId="27" applyNumberFormats="0" applyBorderFormats="0" applyFontFormats="0" applyPatternFormats="0" applyAlignmentFormats="0" applyWidthHeightFormats="1" dataCaption="Valores" updatedVersion="7" minRefreshableVersion="3" itemPrintTitles="1" createdVersion="7" indent="0" outline="1" outlineData="1" multipleFieldFilters="0" rowHeaderCaption="Partida conciliatoria">
  <location ref="B48:C49" firstHeaderRow="1" firstDataRow="1" firstDataCol="1" rowPageCount="1" colPageCount="1"/>
  <pivotFields count="15">
    <pivotField showAll="0"/>
    <pivotField axis="axisRow" showAll="0">
      <items count="7">
        <item m="1" x="5"/>
        <item m="1" x="3"/>
        <item m="1" x="4"/>
        <item m="1" x="1"/>
        <item x="0"/>
        <item m="1" x="2"/>
        <item t="default"/>
      </items>
    </pivotField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5" showAll="0"/>
    <pivotField axis="axisPage" multipleItemSelectionAllowed="1" showAll="0">
      <items count="3">
        <item m="1" x="1"/>
        <item h="1" x="0"/>
        <item t="default"/>
      </items>
    </pivotField>
  </pivotFields>
  <rowFields count="1">
    <field x="1"/>
  </rowFields>
  <rowItems count="1">
    <i t="grand">
      <x/>
    </i>
  </rowItems>
  <colItems count="1">
    <i/>
  </colItems>
  <pageFields count="1">
    <pageField fld="14" hier="-1"/>
  </pageFields>
  <dataFields count="1">
    <dataField name="Saldo al _/_/20XX ***(Fecha de revisión)" fld="13" baseField="0" baseItem="0"/>
  </dataFields>
  <formats count="31"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/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4" type="button" dataOnly="0" labelOnly="1" outline="0"/>
    </format>
    <format dxfId="22">
      <pivotArea dataOnly="0" labelOnly="1" grandRow="1" outline="0" fieldPosition="0"/>
    </format>
    <format dxfId="21">
      <pivotArea dataOnly="0" labelOnly="1" outline="0" axis="axisValues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4" type="button" dataOnly="0" labelOnly="1" outline="0"/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  <format dxfId="9">
      <pivotArea field="1" type="button" dataOnly="0" labelOnly="1" outline="0" axis="axisRow" fieldPosition="0"/>
    </format>
    <format dxfId="8">
      <pivotArea dataOnly="0" labelOnly="1" outline="0" axis="axisValues" fieldPosition="0"/>
    </format>
    <format dxfId="7">
      <pivotArea field="1" type="button" dataOnly="0" labelOnly="1" outline="0" axis="axisRow" fieldPosition="0"/>
    </format>
    <format dxfId="6">
      <pivotArea dataOnly="0" labelOnly="1" outline="0" axis="axisValues" fieldPosition="0"/>
    </format>
    <format dxfId="5">
      <pivotArea field="1" type="button" dataOnly="0" labelOnly="1" outline="0" axis="axisRow" fieldPosition="0"/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field="1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420D-A81A-42EC-B7CB-B296A7B563E6}">
  <dimension ref="A3:P79"/>
  <sheetViews>
    <sheetView showGridLines="0" tabSelected="1" zoomScale="80" zoomScaleNormal="80" workbookViewId="0">
      <selection activeCell="P6" sqref="P6"/>
    </sheetView>
  </sheetViews>
  <sheetFormatPr baseColWidth="10" defaultColWidth="11.36328125" defaultRowHeight="12.5" x14ac:dyDescent="0.25"/>
  <cols>
    <col min="1" max="1" width="6.54296875" style="1" customWidth="1"/>
    <col min="2" max="2" width="18.08984375" style="1" customWidth="1"/>
    <col min="3" max="3" width="26.26953125" style="1" customWidth="1"/>
    <col min="4" max="4" width="14.81640625" style="1" customWidth="1"/>
    <col min="5" max="5" width="33.08984375" style="1" customWidth="1"/>
    <col min="6" max="6" width="33.1796875" style="1" customWidth="1"/>
    <col min="7" max="7" width="20.453125" style="1" customWidth="1"/>
    <col min="8" max="8" width="15.1796875" style="1" customWidth="1"/>
    <col min="9" max="9" width="15.6328125" style="1" bestFit="1" customWidth="1"/>
    <col min="10" max="10" width="17.08984375" style="1" customWidth="1"/>
    <col min="11" max="11" width="5.453125" style="1" customWidth="1"/>
    <col min="12" max="12" width="17" style="1" customWidth="1"/>
    <col min="13" max="13" width="18" style="1" customWidth="1"/>
    <col min="14" max="14" width="15" style="1" bestFit="1" customWidth="1"/>
    <col min="15" max="15" width="13.7265625" style="1" bestFit="1" customWidth="1"/>
    <col min="16" max="16" width="16" style="1" customWidth="1"/>
    <col min="17" max="16384" width="11.36328125" style="1"/>
  </cols>
  <sheetData>
    <row r="3" spans="1:16" x14ac:dyDescent="0.25">
      <c r="N3" s="67" t="s">
        <v>13</v>
      </c>
      <c r="O3" s="67" t="s">
        <v>10</v>
      </c>
      <c r="P3" s="68" t="s">
        <v>14</v>
      </c>
    </row>
    <row r="4" spans="1:16" x14ac:dyDescent="0.25">
      <c r="N4" s="75" t="s">
        <v>25</v>
      </c>
      <c r="O4" s="76" t="s">
        <v>25</v>
      </c>
      <c r="P4" s="66" t="s">
        <v>31</v>
      </c>
    </row>
    <row r="5" spans="1:16" x14ac:dyDescent="0.25">
      <c r="C5" s="57"/>
      <c r="D5" s="57"/>
      <c r="E5" s="57"/>
      <c r="F5" s="57"/>
      <c r="G5" s="57"/>
      <c r="H5" s="57"/>
    </row>
    <row r="6" spans="1:16" ht="14.5" x14ac:dyDescent="0.35">
      <c r="B6" s="56" t="s">
        <v>24</v>
      </c>
      <c r="C6" s="53"/>
      <c r="D6" s="53"/>
      <c r="E6" s="53"/>
      <c r="F6" s="53"/>
      <c r="G6" s="52"/>
      <c r="J6"/>
    </row>
    <row r="7" spans="1:16" ht="14.5" x14ac:dyDescent="0.35">
      <c r="B7" s="55" t="s">
        <v>9</v>
      </c>
      <c r="C7" s="45"/>
      <c r="D7" s="53"/>
      <c r="E7" s="53"/>
      <c r="F7" s="53"/>
      <c r="G7" s="52"/>
      <c r="J7"/>
      <c r="K7"/>
    </row>
    <row r="8" spans="1:16" ht="14.5" x14ac:dyDescent="0.35">
      <c r="B8" s="54" t="s">
        <v>26</v>
      </c>
      <c r="C8" s="53"/>
      <c r="D8" s="53"/>
      <c r="E8" s="53"/>
      <c r="F8" s="53"/>
      <c r="G8" s="52"/>
      <c r="J8"/>
      <c r="K8"/>
    </row>
    <row r="9" spans="1:16" ht="14.5" x14ac:dyDescent="0.35">
      <c r="B9" s="54" t="s">
        <v>51</v>
      </c>
      <c r="C9" s="53"/>
      <c r="D9" s="53"/>
      <c r="E9" s="53"/>
      <c r="F9" s="53"/>
      <c r="G9" s="52"/>
      <c r="J9"/>
      <c r="K9"/>
    </row>
    <row r="10" spans="1:16" ht="6" customHeight="1" thickBot="1" x14ac:dyDescent="0.3">
      <c r="A10" s="40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</row>
    <row r="11" spans="1:16" ht="13" thickTop="1" x14ac:dyDescent="0.25">
      <c r="A11" s="40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</row>
    <row r="12" spans="1:16" x14ac:dyDescent="0.25">
      <c r="B12" s="58" t="s">
        <v>8</v>
      </c>
      <c r="C12" s="50"/>
      <c r="D12" s="49"/>
      <c r="E12" s="49"/>
      <c r="F12" s="49"/>
      <c r="G12" s="3"/>
      <c r="H12" s="3"/>
      <c r="I12" s="3"/>
      <c r="J12" s="3"/>
    </row>
    <row r="13" spans="1:16" ht="7" customHeight="1" x14ac:dyDescent="0.25">
      <c r="B13" s="58"/>
      <c r="C13" s="50"/>
      <c r="D13" s="49"/>
      <c r="E13" s="49"/>
      <c r="F13" s="49"/>
      <c r="G13" s="3"/>
      <c r="H13" s="3"/>
      <c r="I13" s="3"/>
      <c r="J13" s="3"/>
    </row>
    <row r="14" spans="1:16" x14ac:dyDescent="0.25">
      <c r="B14" s="51" t="s">
        <v>59</v>
      </c>
      <c r="C14" s="51"/>
      <c r="D14" s="51"/>
      <c r="E14" s="51"/>
      <c r="F14" s="51"/>
      <c r="G14" s="51"/>
      <c r="H14" s="51"/>
      <c r="I14" s="51"/>
      <c r="J14" s="51"/>
    </row>
    <row r="15" spans="1:16" x14ac:dyDescent="0.25">
      <c r="B15" s="51" t="s">
        <v>60</v>
      </c>
      <c r="C15" s="51"/>
      <c r="D15" s="51"/>
      <c r="E15" s="51"/>
      <c r="F15" s="51"/>
      <c r="G15" s="51"/>
      <c r="H15" s="51"/>
      <c r="I15" s="51"/>
      <c r="J15" s="51"/>
    </row>
    <row r="16" spans="1:16" x14ac:dyDescent="0.25">
      <c r="B16" s="51"/>
      <c r="C16" s="51"/>
      <c r="D16" s="51"/>
      <c r="E16" s="51"/>
      <c r="F16" s="51"/>
      <c r="G16" s="51"/>
      <c r="H16" s="51"/>
      <c r="I16" s="51"/>
      <c r="J16" s="51"/>
    </row>
    <row r="17" spans="1:10" x14ac:dyDescent="0.25">
      <c r="B17" s="58" t="s">
        <v>12</v>
      </c>
      <c r="C17" s="38"/>
      <c r="D17" s="51"/>
      <c r="E17" s="51"/>
      <c r="F17" s="51"/>
      <c r="G17" s="51"/>
      <c r="H17" s="51"/>
      <c r="I17" s="51"/>
      <c r="J17" s="51"/>
    </row>
    <row r="18" spans="1:10" ht="7" customHeight="1" x14ac:dyDescent="0.25">
      <c r="B18" s="58"/>
      <c r="C18" s="38"/>
      <c r="D18" s="51"/>
      <c r="E18" s="51"/>
      <c r="F18" s="51"/>
      <c r="G18" s="51"/>
      <c r="H18" s="51"/>
      <c r="I18" s="51"/>
      <c r="J18" s="51"/>
    </row>
    <row r="19" spans="1:10" x14ac:dyDescent="0.25">
      <c r="B19" s="91"/>
      <c r="C19" s="92" t="s">
        <v>41</v>
      </c>
      <c r="D19" s="92" t="s">
        <v>42</v>
      </c>
      <c r="E19" s="51"/>
      <c r="F19" s="51"/>
      <c r="G19" s="51"/>
      <c r="H19" s="51"/>
      <c r="I19" s="51"/>
      <c r="J19" s="51"/>
    </row>
    <row r="20" spans="1:10" x14ac:dyDescent="0.25">
      <c r="B20" s="93" t="s">
        <v>15</v>
      </c>
      <c r="C20" s="94" t="s">
        <v>16</v>
      </c>
      <c r="D20" s="94" t="s">
        <v>16</v>
      </c>
      <c r="E20" s="51"/>
      <c r="F20" s="51"/>
      <c r="G20" s="51"/>
      <c r="H20" s="51"/>
      <c r="I20" s="51"/>
      <c r="J20" s="51"/>
    </row>
    <row r="21" spans="1:10" x14ac:dyDescent="0.25">
      <c r="B21" s="93" t="s">
        <v>17</v>
      </c>
      <c r="C21" s="94" t="s">
        <v>16</v>
      </c>
      <c r="D21" s="94" t="s">
        <v>16</v>
      </c>
      <c r="E21" s="51"/>
      <c r="F21" s="51"/>
      <c r="G21" s="51"/>
      <c r="H21" s="51"/>
      <c r="I21" s="51"/>
      <c r="J21" s="51"/>
    </row>
    <row r="22" spans="1:10" x14ac:dyDescent="0.25">
      <c r="B22" s="93" t="s">
        <v>18</v>
      </c>
      <c r="C22" s="94" t="s">
        <v>16</v>
      </c>
      <c r="D22" s="94" t="s">
        <v>16</v>
      </c>
      <c r="E22" s="51"/>
      <c r="F22" s="51"/>
      <c r="G22" s="51"/>
      <c r="H22" s="51"/>
      <c r="I22" s="51"/>
      <c r="J22" s="51"/>
    </row>
    <row r="23" spans="1:10" x14ac:dyDescent="0.25">
      <c r="B23" s="51"/>
      <c r="C23" s="51"/>
      <c r="D23" s="51"/>
      <c r="E23" s="51"/>
      <c r="F23" s="51"/>
      <c r="G23" s="51"/>
      <c r="H23" s="51"/>
      <c r="I23" s="51"/>
      <c r="J23" s="51"/>
    </row>
    <row r="24" spans="1:10" x14ac:dyDescent="0.25">
      <c r="B24" s="58" t="s">
        <v>19</v>
      </c>
      <c r="C24" s="50"/>
      <c r="D24" s="49"/>
      <c r="E24" s="49"/>
      <c r="F24" s="49"/>
      <c r="G24" s="48"/>
      <c r="H24" s="47"/>
      <c r="I24" s="47"/>
      <c r="J24" s="47"/>
    </row>
    <row r="25" spans="1:10" ht="7" customHeight="1" x14ac:dyDescent="0.25">
      <c r="B25" s="58"/>
      <c r="C25" s="50"/>
      <c r="D25" s="49"/>
      <c r="E25" s="49"/>
      <c r="F25" s="49"/>
      <c r="G25" s="48"/>
      <c r="H25" s="47"/>
      <c r="I25" s="47"/>
      <c r="J25" s="47"/>
    </row>
    <row r="26" spans="1:10" ht="12.9" customHeight="1" x14ac:dyDescent="0.25">
      <c r="A26" s="64" t="s">
        <v>7</v>
      </c>
      <c r="B26" s="46" t="s">
        <v>67</v>
      </c>
      <c r="C26" s="46"/>
      <c r="D26" s="11"/>
      <c r="E26" s="11"/>
      <c r="F26" s="11"/>
      <c r="G26" s="11"/>
      <c r="H26" s="11"/>
      <c r="I26" s="11"/>
      <c r="J26" s="11"/>
    </row>
    <row r="27" spans="1:10" ht="12.9" customHeight="1" x14ac:dyDescent="0.25">
      <c r="A27" s="64" t="s">
        <v>6</v>
      </c>
      <c r="B27" s="46" t="s">
        <v>62</v>
      </c>
      <c r="C27" s="46"/>
      <c r="D27" s="11"/>
      <c r="E27" s="11"/>
      <c r="F27" s="11"/>
      <c r="G27" s="11"/>
      <c r="H27" s="11"/>
      <c r="I27" s="11"/>
      <c r="J27" s="11"/>
    </row>
    <row r="28" spans="1:10" ht="12.9" customHeight="1" x14ac:dyDescent="0.25">
      <c r="A28" s="64" t="s">
        <v>5</v>
      </c>
      <c r="B28" s="38" t="s">
        <v>54</v>
      </c>
      <c r="C28" s="46"/>
      <c r="D28" s="11"/>
      <c r="E28" s="11"/>
      <c r="F28" s="11"/>
      <c r="G28" s="11"/>
      <c r="H28" s="11"/>
      <c r="I28" s="11"/>
      <c r="J28" s="11"/>
    </row>
    <row r="29" spans="1:10" ht="12.9" customHeight="1" x14ac:dyDescent="0.25">
      <c r="A29" s="59"/>
      <c r="B29" s="46"/>
      <c r="C29" s="46"/>
      <c r="D29" s="11"/>
      <c r="E29" s="11"/>
      <c r="F29" s="11"/>
      <c r="G29" s="11"/>
      <c r="H29" s="11"/>
      <c r="I29" s="11"/>
      <c r="J29" s="11"/>
    </row>
    <row r="30" spans="1:10" ht="12.9" customHeight="1" x14ac:dyDescent="0.25">
      <c r="B30" s="46"/>
      <c r="C30" s="46"/>
      <c r="D30" s="11"/>
      <c r="E30" s="11"/>
      <c r="F30" s="11"/>
      <c r="G30" s="11"/>
      <c r="H30" s="11"/>
      <c r="I30" s="11"/>
      <c r="J30" s="11"/>
    </row>
    <row r="31" spans="1:10" x14ac:dyDescent="0.25">
      <c r="B31" s="58" t="s">
        <v>4</v>
      </c>
      <c r="D31" s="45"/>
      <c r="E31" s="45"/>
      <c r="F31" s="45"/>
      <c r="G31" s="45"/>
      <c r="H31" s="45"/>
      <c r="I31" s="45"/>
    </row>
    <row r="32" spans="1:10" x14ac:dyDescent="0.25">
      <c r="B32" s="58"/>
      <c r="C32" s="71"/>
      <c r="D32" s="45"/>
      <c r="F32" s="71" t="s">
        <v>28</v>
      </c>
      <c r="G32" s="45"/>
      <c r="H32" s="45"/>
      <c r="I32" s="45"/>
    </row>
    <row r="33" spans="2:16" x14ac:dyDescent="0.25">
      <c r="B33" s="58"/>
      <c r="D33" s="45"/>
      <c r="E33" s="45"/>
      <c r="F33" s="45"/>
      <c r="G33" s="45"/>
      <c r="H33" s="45"/>
      <c r="I33" s="45"/>
      <c r="J33" s="41" t="s">
        <v>27</v>
      </c>
    </row>
    <row r="34" spans="2:16" x14ac:dyDescent="0.25">
      <c r="B34" s="44"/>
      <c r="C34" s="60"/>
      <c r="D34" s="42"/>
      <c r="E34" s="42"/>
      <c r="F34" s="42"/>
      <c r="G34" s="42"/>
      <c r="H34" s="43"/>
      <c r="I34" s="42"/>
    </row>
    <row r="35" spans="2:16" s="69" customFormat="1" ht="15" customHeight="1" x14ac:dyDescent="0.25">
      <c r="B35" s="105" t="s">
        <v>11</v>
      </c>
      <c r="C35" s="105"/>
      <c r="D35" s="105"/>
      <c r="E35" s="105"/>
      <c r="F35" s="105"/>
      <c r="G35" s="105"/>
      <c r="H35" s="105"/>
      <c r="I35" s="106"/>
      <c r="J35" s="81"/>
      <c r="K35" s="83" t="s">
        <v>46</v>
      </c>
      <c r="L35" s="107" t="s">
        <v>69</v>
      </c>
      <c r="M35" s="107"/>
      <c r="N35" s="108"/>
      <c r="O35" s="96"/>
      <c r="P35" s="82"/>
    </row>
    <row r="36" spans="2:16" s="70" customFormat="1" ht="25" x14ac:dyDescent="0.25">
      <c r="B36" s="72" t="s">
        <v>64</v>
      </c>
      <c r="C36" s="72" t="s">
        <v>3</v>
      </c>
      <c r="D36" s="72" t="s">
        <v>32</v>
      </c>
      <c r="E36" s="72" t="s">
        <v>2</v>
      </c>
      <c r="F36" s="72" t="s">
        <v>1</v>
      </c>
      <c r="G36" s="72" t="s">
        <v>55</v>
      </c>
      <c r="H36" s="72" t="s">
        <v>61</v>
      </c>
      <c r="I36" s="78" t="s">
        <v>0</v>
      </c>
      <c r="J36" s="80" t="s">
        <v>56</v>
      </c>
      <c r="K36" s="83" t="s">
        <v>46</v>
      </c>
      <c r="L36" s="72" t="s">
        <v>58</v>
      </c>
      <c r="M36" s="72" t="s">
        <v>57</v>
      </c>
      <c r="N36" s="78" t="s">
        <v>43</v>
      </c>
      <c r="O36" s="104" t="s">
        <v>45</v>
      </c>
      <c r="P36" s="74" t="s">
        <v>44</v>
      </c>
    </row>
    <row r="37" spans="2:16" s="38" customFormat="1" ht="13.5" customHeight="1" x14ac:dyDescent="0.25">
      <c r="B37" s="27"/>
      <c r="C37" s="34"/>
      <c r="D37" s="37"/>
      <c r="E37" s="34"/>
      <c r="F37" s="35"/>
      <c r="G37" s="32"/>
      <c r="H37" s="39"/>
      <c r="I37" s="30"/>
      <c r="J37" s="79" t="e">
        <f>$J$33-D37</f>
        <v>#VALUE!</v>
      </c>
      <c r="K37" s="29"/>
      <c r="L37" s="97"/>
      <c r="M37" s="98"/>
      <c r="N37" s="99"/>
      <c r="O37" s="100">
        <f>+I37-N37</f>
        <v>0</v>
      </c>
      <c r="P37" s="103" t="str">
        <f>+IF(O37=0,"Regularizado","No regularizado")</f>
        <v>Regularizado</v>
      </c>
    </row>
    <row r="38" spans="2:16" s="36" customFormat="1" ht="13.5" customHeight="1" x14ac:dyDescent="0.25">
      <c r="B38" s="27"/>
      <c r="C38" s="34"/>
      <c r="D38" s="37"/>
      <c r="E38" s="34"/>
      <c r="F38" s="33"/>
      <c r="G38" s="32"/>
      <c r="H38" s="31"/>
      <c r="I38" s="30"/>
      <c r="J38" s="26" t="e">
        <f>$J$33-D38</f>
        <v>#VALUE!</v>
      </c>
      <c r="L38" s="97"/>
      <c r="M38" s="98"/>
      <c r="N38" s="101"/>
      <c r="O38" s="100">
        <f t="shared" ref="O38:O40" si="0">+I38-N38</f>
        <v>0</v>
      </c>
      <c r="P38" s="99" t="str">
        <f t="shared" ref="P38:P40" si="1">+IF(O38=0,"Regularizado","No regularizado")</f>
        <v>Regularizado</v>
      </c>
    </row>
    <row r="39" spans="2:16" s="19" customFormat="1" ht="13.5" customHeight="1" x14ac:dyDescent="0.25">
      <c r="B39" s="27"/>
      <c r="C39" s="34"/>
      <c r="D39" s="28"/>
      <c r="E39" s="34"/>
      <c r="F39" s="35"/>
      <c r="G39" s="32"/>
      <c r="H39" s="31"/>
      <c r="I39" s="30"/>
      <c r="J39" s="26" t="e">
        <f>$J$33-D39</f>
        <v>#VALUE!</v>
      </c>
      <c r="L39" s="97"/>
      <c r="M39" s="98"/>
      <c r="N39" s="102"/>
      <c r="O39" s="100">
        <f t="shared" si="0"/>
        <v>0</v>
      </c>
      <c r="P39" s="99" t="str">
        <f t="shared" si="1"/>
        <v>Regularizado</v>
      </c>
    </row>
    <row r="40" spans="2:16" s="19" customFormat="1" ht="13.5" customHeight="1" x14ac:dyDescent="0.25">
      <c r="B40" s="27"/>
      <c r="C40" s="34"/>
      <c r="D40" s="28"/>
      <c r="E40" s="34"/>
      <c r="F40" s="33"/>
      <c r="G40" s="32"/>
      <c r="H40" s="31"/>
      <c r="I40" s="30"/>
      <c r="J40" s="26" t="e">
        <f>$J$33-D40</f>
        <v>#VALUE!</v>
      </c>
      <c r="L40" s="97"/>
      <c r="M40" s="98"/>
      <c r="N40" s="102"/>
      <c r="O40" s="100">
        <f t="shared" si="0"/>
        <v>0</v>
      </c>
      <c r="P40" s="99" t="str">
        <f t="shared" si="1"/>
        <v>Regularizado</v>
      </c>
    </row>
    <row r="41" spans="2:16" s="19" customFormat="1" ht="6" customHeight="1" x14ac:dyDescent="0.25">
      <c r="F41" s="25"/>
      <c r="G41" s="24"/>
      <c r="H41" s="23"/>
      <c r="I41" s="22"/>
      <c r="J41" s="21"/>
      <c r="K41" s="20"/>
    </row>
    <row r="42" spans="2:16" ht="13" thickBot="1" x14ac:dyDescent="0.3">
      <c r="D42" s="12"/>
      <c r="E42" s="12"/>
      <c r="F42" s="12"/>
      <c r="G42" s="18"/>
      <c r="H42" s="17"/>
      <c r="I42" s="16">
        <f>SUM(I37:I41)</f>
        <v>0</v>
      </c>
      <c r="J42" s="15"/>
    </row>
    <row r="43" spans="2:16" ht="13" thickTop="1" x14ac:dyDescent="0.25">
      <c r="D43" s="12"/>
      <c r="E43" s="12"/>
      <c r="F43" s="12"/>
      <c r="G43" s="18"/>
      <c r="H43" s="17"/>
      <c r="I43" s="13" t="s">
        <v>33</v>
      </c>
      <c r="J43" s="15"/>
    </row>
    <row r="44" spans="2:16" x14ac:dyDescent="0.25">
      <c r="B44" s="95" t="s">
        <v>49</v>
      </c>
      <c r="D44" s="12"/>
      <c r="E44" s="12"/>
      <c r="F44" s="12"/>
      <c r="G44" s="18"/>
      <c r="H44" s="17"/>
      <c r="I44" s="77"/>
      <c r="J44" s="15"/>
    </row>
    <row r="45" spans="2:16" ht="7" customHeight="1" x14ac:dyDescent="0.25">
      <c r="B45" s="85"/>
      <c r="D45" s="12"/>
      <c r="E45" s="12"/>
      <c r="F45" s="12"/>
      <c r="G45" s="18"/>
      <c r="H45" s="17"/>
      <c r="I45" s="77"/>
      <c r="J45" s="15"/>
    </row>
    <row r="46" spans="2:16" x14ac:dyDescent="0.25">
      <c r="B46" s="84" t="s">
        <v>44</v>
      </c>
      <c r="C46" s="84" t="s">
        <v>66</v>
      </c>
      <c r="D46" s="12"/>
      <c r="E46" s="12"/>
      <c r="F46" s="12"/>
      <c r="G46" s="18"/>
      <c r="H46" s="17"/>
      <c r="I46" s="77"/>
      <c r="J46" s="15"/>
    </row>
    <row r="47" spans="2:16" ht="14.5" x14ac:dyDescent="0.35">
      <c r="B47" s="38"/>
      <c r="C47" s="38"/>
      <c r="D47"/>
      <c r="E47" s="12"/>
      <c r="F47" s="12"/>
      <c r="G47" s="18"/>
      <c r="H47" s="17"/>
      <c r="I47" s="77"/>
      <c r="J47" s="15"/>
    </row>
    <row r="48" spans="2:16" ht="26" x14ac:dyDescent="0.35">
      <c r="B48" s="90" t="s">
        <v>3</v>
      </c>
      <c r="C48" s="90" t="s">
        <v>65</v>
      </c>
      <c r="D48"/>
      <c r="E48" s="12"/>
      <c r="F48" s="12"/>
      <c r="G48" s="18"/>
      <c r="H48" s="17"/>
      <c r="I48" s="77"/>
      <c r="J48" s="15"/>
    </row>
    <row r="49" spans="1:10" ht="15" thickBot="1" x14ac:dyDescent="0.4">
      <c r="B49" s="86" t="s">
        <v>47</v>
      </c>
      <c r="C49" s="87"/>
      <c r="D49"/>
      <c r="E49"/>
      <c r="F49"/>
      <c r="G49"/>
      <c r="H49"/>
      <c r="I49"/>
      <c r="J49" s="15"/>
    </row>
    <row r="50" spans="1:10" ht="15" thickTop="1" x14ac:dyDescent="0.35">
      <c r="B50"/>
      <c r="C50"/>
      <c r="D50"/>
      <c r="E50"/>
      <c r="F50"/>
      <c r="G50"/>
      <c r="H50"/>
      <c r="I50"/>
      <c r="J50" s="15"/>
    </row>
    <row r="51" spans="1:10" x14ac:dyDescent="0.25">
      <c r="B51" s="3"/>
      <c r="C51" s="3"/>
      <c r="D51" s="3"/>
      <c r="E51" s="3"/>
      <c r="F51" s="3"/>
      <c r="G51" s="14"/>
      <c r="H51" s="14"/>
      <c r="I51" s="13"/>
      <c r="J51" s="12"/>
    </row>
    <row r="52" spans="1:10" x14ac:dyDescent="0.25">
      <c r="B52" s="58" t="s">
        <v>20</v>
      </c>
      <c r="C52" s="5"/>
      <c r="D52" s="4"/>
      <c r="E52" s="4"/>
      <c r="G52" s="4"/>
      <c r="H52" s="10"/>
    </row>
    <row r="53" spans="1:10" ht="7" customHeight="1" x14ac:dyDescent="0.25">
      <c r="B53" s="58"/>
      <c r="C53" s="5"/>
      <c r="D53" s="4"/>
      <c r="E53" s="4"/>
      <c r="G53" s="4"/>
      <c r="H53" s="10"/>
    </row>
    <row r="54" spans="1:10" x14ac:dyDescent="0.25">
      <c r="A54" s="61"/>
      <c r="B54" s="88" t="s">
        <v>52</v>
      </c>
      <c r="C54" s="9"/>
      <c r="D54" s="8"/>
      <c r="E54" s="8"/>
      <c r="H54" s="3"/>
    </row>
    <row r="55" spans="1:10" x14ac:dyDescent="0.25">
      <c r="A55" s="43"/>
      <c r="B55" s="89" t="s">
        <v>53</v>
      </c>
      <c r="D55" s="6"/>
      <c r="E55" s="6"/>
      <c r="H55" s="3"/>
    </row>
    <row r="56" spans="1:10" x14ac:dyDescent="0.25">
      <c r="A56" s="43"/>
      <c r="B56" s="89" t="s">
        <v>68</v>
      </c>
      <c r="D56" s="6"/>
      <c r="E56" s="6"/>
      <c r="H56" s="3"/>
    </row>
    <row r="57" spans="1:10" x14ac:dyDescent="0.25">
      <c r="A57" s="65"/>
      <c r="B57" s="38" t="s">
        <v>23</v>
      </c>
      <c r="D57" s="6"/>
      <c r="E57" s="6"/>
      <c r="H57" s="3"/>
    </row>
    <row r="58" spans="1:10" x14ac:dyDescent="0.25">
      <c r="A58" s="7"/>
      <c r="D58" s="6"/>
      <c r="E58" s="6"/>
      <c r="H58" s="3"/>
    </row>
    <row r="59" spans="1:10" x14ac:dyDescent="0.25">
      <c r="A59" s="7"/>
      <c r="B59" s="58" t="s">
        <v>63</v>
      </c>
      <c r="D59" s="6"/>
      <c r="E59" s="6"/>
      <c r="H59" s="3"/>
    </row>
    <row r="60" spans="1:10" ht="7" customHeight="1" x14ac:dyDescent="0.25">
      <c r="A60" s="7"/>
      <c r="B60" s="58"/>
      <c r="D60" s="6"/>
      <c r="E60" s="6"/>
      <c r="H60" s="3"/>
    </row>
    <row r="61" spans="1:10" x14ac:dyDescent="0.25">
      <c r="A61" s="7" t="s">
        <v>22</v>
      </c>
      <c r="D61" s="6"/>
      <c r="E61" s="6"/>
      <c r="H61" s="3"/>
    </row>
    <row r="62" spans="1:10" x14ac:dyDescent="0.25">
      <c r="A62" s="7" t="s">
        <v>50</v>
      </c>
      <c r="D62" s="6"/>
      <c r="E62" s="6"/>
      <c r="H62" s="3"/>
    </row>
    <row r="63" spans="1:10" x14ac:dyDescent="0.25">
      <c r="A63" s="7" t="s">
        <v>48</v>
      </c>
      <c r="D63" s="6"/>
      <c r="E63" s="6"/>
      <c r="H63" s="3"/>
    </row>
    <row r="64" spans="1:10" x14ac:dyDescent="0.25">
      <c r="A64" s="7"/>
      <c r="D64" s="6"/>
      <c r="E64" s="6"/>
      <c r="H64" s="3"/>
    </row>
    <row r="65" spans="1:10" x14ac:dyDescent="0.25">
      <c r="A65" s="7"/>
      <c r="B65" s="58" t="s">
        <v>29</v>
      </c>
      <c r="D65" s="6"/>
      <c r="E65" s="6"/>
      <c r="H65" s="3"/>
    </row>
    <row r="66" spans="1:10" ht="7" customHeight="1" x14ac:dyDescent="0.25">
      <c r="A66" s="7"/>
      <c r="B66" s="58"/>
      <c r="D66" s="6"/>
      <c r="E66" s="6"/>
      <c r="H66" s="3"/>
    </row>
    <row r="67" spans="1:10" x14ac:dyDescent="0.25">
      <c r="A67" s="7" t="s">
        <v>34</v>
      </c>
      <c r="B67" s="58"/>
      <c r="D67" s="6"/>
      <c r="E67" s="6"/>
      <c r="H67" s="3"/>
    </row>
    <row r="68" spans="1:10" x14ac:dyDescent="0.25">
      <c r="A68" s="7" t="s">
        <v>35</v>
      </c>
      <c r="B68" s="58"/>
      <c r="D68" s="6"/>
      <c r="E68" s="6"/>
      <c r="H68" s="3"/>
    </row>
    <row r="69" spans="1:10" x14ac:dyDescent="0.25">
      <c r="A69" s="7" t="s">
        <v>36</v>
      </c>
      <c r="B69" s="38"/>
      <c r="D69" s="6"/>
      <c r="E69" s="6"/>
      <c r="H69" s="3"/>
    </row>
    <row r="70" spans="1:10" x14ac:dyDescent="0.25">
      <c r="A70" s="7"/>
      <c r="B70" s="65"/>
      <c r="D70" s="6"/>
      <c r="E70" s="6"/>
      <c r="H70" s="3"/>
    </row>
    <row r="71" spans="1:10" x14ac:dyDescent="0.25">
      <c r="A71" s="7"/>
      <c r="B71" s="58" t="s">
        <v>30</v>
      </c>
      <c r="D71" s="6"/>
      <c r="E71" s="6"/>
      <c r="H71" s="3"/>
    </row>
    <row r="72" spans="1:10" x14ac:dyDescent="0.25">
      <c r="A72" s="7" t="s">
        <v>37</v>
      </c>
      <c r="B72" s="58"/>
      <c r="D72" s="6"/>
      <c r="E72" s="6"/>
      <c r="H72" s="3"/>
    </row>
    <row r="73" spans="1:10" x14ac:dyDescent="0.25">
      <c r="A73" s="7" t="s">
        <v>38</v>
      </c>
      <c r="B73" s="58"/>
      <c r="D73" s="6"/>
      <c r="E73" s="6"/>
      <c r="H73" s="3"/>
    </row>
    <row r="74" spans="1:10" x14ac:dyDescent="0.25">
      <c r="A74" s="7" t="s">
        <v>39</v>
      </c>
      <c r="B74" s="58"/>
      <c r="D74" s="6"/>
      <c r="E74" s="6"/>
      <c r="H74" s="3"/>
    </row>
    <row r="75" spans="1:10" x14ac:dyDescent="0.25">
      <c r="A75" s="7"/>
      <c r="D75" s="6"/>
      <c r="E75" s="6"/>
      <c r="H75" s="3"/>
    </row>
    <row r="76" spans="1:10" x14ac:dyDescent="0.25">
      <c r="B76" s="58" t="s">
        <v>21</v>
      </c>
      <c r="C76" s="5"/>
      <c r="D76" s="4"/>
      <c r="E76" s="4"/>
      <c r="F76" s="3"/>
      <c r="H76" s="3"/>
      <c r="I76" s="3"/>
      <c r="J76" s="3"/>
    </row>
    <row r="77" spans="1:10" ht="7" customHeight="1" x14ac:dyDescent="0.25">
      <c r="B77" s="58"/>
      <c r="C77" s="5"/>
      <c r="D77" s="4"/>
      <c r="E77" s="4"/>
      <c r="F77" s="3"/>
      <c r="H77" s="3"/>
      <c r="I77" s="3"/>
      <c r="J77" s="3"/>
    </row>
    <row r="78" spans="1:10" ht="15" customHeight="1" x14ac:dyDescent="0.25">
      <c r="B78" s="73" t="s">
        <v>40</v>
      </c>
      <c r="C78" s="2"/>
      <c r="D78" s="3"/>
      <c r="E78" s="3"/>
      <c r="H78" s="2"/>
      <c r="I78" s="2"/>
      <c r="J78" s="2"/>
    </row>
    <row r="79" spans="1:10" x14ac:dyDescent="0.25">
      <c r="B79" s="3"/>
      <c r="C79" s="3"/>
      <c r="D79" s="3"/>
      <c r="E79" s="3"/>
      <c r="F79" s="3"/>
      <c r="G79" s="2"/>
      <c r="H79" s="2"/>
      <c r="I79" s="2"/>
      <c r="J79" s="2"/>
    </row>
  </sheetData>
  <mergeCells count="2">
    <mergeCell ref="B35:I35"/>
    <mergeCell ref="L35:N35"/>
  </mergeCell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140.04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Estefany Ortiz</dc:creator>
  <cp:lastModifiedBy>Admin</cp:lastModifiedBy>
  <dcterms:created xsi:type="dcterms:W3CDTF">2023-08-23T17:21:37Z</dcterms:created>
  <dcterms:modified xsi:type="dcterms:W3CDTF">2026-04-16T23:55:33Z</dcterms:modified>
</cp:coreProperties>
</file>