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8. Inversiones en acciones\"/>
    </mc:Choice>
  </mc:AlternateContent>
  <xr:revisionPtr revIDLastSave="0" documentId="13_ncr:1_{C2505DEA-7A08-49E2-8BB3-8C19F0282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.03" sheetId="2" r:id="rId1"/>
  </sheets>
  <definedNames>
    <definedName name="_xlnm._FilterDatabase" localSheetId="0" hidden="1">'20.03'!$B$40:$U$49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3" i="2" l="1"/>
  <c r="D84" i="2" s="1"/>
  <c r="O40" i="2"/>
  <c r="P40" i="2"/>
  <c r="K49" i="2"/>
  <c r="Q40" i="2" l="1"/>
  <c r="I47" i="2"/>
  <c r="I46" i="2"/>
  <c r="I45" i="2"/>
  <c r="I44" i="2"/>
  <c r="I43" i="2"/>
  <c r="S43" i="2" s="1"/>
  <c r="I42" i="2"/>
  <c r="I41" i="2"/>
  <c r="S42" i="2" l="1"/>
  <c r="D64" i="2" l="1"/>
  <c r="R49" i="2" l="1"/>
  <c r="S47" i="2"/>
  <c r="S46" i="2"/>
  <c r="S45" i="2"/>
  <c r="S41" i="2"/>
  <c r="O44" i="2" l="1"/>
  <c r="O43" i="2"/>
  <c r="T43" i="2" s="1"/>
  <c r="O42" i="2"/>
  <c r="T42" i="2" s="1"/>
  <c r="O41" i="2"/>
  <c r="P47" i="2"/>
  <c r="P46" i="2"/>
  <c r="P45" i="2"/>
  <c r="P44" i="2"/>
  <c r="P43" i="2"/>
  <c r="P42" i="2"/>
  <c r="P41" i="2"/>
  <c r="Q41" i="2" l="1"/>
  <c r="T41" i="2"/>
  <c r="Q44" i="2"/>
  <c r="Q43" i="2"/>
  <c r="P49" i="2"/>
  <c r="D74" i="2" s="1"/>
  <c r="D75" i="2" s="1"/>
  <c r="Q42" i="2"/>
  <c r="J49" i="2" l="1"/>
  <c r="I40" i="2"/>
  <c r="S44" i="2"/>
  <c r="T44" i="2" s="1"/>
  <c r="M49" i="2"/>
  <c r="S40" i="2" l="1"/>
  <c r="T40" i="2" s="1"/>
  <c r="O45" i="2"/>
  <c r="T45" i="2" s="1"/>
  <c r="O47" i="2"/>
  <c r="T47" i="2" s="1"/>
  <c r="O46" i="2"/>
  <c r="T46" i="2" s="1"/>
  <c r="S49" i="2"/>
  <c r="L49" i="2"/>
  <c r="N49" i="2"/>
  <c r="Q47" i="2" l="1"/>
  <c r="Q46" i="2"/>
  <c r="Q45" i="2"/>
  <c r="O49" i="2"/>
  <c r="Q49" i="2" l="1"/>
  <c r="D66" i="2" s="1"/>
  <c r="T49" i="2"/>
  <c r="D67" i="2" l="1"/>
</calcChain>
</file>

<file path=xl/sharedStrings.xml><?xml version="1.0" encoding="utf-8"?>
<sst xmlns="http://schemas.openxmlformats.org/spreadsheetml/2006/main" count="116" uniqueCount="92">
  <si>
    <t>Preparado por:</t>
  </si>
  <si>
    <t>Revisado por:</t>
  </si>
  <si>
    <t>Objetivo:</t>
  </si>
  <si>
    <t>Procedimientos:</t>
  </si>
  <si>
    <t xml:space="preserve"> </t>
  </si>
  <si>
    <t>Compañía</t>
  </si>
  <si>
    <t>%</t>
  </si>
  <si>
    <t>(+) Aportes</t>
  </si>
  <si>
    <t>Estado RUC</t>
  </si>
  <si>
    <t>Total capital</t>
  </si>
  <si>
    <t>RUC</t>
  </si>
  <si>
    <t>1.-</t>
  </si>
  <si>
    <t>2.-</t>
  </si>
  <si>
    <t>(-) Deterioro</t>
  </si>
  <si>
    <t>(-) Liquidaciones</t>
  </si>
  <si>
    <t>Diferencia</t>
  </si>
  <si>
    <t xml:space="preserve">Desarrollo: </t>
  </si>
  <si>
    <t>Base de decisión: Materialidad</t>
  </si>
  <si>
    <t>Marcas de auditoría:</t>
  </si>
  <si>
    <t>COMPAÑÍA MODELO S.A.</t>
  </si>
  <si>
    <t>AL 31 DE DICIEMBRE DE 20XX</t>
  </si>
  <si>
    <t>XX</t>
  </si>
  <si>
    <t>Ref.</t>
  </si>
  <si>
    <t>General</t>
  </si>
  <si>
    <t>XXX.XXX</t>
  </si>
  <si>
    <t>Desempeño</t>
  </si>
  <si>
    <t>Errores Triviales</t>
  </si>
  <si>
    <t xml:space="preserve">  </t>
  </si>
  <si>
    <t xml:space="preserve">***Las filas dependen del número de inversiones en acciones que tiene la Compañía Modelo S.A. </t>
  </si>
  <si>
    <t>p/t 20</t>
  </si>
  <si>
    <t>[1]</t>
  </si>
  <si>
    <t>Preliminar</t>
  </si>
  <si>
    <t xml:space="preserve">Final </t>
  </si>
  <si>
    <t>Deterioro</t>
  </si>
  <si>
    <t xml:space="preserve">Ajuste 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</si>
  <si>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</si>
  <si>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</si>
  <si>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</si>
  <si>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</si>
  <si>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</si>
  <si>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</si>
  <si>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</si>
  <si>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</si>
  <si>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</si>
  <si>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***Concluir en función al objetivo</t>
  </si>
  <si>
    <t xml:space="preserve">Código cuenta contable </t>
  </si>
  <si>
    <t xml:space="preserve">Nombre cuenta contable </t>
  </si>
  <si>
    <t>Saldo según movimiento</t>
  </si>
  <si>
    <t>p/t 1600</t>
  </si>
  <si>
    <t>[2]</t>
  </si>
  <si>
    <t>FECHA DE CORTE: _/_/20XX</t>
  </si>
  <si>
    <t>MOVIMIENTO DE INVERSIONES EN ACCIONES</t>
  </si>
  <si>
    <t xml:space="preserve">Conciliar los saldos del detalle y del recálculo con los estados financieros. </t>
  </si>
  <si>
    <t>Documentar el papel de trabajo y concluir en base al objetivo.</t>
  </si>
  <si>
    <t>3.-</t>
  </si>
  <si>
    <t>4.-</t>
  </si>
  <si>
    <t>5.-</t>
  </si>
  <si>
    <t>Situación legal SCVS</t>
  </si>
  <si>
    <t xml:space="preserve">Datos generales </t>
  </si>
  <si>
    <t xml:space="preserve">Acciones en compañía </t>
  </si>
  <si>
    <t>Saldo según EEFF al _/_/20XX</t>
  </si>
  <si>
    <t xml:space="preserve">Movimiento </t>
  </si>
  <si>
    <t>Saldo según EEFF al  _/_/20XX</t>
  </si>
  <si>
    <t xml:space="preserve">Patrimonio asociada </t>
  </si>
  <si>
    <t xml:space="preserve">Verificar la integridad, exactitud y presentación de los saldos de inversiones en acciones que mantiene la Compañía al _/_/20XX </t>
  </si>
  <si>
    <t>[3]</t>
  </si>
  <si>
    <t xml:space="preserve">Cruce con estados financieros </t>
  </si>
  <si>
    <t xml:space="preserve">Saldo según recálculo </t>
  </si>
  <si>
    <t xml:space="preserve">2) Cruce deterioro vs estado de resultados </t>
  </si>
  <si>
    <t>Información proporcionada por el cliente</t>
  </si>
  <si>
    <t xml:space="preserve">Sumatoria </t>
  </si>
  <si>
    <t>Tomado de mayores contables al 31/xx/20xx (Año de revisión)</t>
  </si>
  <si>
    <t>Cálculos de Auditoría</t>
  </si>
  <si>
    <t>Según Estado Financiero al 31/12/202x (Año anterior)</t>
  </si>
  <si>
    <t>Según Estado Financiero al 31/12/202x (Año de revisión)</t>
  </si>
  <si>
    <t>A</t>
  </si>
  <si>
    <t>B</t>
  </si>
  <si>
    <t>C</t>
  </si>
  <si>
    <t>6.-</t>
  </si>
  <si>
    <t>Realizar el recálculo del VPP.</t>
  </si>
  <si>
    <t>Deterioro VPP</t>
  </si>
  <si>
    <t>1) Cruce de inversiones en acciones vs estado de situación financiera</t>
  </si>
  <si>
    <t>3) Cruce VPP vs estado de situación financiera</t>
  </si>
  <si>
    <t>Solicitar a la Compañía los estados financieros al _/_/20XX.</t>
  </si>
  <si>
    <t>Solicitar a la Compañía el detalle de las inversiones en acciones que mantiene al _/_/20XX.</t>
  </si>
  <si>
    <t>Realizar el movimiento de la cuenta de inversiones en acciones.</t>
  </si>
  <si>
    <t>Código cuenta contable</t>
  </si>
  <si>
    <t xml:space="preserve">Inversión </t>
  </si>
  <si>
    <t>Patrimonio acciones</t>
  </si>
  <si>
    <t>Verificar la valuación del deterioro de inversiones en acciones al _/_/20XX.</t>
  </si>
  <si>
    <t>Verificaciones:</t>
  </si>
  <si>
    <t>20.03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</si>
</sst>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.000%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4" tint="-0.499984740745262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u/>
      <sz val="10"/>
      <color rgb="FF0000CC"/>
      <name val="Tahoma"/>
      <family val="2"/>
    </font>
    <font>
      <b/>
      <sz val="10"/>
      <color rgb="FF002060"/>
      <name val="Tahoma"/>
      <family val="2"/>
    </font>
    <font>
      <sz val="10"/>
      <color rgb="FFFF0000"/>
      <name val="Tahoma"/>
      <family val="2"/>
    </font>
    <font>
      <sz val="10"/>
      <color rgb="FF000000"/>
      <name val="Tahoma"/>
      <family val="2"/>
    </font>
    <font>
      <b/>
      <sz val="10"/>
      <color theme="4" tint="-0.249977111117893"/>
      <name val="Tahoma"/>
      <family val="2"/>
    </font>
    <font>
      <b/>
      <u/>
      <sz val="10"/>
      <color rgb="FF0000FF"/>
      <name val="Tahoma"/>
      <family val="2"/>
    </font>
    <font>
      <sz val="11"/>
      <color theme="1"/>
      <name val="Calibri"/>
      <family val="2"/>
    </font>
    <font>
      <b/>
      <sz val="10"/>
      <color rgb="FF0000FF"/>
      <name val="Tahoma"/>
      <family val="2"/>
    </font>
    <font>
      <sz val="10"/>
      <color rgb="FF002060"/>
      <name val="Tahoma"/>
      <family val="2"/>
    </font>
    <font>
      <b/>
      <sz val="10"/>
      <color rgb="FF000099"/>
      <name val="Tahoma"/>
      <family val="2"/>
    </font>
    <font>
      <sz val="10"/>
      <color rgb="FF0000CC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ck">
        <color theme="4" tint="-0.499984740745262"/>
      </bottom>
      <diagonal/>
    </border>
  </borders>
  <cellStyleXfs count="18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73">
    <xf numFmtId="0" fontId="0" fillId="0" borderId="0" xfId="0"/>
    <xf numFmtId="0" fontId="6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11" fillId="3" borderId="0" xfId="3" applyFont="1" applyFill="1"/>
    <xf numFmtId="164" fontId="11" fillId="3" borderId="0" xfId="3" applyNumberFormat="1" applyFont="1" applyFill="1"/>
    <xf numFmtId="0" fontId="13" fillId="3" borderId="0" xfId="3" applyFont="1" applyFill="1"/>
    <xf numFmtId="0" fontId="11" fillId="2" borderId="0" xfId="3" applyFont="1" applyFill="1"/>
    <xf numFmtId="0" fontId="12" fillId="2" borderId="0" xfId="0" applyFont="1" applyFill="1"/>
    <xf numFmtId="0" fontId="12" fillId="3" borderId="0" xfId="0" applyFont="1" applyFill="1"/>
    <xf numFmtId="0" fontId="12" fillId="3" borderId="0" xfId="0" applyFont="1" applyFill="1" applyAlignment="1">
      <alignment wrapText="1"/>
    </xf>
    <xf numFmtId="0" fontId="12" fillId="3" borderId="0" xfId="0" applyFont="1" applyFill="1" applyAlignment="1">
      <alignment horizontal="left" wrapText="1"/>
    </xf>
    <xf numFmtId="164" fontId="10" fillId="2" borderId="0" xfId="3" applyNumberFormat="1" applyFont="1" applyFill="1" applyAlignment="1">
      <alignment horizontal="left"/>
    </xf>
    <xf numFmtId="166" fontId="11" fillId="2" borderId="0" xfId="5" applyNumberFormat="1" applyFont="1" applyFill="1" applyAlignment="1">
      <alignment horizontal="left"/>
    </xf>
    <xf numFmtId="165" fontId="11" fillId="2" borderId="0" xfId="5" applyFont="1" applyFill="1" applyAlignment="1">
      <alignment horizontal="left"/>
    </xf>
    <xf numFmtId="164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left"/>
    </xf>
    <xf numFmtId="164" fontId="12" fillId="2" borderId="0" xfId="3" applyNumberFormat="1" applyFont="1" applyFill="1" applyAlignment="1"/>
    <xf numFmtId="164" fontId="15" fillId="2" borderId="0" xfId="3" applyNumberFormat="1" applyFont="1" applyFill="1" applyAlignment="1">
      <alignment horizontal="left"/>
    </xf>
    <xf numFmtId="0" fontId="16" fillId="2" borderId="0" xfId="4" applyFont="1" applyFill="1"/>
    <xf numFmtId="0" fontId="16" fillId="2" borderId="0" xfId="4" applyFont="1" applyFill="1" applyAlignment="1"/>
    <xf numFmtId="0" fontId="16" fillId="2" borderId="0" xfId="4" applyFont="1" applyFill="1" applyAlignment="1">
      <alignment wrapText="1"/>
    </xf>
    <xf numFmtId="164" fontId="10" fillId="2" borderId="0" xfId="3" applyNumberFormat="1" applyFont="1" applyFill="1" applyAlignment="1">
      <alignment horizontal="center"/>
    </xf>
    <xf numFmtId="0" fontId="12" fillId="2" borderId="0" xfId="3" applyFont="1" applyFill="1" applyAlignment="1">
      <alignment vertical="center"/>
    </xf>
    <xf numFmtId="0" fontId="9" fillId="0" borderId="1" xfId="7" applyFont="1" applyBorder="1" applyAlignment="1">
      <alignment horizontal="left" vertical="center"/>
    </xf>
    <xf numFmtId="0" fontId="9" fillId="2" borderId="0" xfId="0" applyFont="1" applyFill="1"/>
    <xf numFmtId="49" fontId="9" fillId="2" borderId="1" xfId="0" applyNumberFormat="1" applyFont="1" applyFill="1" applyBorder="1" applyAlignment="1">
      <alignment horizontal="left"/>
    </xf>
    <xf numFmtId="0" fontId="9" fillId="2" borderId="1" xfId="7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8" applyFont="1" applyFill="1"/>
    <xf numFmtId="0" fontId="12" fillId="0" borderId="1" xfId="0" applyFont="1" applyFill="1" applyBorder="1" applyAlignment="1">
      <alignment horizontal="left" vertical="center"/>
    </xf>
    <xf numFmtId="0" fontId="9" fillId="0" borderId="1" xfId="7" applyFont="1" applyFill="1" applyBorder="1" applyAlignment="1">
      <alignment vertical="center" wrapText="1"/>
    </xf>
    <xf numFmtId="0" fontId="9" fillId="0" borderId="1" xfId="7" applyFont="1" applyFill="1" applyBorder="1" applyAlignment="1">
      <alignment horizontal="left" vertical="center"/>
    </xf>
    <xf numFmtId="167" fontId="9" fillId="2" borderId="1" xfId="1" applyNumberFormat="1" applyFont="1" applyFill="1" applyBorder="1" applyAlignment="1">
      <alignment horizontal="right" vertical="center" wrapText="1"/>
    </xf>
    <xf numFmtId="0" fontId="1" fillId="0" borderId="0" xfId="0" applyFont="1"/>
    <xf numFmtId="166" fontId="11" fillId="0" borderId="0" xfId="5" applyNumberFormat="1" applyFont="1" applyFill="1" applyAlignment="1">
      <alignment horizontal="left"/>
    </xf>
    <xf numFmtId="164" fontId="12" fillId="0" borderId="0" xfId="3" applyNumberFormat="1" applyFont="1" applyFill="1" applyAlignment="1">
      <alignment horizontal="center"/>
    </xf>
    <xf numFmtId="0" fontId="10" fillId="2" borderId="0" xfId="0" applyFont="1" applyFill="1" applyAlignment="1">
      <alignment horizontal="right"/>
    </xf>
    <xf numFmtId="0" fontId="10" fillId="2" borderId="0" xfId="0" applyFont="1" applyFill="1"/>
    <xf numFmtId="14" fontId="9" fillId="2" borderId="0" xfId="2" applyNumberFormat="1" applyFont="1" applyFill="1" applyBorder="1" applyAlignment="1">
      <alignment horizontal="center" vertical="center" wrapText="1"/>
    </xf>
    <xf numFmtId="0" fontId="10" fillId="2" borderId="0" xfId="2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left"/>
    </xf>
    <xf numFmtId="0" fontId="1" fillId="0" borderId="1" xfId="0" applyFont="1" applyBorder="1"/>
    <xf numFmtId="49" fontId="1" fillId="2" borderId="1" xfId="0" applyNumberFormat="1" applyFont="1" applyFill="1" applyBorder="1" applyAlignment="1">
      <alignment horizontal="left" vertical="center"/>
    </xf>
    <xf numFmtId="0" fontId="1" fillId="2" borderId="0" xfId="0" applyFont="1" applyFill="1" applyBorder="1"/>
    <xf numFmtId="49" fontId="1" fillId="2" borderId="0" xfId="0" applyNumberFormat="1" applyFont="1" applyFill="1"/>
    <xf numFmtId="0" fontId="1" fillId="2" borderId="0" xfId="0" applyFont="1" applyFill="1" applyAlignment="1"/>
    <xf numFmtId="0" fontId="1" fillId="0" borderId="0" xfId="0" applyFont="1" applyFill="1"/>
    <xf numFmtId="166" fontId="1" fillId="0" borderId="0" xfId="0" applyNumberFormat="1" applyFont="1" applyFill="1"/>
    <xf numFmtId="0" fontId="10" fillId="2" borderId="1" xfId="0" applyFont="1" applyFill="1" applyBorder="1"/>
    <xf numFmtId="0" fontId="9" fillId="2" borderId="1" xfId="0" applyFont="1" applyFill="1" applyBorder="1"/>
    <xf numFmtId="166" fontId="12" fillId="0" borderId="1" xfId="6" applyNumberFormat="1" applyFont="1" applyFill="1" applyBorder="1" applyAlignment="1">
      <alignment horizontal="right" vertical="top" wrapText="1"/>
    </xf>
    <xf numFmtId="166" fontId="9" fillId="0" borderId="1" xfId="0" applyNumberFormat="1" applyFont="1" applyFill="1" applyBorder="1" applyAlignment="1">
      <alignment horizontal="center" vertical="center" wrapText="1"/>
    </xf>
    <xf numFmtId="166" fontId="9" fillId="0" borderId="0" xfId="0" applyNumberFormat="1" applyFont="1" applyFill="1" applyBorder="1" applyAlignment="1">
      <alignment horizontal="center" vertical="center" wrapText="1"/>
    </xf>
    <xf numFmtId="166" fontId="9" fillId="0" borderId="1" xfId="6" applyNumberFormat="1" applyFont="1" applyFill="1" applyBorder="1" applyAlignment="1">
      <alignment horizontal="right" vertical="top" wrapText="1"/>
    </xf>
    <xf numFmtId="166" fontId="9" fillId="2" borderId="0" xfId="0" applyNumberFormat="1" applyFont="1" applyFill="1"/>
    <xf numFmtId="166" fontId="12" fillId="0" borderId="0" xfId="3" applyNumberFormat="1" applyFont="1" applyFill="1" applyAlignment="1">
      <alignment horizontal="center"/>
    </xf>
    <xf numFmtId="166" fontId="12" fillId="2" borderId="0" xfId="3" applyNumberFormat="1" applyFont="1" applyFill="1" applyAlignment="1">
      <alignment horizontal="center"/>
    </xf>
    <xf numFmtId="14" fontId="1" fillId="2" borderId="0" xfId="0" applyNumberFormat="1" applyFont="1" applyFill="1"/>
    <xf numFmtId="166" fontId="1" fillId="0" borderId="0" xfId="0" applyNumberFormat="1" applyFont="1"/>
    <xf numFmtId="166" fontId="1" fillId="0" borderId="0" xfId="5" applyNumberFormat="1" applyFont="1" applyFill="1" applyBorder="1" applyAlignment="1">
      <alignment horizontal="left"/>
    </xf>
    <xf numFmtId="164" fontId="15" fillId="0" borderId="0" xfId="3" applyNumberFormat="1" applyFont="1" applyFill="1" applyAlignment="1">
      <alignment horizontal="left"/>
    </xf>
    <xf numFmtId="4" fontId="9" fillId="2" borderId="0" xfId="0" applyNumberFormat="1" applyFont="1" applyFill="1"/>
    <xf numFmtId="4" fontId="1" fillId="2" borderId="0" xfId="0" applyNumberFormat="1" applyFont="1" applyFill="1"/>
    <xf numFmtId="0" fontId="14" fillId="2" borderId="0" xfId="0" applyFont="1" applyFill="1" applyAlignment="1" applyProtection="1">
      <alignment horizontal="left" vertical="center"/>
      <protection hidden="1"/>
    </xf>
    <xf numFmtId="0" fontId="14" fillId="0" borderId="0" xfId="0" applyFont="1" applyAlignment="1">
      <alignment horizontal="left" vertical="top"/>
    </xf>
    <xf numFmtId="0" fontId="1" fillId="0" borderId="0" xfId="0" applyFont="1" applyBorder="1"/>
    <xf numFmtId="49" fontId="9" fillId="2" borderId="0" xfId="0" applyNumberFormat="1" applyFont="1" applyFill="1" applyBorder="1" applyAlignment="1">
      <alignment horizontal="left"/>
    </xf>
    <xf numFmtId="0" fontId="9" fillId="0" borderId="0" xfId="7" applyFont="1" applyBorder="1" applyAlignment="1">
      <alignment horizontal="left" vertical="center"/>
    </xf>
    <xf numFmtId="0" fontId="9" fillId="0" borderId="0" xfId="7" applyFont="1" applyBorder="1" applyAlignment="1">
      <alignment horizontal="center" vertical="center"/>
    </xf>
    <xf numFmtId="0" fontId="9" fillId="2" borderId="0" xfId="7" applyFont="1" applyFill="1" applyBorder="1" applyAlignment="1">
      <alignment vertical="center" wrapText="1"/>
    </xf>
    <xf numFmtId="43" fontId="9" fillId="0" borderId="0" xfId="6" applyFont="1" applyBorder="1" applyAlignment="1">
      <alignment horizontal="left" vertical="center"/>
    </xf>
    <xf numFmtId="167" fontId="9" fillId="2" borderId="0" xfId="1" applyNumberFormat="1" applyFont="1" applyFill="1" applyBorder="1" applyAlignment="1">
      <alignment horizontal="right" vertical="center" wrapText="1"/>
    </xf>
    <xf numFmtId="166" fontId="9" fillId="0" borderId="0" xfId="6" applyNumberFormat="1" applyFont="1" applyFill="1" applyBorder="1" applyAlignment="1">
      <alignment horizontal="right" vertical="top" wrapText="1"/>
    </xf>
    <xf numFmtId="166" fontId="12" fillId="0" borderId="0" xfId="6" applyNumberFormat="1" applyFont="1" applyFill="1" applyBorder="1" applyAlignment="1">
      <alignment horizontal="right" vertical="top" wrapText="1"/>
    </xf>
    <xf numFmtId="166" fontId="17" fillId="0" borderId="0" xfId="0" applyNumberFormat="1" applyFont="1" applyFill="1" applyBorder="1" applyAlignment="1">
      <alignment horizontal="center" vertical="center" wrapText="1"/>
    </xf>
    <xf numFmtId="166" fontId="17" fillId="0" borderId="0" xfId="6" applyNumberFormat="1" applyFont="1" applyFill="1" applyBorder="1" applyAlignment="1">
      <alignment horizontal="center" vertical="center" wrapText="1"/>
    </xf>
    <xf numFmtId="166" fontId="9" fillId="2" borderId="0" xfId="0" applyNumberFormat="1" applyFont="1" applyFill="1" applyBorder="1"/>
    <xf numFmtId="0" fontId="9" fillId="2" borderId="0" xfId="0" applyFont="1" applyFill="1" applyBorder="1"/>
    <xf numFmtId="4" fontId="9" fillId="2" borderId="0" xfId="0" applyNumberFormat="1" applyFont="1" applyFill="1" applyBorder="1"/>
    <xf numFmtId="166" fontId="8" fillId="0" borderId="5" xfId="6" applyNumberFormat="1" applyFont="1" applyFill="1" applyBorder="1" applyAlignment="1">
      <alignment vertical="center"/>
    </xf>
    <xf numFmtId="166" fontId="8" fillId="0" borderId="5" xfId="0" applyNumberFormat="1" applyFont="1" applyFill="1" applyBorder="1" applyAlignment="1">
      <alignment vertical="center"/>
    </xf>
    <xf numFmtId="166" fontId="1" fillId="0" borderId="1" xfId="0" applyNumberFormat="1" applyFont="1" applyFill="1" applyBorder="1" applyAlignment="1">
      <alignment horizontal="center" vertical="center" wrapText="1"/>
    </xf>
    <xf numFmtId="166" fontId="1" fillId="0" borderId="1" xfId="6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 applyBorder="1" applyAlignment="1">
      <alignment horizontal="left"/>
    </xf>
    <xf numFmtId="166" fontId="10" fillId="2" borderId="0" xfId="0" applyNumberFormat="1" applyFont="1" applyFill="1" applyAlignment="1">
      <alignment horizontal="right"/>
    </xf>
    <xf numFmtId="164" fontId="10" fillId="0" borderId="0" xfId="3" applyNumberFormat="1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43" fontId="9" fillId="0" borderId="3" xfId="6" applyFont="1" applyBorder="1" applyAlignment="1">
      <alignment horizontal="left" vertical="center"/>
    </xf>
    <xf numFmtId="0" fontId="9" fillId="2" borderId="2" xfId="7" applyFont="1" applyFill="1" applyBorder="1" applyAlignment="1">
      <alignment vertical="center" wrapText="1"/>
    </xf>
    <xf numFmtId="0" fontId="9" fillId="0" borderId="2" xfId="7" applyFont="1" applyBorder="1" applyAlignment="1">
      <alignment horizontal="left" vertical="center"/>
    </xf>
    <xf numFmtId="164" fontId="10" fillId="2" borderId="0" xfId="3" applyNumberFormat="1" applyFont="1" applyFill="1" applyAlignment="1"/>
    <xf numFmtId="43" fontId="9" fillId="0" borderId="6" xfId="6" applyFont="1" applyBorder="1" applyAlignment="1">
      <alignment horizontal="left" vertical="center"/>
    </xf>
    <xf numFmtId="0" fontId="18" fillId="0" borderId="0" xfId="0" applyFont="1"/>
    <xf numFmtId="0" fontId="13" fillId="2" borderId="0" xfId="10" applyFont="1" applyFill="1" applyAlignment="1">
      <alignment horizontal="left"/>
    </xf>
    <xf numFmtId="0" fontId="14" fillId="0" borderId="0" xfId="12" applyFont="1" applyAlignment="1" applyProtection="1">
      <alignment horizontal="left" vertical="center"/>
      <protection hidden="1"/>
    </xf>
    <xf numFmtId="0" fontId="8" fillId="0" borderId="0" xfId="13" applyFont="1"/>
    <xf numFmtId="0" fontId="14" fillId="2" borderId="0" xfId="0" applyFont="1" applyFill="1" applyAlignment="1">
      <alignment horizontal="left" vertical="top"/>
    </xf>
    <xf numFmtId="0" fontId="14" fillId="4" borderId="2" xfId="0" applyFont="1" applyFill="1" applyBorder="1" applyAlignment="1" applyProtection="1">
      <alignment horizontal="center" vertical="center"/>
      <protection hidden="1"/>
    </xf>
    <xf numFmtId="0" fontId="14" fillId="4" borderId="1" xfId="0" applyFont="1" applyFill="1" applyBorder="1" applyAlignment="1" applyProtection="1">
      <alignment horizontal="center" vertical="center"/>
      <protection hidden="1"/>
    </xf>
    <xf numFmtId="0" fontId="1" fillId="0" borderId="1" xfId="6" applyNumberFormat="1" applyFont="1" applyFill="1" applyBorder="1" applyAlignment="1">
      <alignment horizontal="center" vertical="center" wrapText="1"/>
    </xf>
    <xf numFmtId="0" fontId="10" fillId="3" borderId="1" xfId="14" applyFont="1" applyFill="1" applyBorder="1" applyAlignment="1">
      <alignment horizontal="center" vertical="center" wrapText="1"/>
    </xf>
    <xf numFmtId="0" fontId="15" fillId="0" borderId="1" xfId="0" applyFont="1" applyBorder="1"/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166" fontId="1" fillId="0" borderId="5" xfId="0" applyNumberFormat="1" applyFont="1" applyBorder="1"/>
    <xf numFmtId="0" fontId="1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0" fontId="1" fillId="0" borderId="1" xfId="14" applyFont="1" applyBorder="1" applyAlignment="1">
      <alignment horizontal="center" vertical="center" wrapText="1"/>
    </xf>
    <xf numFmtId="0" fontId="1" fillId="3" borderId="1" xfId="14" applyFont="1" applyFill="1" applyBorder="1" applyAlignment="1">
      <alignment horizontal="center" vertical="center" wrapText="1"/>
    </xf>
    <xf numFmtId="0" fontId="21" fillId="2" borderId="0" xfId="0" applyFont="1" applyFill="1"/>
    <xf numFmtId="0" fontId="21" fillId="2" borderId="0" xfId="0" applyFont="1" applyFill="1" applyAlignment="1">
      <alignment wrapText="1"/>
    </xf>
    <xf numFmtId="0" fontId="14" fillId="4" borderId="1" xfId="3" applyFont="1" applyFill="1" applyBorder="1" applyAlignment="1">
      <alignment horizontal="center" vertical="center" wrapText="1"/>
    </xf>
    <xf numFmtId="0" fontId="10" fillId="0" borderId="0" xfId="15" applyFont="1" applyAlignment="1">
      <alignment horizontal="center" vertical="center"/>
    </xf>
    <xf numFmtId="0" fontId="10" fillId="2" borderId="0" xfId="4" applyFont="1" applyFill="1" applyAlignment="1">
      <alignment horizontal="center"/>
    </xf>
    <xf numFmtId="0" fontId="1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5" fillId="0" borderId="0" xfId="0" applyFont="1"/>
    <xf numFmtId="0" fontId="1" fillId="2" borderId="1" xfId="0" applyFont="1" applyFill="1" applyBorder="1" applyAlignment="1">
      <alignment horizontal="left"/>
    </xf>
    <xf numFmtId="166" fontId="1" fillId="0" borderId="1" xfId="5" applyNumberFormat="1" applyFont="1" applyFill="1" applyBorder="1" applyAlignment="1">
      <alignment horizontal="left"/>
    </xf>
    <xf numFmtId="0" fontId="15" fillId="2" borderId="1" xfId="0" applyFont="1" applyFill="1" applyBorder="1"/>
    <xf numFmtId="0" fontId="21" fillId="0" borderId="0" xfId="0" applyFont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3" borderId="0" xfId="3" applyFont="1" applyFill="1"/>
    <xf numFmtId="0" fontId="9" fillId="0" borderId="0" xfId="16" applyFont="1"/>
    <xf numFmtId="0" fontId="1" fillId="2" borderId="0" xfId="0" applyFont="1" applyFill="1" applyAlignment="1">
      <alignment vertical="top"/>
    </xf>
    <xf numFmtId="0" fontId="14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165" fontId="11" fillId="0" borderId="0" xfId="5" applyFont="1" applyFill="1" applyAlignment="1">
      <alignment horizontal="left"/>
    </xf>
    <xf numFmtId="0" fontId="7" fillId="0" borderId="0" xfId="0" applyFont="1" applyAlignment="1">
      <alignment vertical="center"/>
    </xf>
    <xf numFmtId="0" fontId="7" fillId="0" borderId="0" xfId="0" applyFont="1"/>
    <xf numFmtId="0" fontId="12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22" fillId="0" borderId="0" xfId="0" applyFont="1"/>
    <xf numFmtId="0" fontId="12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43" fontId="1" fillId="2" borderId="1" xfId="6" applyFont="1" applyFill="1" applyBorder="1" applyAlignment="1"/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43" fontId="1" fillId="2" borderId="0" xfId="6" applyFont="1" applyFill="1" applyBorder="1" applyAlignment="1"/>
    <xf numFmtId="43" fontId="23" fillId="2" borderId="0" xfId="6" applyFont="1" applyFill="1" applyBorder="1" applyAlignment="1"/>
    <xf numFmtId="0" fontId="20" fillId="0" borderId="0" xfId="0" applyFont="1" applyAlignment="1">
      <alignment horizontal="left"/>
    </xf>
    <xf numFmtId="166" fontId="1" fillId="0" borderId="0" xfId="0" applyNumberFormat="1" applyFont="1" applyBorder="1"/>
    <xf numFmtId="166" fontId="15" fillId="0" borderId="0" xfId="0" applyNumberFormat="1" applyFont="1" applyBorder="1"/>
    <xf numFmtId="0" fontId="9" fillId="0" borderId="0" xfId="17" applyFont="1"/>
    <xf numFmtId="0" fontId="1" fillId="2" borderId="0" xfId="0" applyFont="1" applyFill="1" applyAlignment="1">
      <alignment vertical="center"/>
    </xf>
    <xf numFmtId="0" fontId="10" fillId="0" borderId="0" xfId="0" applyFont="1"/>
    <xf numFmtId="0" fontId="9" fillId="2" borderId="0" xfId="10" applyFont="1" applyFill="1" applyAlignment="1">
      <alignment horizontal="left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/>
    <xf numFmtId="0" fontId="9" fillId="0" borderId="1" xfId="4" applyFont="1" applyBorder="1" applyAlignment="1">
      <alignment horizontal="center"/>
    </xf>
    <xf numFmtId="0" fontId="1" fillId="0" borderId="0" xfId="14" applyFont="1" applyBorder="1" applyAlignment="1">
      <alignment horizontal="center" vertical="center" wrapText="1"/>
    </xf>
    <xf numFmtId="0" fontId="1" fillId="3" borderId="0" xfId="14" applyFont="1" applyFill="1" applyBorder="1" applyAlignment="1">
      <alignment horizontal="center" vertical="center" wrapText="1"/>
    </xf>
    <xf numFmtId="0" fontId="10" fillId="3" borderId="0" xfId="14" applyFont="1" applyFill="1" applyBorder="1" applyAlignment="1">
      <alignment horizontal="center" vertical="center" wrapText="1"/>
    </xf>
    <xf numFmtId="166" fontId="10" fillId="0" borderId="5" xfId="0" applyNumberFormat="1" applyFont="1" applyBorder="1"/>
    <xf numFmtId="43" fontId="10" fillId="2" borderId="0" xfId="6" applyFont="1" applyFill="1" applyAlignment="1">
      <alignment horizontal="right"/>
    </xf>
    <xf numFmtId="43" fontId="10" fillId="2" borderId="5" xfId="6" applyFont="1" applyFill="1" applyBorder="1" applyAlignment="1"/>
    <xf numFmtId="0" fontId="14" fillId="5" borderId="2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</cellXfs>
  <cellStyles count="18">
    <cellStyle name="Hipervínculo" xfId="7" builtinId="8"/>
    <cellStyle name="Millares" xfId="6" builtinId="3"/>
    <cellStyle name="Millares 2" xfId="5" xr:uid="{00000000-0005-0000-0000-000002000000}"/>
    <cellStyle name="Millares 2 5" xfId="9" xr:uid="{0C147E20-88ED-4DCE-8C4D-C3185081BE4E}"/>
    <cellStyle name="Millares 4 2" xfId="11" xr:uid="{6BD61D56-602A-4CFF-B6D6-873CF81328E3}"/>
    <cellStyle name="Normal" xfId="0" builtinId="0"/>
    <cellStyle name="Normal 17 2" xfId="17" xr:uid="{73D393F4-F725-472B-AD14-49AEBBC18CC7}"/>
    <cellStyle name="Normal 2 10" xfId="4" xr:uid="{00000000-0005-0000-0000-000004000000}"/>
    <cellStyle name="Normal 2 2" xfId="2" xr:uid="{00000000-0005-0000-0000-000005000000}"/>
    <cellStyle name="Normal 2 2 2 10" xfId="15" xr:uid="{B203C58D-6E89-4571-94B1-C77B5465A2C5}"/>
    <cellStyle name="Normal 2 2 2 2" xfId="14" xr:uid="{89201AE8-1FB4-4B34-A910-149316FBBEDC}"/>
    <cellStyle name="Normal 2 3 2 5" xfId="16" xr:uid="{5567BBDB-3A96-4040-84BC-0F4387A2406A}"/>
    <cellStyle name="Normal 6" xfId="8" xr:uid="{E627BBE6-EDC1-4F6C-AC17-3F7232F0A4B7}"/>
    <cellStyle name="Normal 7" xfId="12" xr:uid="{8BC4034F-54F6-47A4-A303-29014254F56B}"/>
    <cellStyle name="Normal_2102 Sumaria de Efectivo y Equivalentes" xfId="3" xr:uid="{00000000-0005-0000-0000-000006000000}"/>
    <cellStyle name="Normal_2102.1.1 Analisis de Partidas Conciliatorias" xfId="10" xr:uid="{2552FF74-B0F8-404A-9572-22218B61142D}"/>
    <cellStyle name="Normal_Revisión deinversiones o bligatorias-09" xfId="13" xr:uid="{D0171B5C-7164-4788-8BBE-2C578BCE51A0}"/>
    <cellStyle name="Porcentaje" xfId="1" builtinId="5"/>
  </cellStyles>
  <dxfs count="0"/>
  <tableStyles count="0" defaultTableStyle="TableStyleMedium2" defaultPivotStyle="PivotStyleLight16"/>
  <colors>
    <mruColors>
      <color rgb="FFDDEBF7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632540</xdr:colOff>
      <xdr:row>47</xdr:row>
      <xdr:rowOff>68976</xdr:rowOff>
    </xdr:from>
    <xdr:ext cx="211297" cy="211297"/>
    <xdr:pic>
      <xdr:nvPicPr>
        <xdr:cNvPr id="3" name="Imagen 2">
          <a:extLst>
            <a:ext uri="{FF2B5EF4-FFF2-40B4-BE49-F238E27FC236}">
              <a16:creationId xmlns:a16="http://schemas.microsoft.com/office/drawing/2014/main" id="{3B59CE76-4D75-4B7A-9ACD-62F249ACB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4915" y="773660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240587</xdr:colOff>
      <xdr:row>90</xdr:row>
      <xdr:rowOff>2461</xdr:rowOff>
    </xdr:from>
    <xdr:ext cx="174625" cy="174625"/>
    <xdr:pic>
      <xdr:nvPicPr>
        <xdr:cNvPr id="4" name="Imagen 3">
          <a:extLst>
            <a:ext uri="{FF2B5EF4-FFF2-40B4-BE49-F238E27FC236}">
              <a16:creationId xmlns:a16="http://schemas.microsoft.com/office/drawing/2014/main" id="{66257B69-6E30-4E42-8938-E7AFCC48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587" y="10868899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561102</xdr:colOff>
      <xdr:row>35</xdr:row>
      <xdr:rowOff>164227</xdr:rowOff>
    </xdr:from>
    <xdr:to>
      <xdr:col>1</xdr:col>
      <xdr:colOff>185024</xdr:colOff>
      <xdr:row>37</xdr:row>
      <xdr:rowOff>26274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D0FFF29-63EE-4071-AD71-272E58FBE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102" y="5061665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185024</xdr:colOff>
      <xdr:row>36</xdr:row>
      <xdr:rowOff>79375</xdr:rowOff>
    </xdr:from>
    <xdr:to>
      <xdr:col>8</xdr:col>
      <xdr:colOff>881062</xdr:colOff>
      <xdr:row>36</xdr:row>
      <xdr:rowOff>79376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164C7D23-FE3A-40C0-AF02-8D6474B4E099}"/>
            </a:ext>
          </a:extLst>
        </xdr:cNvPr>
        <xdr:cNvCxnSpPr>
          <a:stCxn id="5" idx="3"/>
        </xdr:cNvCxnSpPr>
      </xdr:nvCxnSpPr>
      <xdr:spPr>
        <a:xfrm flipV="1">
          <a:off x="772399" y="5167313"/>
          <a:ext cx="10895726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248523</xdr:colOff>
      <xdr:row>88</xdr:row>
      <xdr:rowOff>129461</xdr:rowOff>
    </xdr:from>
    <xdr:to>
      <xdr:col>0</xdr:col>
      <xdr:colOff>423148</xdr:colOff>
      <xdr:row>90</xdr:row>
      <xdr:rowOff>19923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E1D8AF9-5FED-42D6-BCF7-BEE73FE59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523" y="14742399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1304601</xdr:colOff>
      <xdr:row>35</xdr:row>
      <xdr:rowOff>129849</xdr:rowOff>
    </xdr:from>
    <xdr:to>
      <xdr:col>11</xdr:col>
      <xdr:colOff>227340</xdr:colOff>
      <xdr:row>37</xdr:row>
      <xdr:rowOff>13026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C046EB9-E335-4624-8C81-18826319F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726" y="5424162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227340</xdr:colOff>
      <xdr:row>36</xdr:row>
      <xdr:rowOff>55562</xdr:rowOff>
    </xdr:from>
    <xdr:to>
      <xdr:col>13</xdr:col>
      <xdr:colOff>1135062</xdr:colOff>
      <xdr:row>36</xdr:row>
      <xdr:rowOff>55563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7ED9B165-E2B0-4383-80EE-DA8C4A7A1460}"/>
            </a:ext>
          </a:extLst>
        </xdr:cNvPr>
        <xdr:cNvCxnSpPr>
          <a:stCxn id="9" idx="3"/>
        </xdr:cNvCxnSpPr>
      </xdr:nvCxnSpPr>
      <xdr:spPr>
        <a:xfrm flipV="1">
          <a:off x="13840153" y="5540375"/>
          <a:ext cx="3304847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232655</xdr:colOff>
      <xdr:row>91</xdr:row>
      <xdr:rowOff>18336</xdr:rowOff>
    </xdr:from>
    <xdr:to>
      <xdr:col>0</xdr:col>
      <xdr:colOff>407280</xdr:colOff>
      <xdr:row>92</xdr:row>
      <xdr:rowOff>34211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1284E5A-5C2C-4E5B-B293-9A6D0A9D7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655" y="13035836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26662</xdr:colOff>
      <xdr:row>35</xdr:row>
      <xdr:rowOff>153662</xdr:rowOff>
    </xdr:from>
    <xdr:to>
      <xdr:col>17</xdr:col>
      <xdr:colOff>259089</xdr:colOff>
      <xdr:row>37</xdr:row>
      <xdr:rowOff>36839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D0C27CC-3F06-4ADB-A49D-F101C158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475" y="5606725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259089</xdr:colOff>
      <xdr:row>36</xdr:row>
      <xdr:rowOff>79376</xdr:rowOff>
    </xdr:from>
    <xdr:to>
      <xdr:col>20</xdr:col>
      <xdr:colOff>0</xdr:colOff>
      <xdr:row>36</xdr:row>
      <xdr:rowOff>79376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39105EDE-4EC9-4FD0-B8E2-14DADF3188F1}"/>
            </a:ext>
          </a:extLst>
        </xdr:cNvPr>
        <xdr:cNvCxnSpPr>
          <a:stCxn id="14" idx="3"/>
        </xdr:cNvCxnSpPr>
      </xdr:nvCxnSpPr>
      <xdr:spPr>
        <a:xfrm>
          <a:off x="21110902" y="5722939"/>
          <a:ext cx="3027036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231860</xdr:colOff>
      <xdr:row>92</xdr:row>
      <xdr:rowOff>9604</xdr:rowOff>
    </xdr:from>
    <xdr:to>
      <xdr:col>0</xdr:col>
      <xdr:colOff>423948</xdr:colOff>
      <xdr:row>93</xdr:row>
      <xdr:rowOff>42942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D970E63-9265-4813-90DB-E7E561CF8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860" y="1318585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1581865</xdr:colOff>
      <xdr:row>62</xdr:row>
      <xdr:rowOff>53102</xdr:rowOff>
    </xdr:from>
    <xdr:ext cx="211297" cy="211297"/>
    <xdr:pic>
      <xdr:nvPicPr>
        <xdr:cNvPr id="18" name="Imagen 17">
          <a:extLst>
            <a:ext uri="{FF2B5EF4-FFF2-40B4-BE49-F238E27FC236}">
              <a16:creationId xmlns:a16="http://schemas.microsoft.com/office/drawing/2014/main" id="{7AC07652-7BA9-4B64-9E6B-7EF8108F6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7990" y="10443290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9</xdr:col>
      <xdr:colOff>0</xdr:colOff>
      <xdr:row>35</xdr:row>
      <xdr:rowOff>158748</xdr:rowOff>
    </xdr:from>
    <xdr:to>
      <xdr:col>9</xdr:col>
      <xdr:colOff>211297</xdr:colOff>
      <xdr:row>37</xdr:row>
      <xdr:rowOff>15672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2E41F4E-FF93-4CE8-AD8D-BB315E5A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438" y="5453061"/>
          <a:ext cx="211297" cy="206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211297</xdr:colOff>
      <xdr:row>36</xdr:row>
      <xdr:rowOff>55563</xdr:rowOff>
    </xdr:from>
    <xdr:to>
      <xdr:col>10</xdr:col>
      <xdr:colOff>1304601</xdr:colOff>
      <xdr:row>36</xdr:row>
      <xdr:rowOff>71335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AAAD3CCD-96BA-4B03-869F-9271C90DE12F}"/>
            </a:ext>
          </a:extLst>
        </xdr:cNvPr>
        <xdr:cNvCxnSpPr>
          <a:stCxn id="23" idx="3"/>
          <a:endCxn id="9" idx="1"/>
        </xdr:cNvCxnSpPr>
      </xdr:nvCxnSpPr>
      <xdr:spPr>
        <a:xfrm flipV="1">
          <a:off x="11204735" y="5540376"/>
          <a:ext cx="2402991" cy="1577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43333</xdr:colOff>
      <xdr:row>35</xdr:row>
      <xdr:rowOff>138579</xdr:rowOff>
    </xdr:from>
    <xdr:to>
      <xdr:col>14</xdr:col>
      <xdr:colOff>275760</xdr:colOff>
      <xdr:row>37</xdr:row>
      <xdr:rowOff>21756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E0A6C7B-222A-41F9-B782-C47DB825D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1833" y="5591642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275760</xdr:colOff>
      <xdr:row>36</xdr:row>
      <xdr:rowOff>64293</xdr:rowOff>
    </xdr:from>
    <xdr:to>
      <xdr:col>17</xdr:col>
      <xdr:colOff>26662</xdr:colOff>
      <xdr:row>36</xdr:row>
      <xdr:rowOff>79376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E98C5FAA-A3D0-4D1D-AA33-1181AAF9C49C}"/>
            </a:ext>
          </a:extLst>
        </xdr:cNvPr>
        <xdr:cNvCxnSpPr>
          <a:stCxn id="27" idx="3"/>
          <a:endCxn id="14" idx="1"/>
        </xdr:cNvCxnSpPr>
      </xdr:nvCxnSpPr>
      <xdr:spPr>
        <a:xfrm>
          <a:off x="17484260" y="5707856"/>
          <a:ext cx="3394215" cy="15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231249</xdr:colOff>
      <xdr:row>93</xdr:row>
      <xdr:rowOff>16933</xdr:rowOff>
    </xdr:from>
    <xdr:to>
      <xdr:col>0</xdr:col>
      <xdr:colOff>411249</xdr:colOff>
      <xdr:row>94</xdr:row>
      <xdr:rowOff>38183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334619FB-56C1-44BC-9F93-151120E0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249" y="15542683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223052</xdr:colOff>
      <xdr:row>94</xdr:row>
      <xdr:rowOff>16669</xdr:rowOff>
    </xdr:from>
    <xdr:to>
      <xdr:col>0</xdr:col>
      <xdr:colOff>403052</xdr:colOff>
      <xdr:row>95</xdr:row>
      <xdr:rowOff>37919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5F94CB7D-C244-429D-A710-7B799EEB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052" y="15701169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7"/>
  <sheetViews>
    <sheetView showGridLines="0" tabSelected="1" zoomScale="80" zoomScaleNormal="80" workbookViewId="0">
      <selection activeCell="D106" sqref="D106"/>
    </sheetView>
  </sheetViews>
  <sheetFormatPr baseColWidth="10" defaultColWidth="11.453125" defaultRowHeight="12.5" x14ac:dyDescent="0.25"/>
  <cols>
    <col min="1" max="1" width="8.453125" style="31" customWidth="1"/>
    <col min="2" max="2" width="20.453125" style="31" customWidth="1"/>
    <col min="3" max="3" width="26.1796875" style="31" customWidth="1"/>
    <col min="4" max="4" width="26.1796875" style="32" customWidth="1"/>
    <col min="5" max="5" width="13" style="32" bestFit="1" customWidth="1"/>
    <col min="6" max="6" width="15.36328125" style="32" bestFit="1" customWidth="1"/>
    <col min="7" max="7" width="13.81640625" style="32" customWidth="1"/>
    <col min="8" max="8" width="15.1796875" style="32" customWidth="1"/>
    <col min="9" max="9" width="13.1796875" style="32" customWidth="1"/>
    <col min="10" max="11" width="18.81640625" style="32" customWidth="1"/>
    <col min="12" max="14" width="17.1796875" style="32" customWidth="1"/>
    <col min="15" max="15" width="19.1796875" style="32" customWidth="1"/>
    <col min="16" max="16" width="15.81640625" style="31" customWidth="1"/>
    <col min="17" max="17" width="17.1796875" style="31" customWidth="1"/>
    <col min="18" max="18" width="16.81640625" style="31" customWidth="1"/>
    <col min="19" max="19" width="15.1796875" style="31" customWidth="1"/>
    <col min="20" max="20" width="15" style="31" customWidth="1"/>
    <col min="21" max="16384" width="11.453125" style="31"/>
  </cols>
  <sheetData>
    <row r="1" spans="1:20" x14ac:dyDescent="0.25"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20" x14ac:dyDescent="0.25"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20" x14ac:dyDescent="0.25"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R3" s="106" t="s">
        <v>0</v>
      </c>
      <c r="S3" s="106" t="s">
        <v>1</v>
      </c>
      <c r="T3" s="107" t="s">
        <v>22</v>
      </c>
    </row>
    <row r="4" spans="1:20" x14ac:dyDescent="0.25"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R4" s="116" t="s">
        <v>21</v>
      </c>
      <c r="S4" s="117" t="s">
        <v>21</v>
      </c>
      <c r="T4" s="109" t="s">
        <v>91</v>
      </c>
    </row>
    <row r="5" spans="1:20" x14ac:dyDescent="0.25"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R5" s="163"/>
      <c r="S5" s="164"/>
      <c r="T5" s="165"/>
    </row>
    <row r="6" spans="1:20" x14ac:dyDescent="0.25">
      <c r="B6" s="70" t="s">
        <v>19</v>
      </c>
      <c r="E6" s="1"/>
      <c r="F6" s="1"/>
      <c r="G6" s="1"/>
      <c r="H6" s="1"/>
      <c r="I6" s="136"/>
      <c r="J6" s="2"/>
      <c r="K6" s="2"/>
      <c r="L6" s="2"/>
      <c r="M6" s="2"/>
      <c r="N6" s="2"/>
      <c r="O6" s="2"/>
      <c r="P6" s="2"/>
      <c r="Q6" s="2"/>
    </row>
    <row r="7" spans="1:20" ht="15" customHeight="1" x14ac:dyDescent="0.25">
      <c r="B7" s="71" t="s">
        <v>51</v>
      </c>
      <c r="E7" s="3"/>
      <c r="F7" s="3"/>
      <c r="G7" s="3"/>
      <c r="H7" s="3"/>
      <c r="I7" s="136"/>
      <c r="J7" s="2"/>
      <c r="K7" s="2"/>
      <c r="L7" s="2"/>
      <c r="M7" s="2"/>
    </row>
    <row r="8" spans="1:20" x14ac:dyDescent="0.25">
      <c r="B8" s="103" t="s">
        <v>20</v>
      </c>
      <c r="C8" s="104"/>
      <c r="E8" s="4"/>
      <c r="F8" s="4"/>
      <c r="G8" s="4"/>
      <c r="H8" s="4"/>
      <c r="I8" s="136"/>
      <c r="J8" s="2"/>
      <c r="K8" s="2"/>
      <c r="L8" s="2"/>
      <c r="M8" s="2"/>
      <c r="O8" s="43"/>
      <c r="P8" s="44"/>
      <c r="Q8" s="45"/>
    </row>
    <row r="9" spans="1:20" x14ac:dyDescent="0.25">
      <c r="B9" s="105" t="s">
        <v>50</v>
      </c>
      <c r="C9" s="104"/>
      <c r="E9" s="4"/>
      <c r="F9" s="4"/>
      <c r="G9" s="4"/>
      <c r="H9" s="4"/>
      <c r="I9" s="136"/>
      <c r="J9" s="2"/>
      <c r="K9" s="2"/>
      <c r="L9" s="2"/>
      <c r="M9" s="2"/>
      <c r="O9" s="43"/>
      <c r="P9" s="44"/>
      <c r="Q9" s="45"/>
    </row>
    <row r="10" spans="1:20" ht="5" customHeight="1" thickBot="1" x14ac:dyDescent="0.3"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</row>
    <row r="11" spans="1:20" ht="13" thickTop="1" x14ac:dyDescent="0.25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</row>
    <row r="12" spans="1:20" x14ac:dyDescent="0.25">
      <c r="B12" s="101" t="s">
        <v>2</v>
      </c>
      <c r="E12" s="7"/>
      <c r="F12" s="7"/>
      <c r="G12" s="7"/>
      <c r="H12" s="7"/>
      <c r="I12" s="5"/>
      <c r="J12" s="6"/>
      <c r="K12" s="6"/>
      <c r="L12" s="6"/>
      <c r="M12" s="6"/>
      <c r="N12" s="6"/>
      <c r="O12" s="6"/>
      <c r="P12" s="5"/>
      <c r="Q12" s="5"/>
      <c r="R12" s="5"/>
      <c r="S12" s="8"/>
      <c r="T12" s="8"/>
    </row>
    <row r="13" spans="1:20" ht="7" customHeight="1" x14ac:dyDescent="0.25">
      <c r="B13" s="101"/>
      <c r="E13" s="7"/>
      <c r="F13" s="7"/>
      <c r="G13" s="7"/>
      <c r="H13" s="7"/>
      <c r="I13" s="5"/>
      <c r="J13" s="6"/>
      <c r="K13" s="6"/>
      <c r="L13" s="6"/>
      <c r="M13" s="6"/>
      <c r="N13" s="6"/>
      <c r="O13" s="6"/>
      <c r="P13" s="5"/>
      <c r="Q13" s="5"/>
      <c r="R13" s="5"/>
      <c r="S13" s="8"/>
      <c r="T13" s="8"/>
    </row>
    <row r="14" spans="1:20" x14ac:dyDescent="0.25">
      <c r="A14" s="114"/>
      <c r="B14" s="38" t="s">
        <v>64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9"/>
      <c r="T14" s="9"/>
    </row>
    <row r="15" spans="1:20" x14ac:dyDescent="0.25">
      <c r="A15" s="114"/>
      <c r="B15" s="53" t="s">
        <v>89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9"/>
      <c r="T15" s="9"/>
    </row>
    <row r="16" spans="1:20" ht="15" customHeight="1" x14ac:dyDescent="0.25">
      <c r="A16" s="114"/>
      <c r="B16" s="21"/>
      <c r="C16" s="31" t="s">
        <v>4</v>
      </c>
      <c r="E16" s="21"/>
      <c r="F16" s="21"/>
      <c r="G16" s="21"/>
      <c r="H16" s="21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9"/>
      <c r="T16" s="10"/>
    </row>
    <row r="17" spans="1:20" ht="15" customHeight="1" x14ac:dyDescent="0.25">
      <c r="A17" s="114"/>
      <c r="B17" s="101" t="s">
        <v>17</v>
      </c>
      <c r="C17" s="38"/>
      <c r="E17" s="21"/>
      <c r="F17" s="21"/>
      <c r="G17" s="21"/>
      <c r="H17" s="21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9"/>
      <c r="T17" s="10"/>
    </row>
    <row r="18" spans="1:20" ht="7" customHeight="1" x14ac:dyDescent="0.25">
      <c r="A18" s="114"/>
      <c r="B18" s="102"/>
      <c r="C18" s="38"/>
      <c r="E18" s="21"/>
      <c r="F18" s="21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9"/>
      <c r="T18" s="10"/>
    </row>
    <row r="19" spans="1:20" ht="15" customHeight="1" x14ac:dyDescent="0.25">
      <c r="A19" s="114"/>
      <c r="B19" s="159" t="s">
        <v>4</v>
      </c>
      <c r="C19" s="160" t="s">
        <v>31</v>
      </c>
      <c r="D19" s="160" t="s">
        <v>32</v>
      </c>
      <c r="E19" s="21"/>
      <c r="F19" s="21"/>
      <c r="G19" s="21"/>
      <c r="H19" s="21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9"/>
      <c r="T19" s="10"/>
    </row>
    <row r="20" spans="1:20" ht="15" customHeight="1" x14ac:dyDescent="0.25">
      <c r="A20" s="114"/>
      <c r="B20" s="161" t="s">
        <v>23</v>
      </c>
      <c r="C20" s="162" t="s">
        <v>24</v>
      </c>
      <c r="D20" s="162" t="s">
        <v>24</v>
      </c>
      <c r="E20" s="21"/>
      <c r="F20" s="21"/>
      <c r="G20" s="21"/>
      <c r="H20" s="21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9"/>
      <c r="T20" s="10"/>
    </row>
    <row r="21" spans="1:20" ht="15" customHeight="1" x14ac:dyDescent="0.25">
      <c r="A21" s="114"/>
      <c r="B21" s="161" t="s">
        <v>25</v>
      </c>
      <c r="C21" s="162" t="s">
        <v>24</v>
      </c>
      <c r="D21" s="162" t="s">
        <v>24</v>
      </c>
      <c r="E21" s="21"/>
      <c r="F21" s="21"/>
      <c r="G21" s="21"/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9"/>
      <c r="T21" s="10"/>
    </row>
    <row r="22" spans="1:20" ht="15" customHeight="1" x14ac:dyDescent="0.25">
      <c r="A22" s="114"/>
      <c r="B22" s="161" t="s">
        <v>26</v>
      </c>
      <c r="C22" s="162" t="s">
        <v>24</v>
      </c>
      <c r="D22" s="162" t="s">
        <v>24</v>
      </c>
      <c r="E22" s="21"/>
      <c r="F22" s="21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9"/>
      <c r="T22" s="10"/>
    </row>
    <row r="23" spans="1:20" ht="15" customHeight="1" x14ac:dyDescent="0.25">
      <c r="A23" s="114"/>
      <c r="B23" s="21"/>
      <c r="E23" s="21"/>
      <c r="F23" s="21"/>
      <c r="G23" s="21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9"/>
      <c r="T23" s="10"/>
    </row>
    <row r="24" spans="1:20" x14ac:dyDescent="0.25">
      <c r="B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10"/>
      <c r="T24" s="10"/>
    </row>
    <row r="25" spans="1:20" x14ac:dyDescent="0.25">
      <c r="B25" s="101" t="s">
        <v>3</v>
      </c>
      <c r="E25" s="7"/>
      <c r="F25" s="7"/>
      <c r="G25" s="7"/>
      <c r="H25" s="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0"/>
      <c r="T25" s="10"/>
    </row>
    <row r="26" spans="1:20" ht="7" customHeight="1" x14ac:dyDescent="0.25">
      <c r="B26" s="101"/>
      <c r="E26" s="7"/>
      <c r="F26" s="7"/>
      <c r="G26" s="7"/>
      <c r="H26" s="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0"/>
      <c r="T26" s="10"/>
    </row>
    <row r="27" spans="1:20" x14ac:dyDescent="0.25">
      <c r="A27" s="114" t="s">
        <v>11</v>
      </c>
      <c r="B27" s="134" t="s">
        <v>83</v>
      </c>
      <c r="E27" s="7"/>
      <c r="F27" s="7"/>
      <c r="G27" s="7"/>
      <c r="H27" s="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0"/>
      <c r="T27" s="10"/>
    </row>
    <row r="28" spans="1:20" x14ac:dyDescent="0.25">
      <c r="A28" s="114" t="s">
        <v>12</v>
      </c>
      <c r="B28" s="134" t="s">
        <v>84</v>
      </c>
      <c r="E28" s="7"/>
      <c r="F28" s="7"/>
      <c r="G28" s="7"/>
      <c r="H28" s="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0"/>
      <c r="T28" s="10"/>
    </row>
    <row r="29" spans="1:20" ht="15" customHeight="1" x14ac:dyDescent="0.25">
      <c r="A29" s="114" t="s">
        <v>54</v>
      </c>
      <c r="B29" s="134" t="s">
        <v>85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9"/>
      <c r="T29" s="10"/>
    </row>
    <row r="30" spans="1:20" ht="15" customHeight="1" x14ac:dyDescent="0.25">
      <c r="A30" s="114" t="s">
        <v>55</v>
      </c>
      <c r="B30" s="134" t="s">
        <v>79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9"/>
      <c r="T30" s="10"/>
    </row>
    <row r="31" spans="1:20" ht="15" customHeight="1" x14ac:dyDescent="0.25">
      <c r="A31" s="114" t="s">
        <v>56</v>
      </c>
      <c r="B31" s="134" t="s">
        <v>52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9"/>
      <c r="T31" s="10"/>
    </row>
    <row r="32" spans="1:20" ht="15" customHeight="1" x14ac:dyDescent="0.25">
      <c r="A32" s="114" t="s">
        <v>78</v>
      </c>
      <c r="B32" s="135" t="s">
        <v>53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9"/>
      <c r="T32" s="10"/>
    </row>
    <row r="33" spans="1:29" ht="15" customHeight="1" x14ac:dyDescent="0.25">
      <c r="A33" s="114"/>
      <c r="B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S33" s="9"/>
      <c r="T33" s="10"/>
    </row>
    <row r="34" spans="1:29" ht="15" customHeight="1" x14ac:dyDescent="0.25">
      <c r="A34" s="114"/>
      <c r="B34" s="101" t="s">
        <v>16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9"/>
      <c r="T34" s="10"/>
    </row>
    <row r="35" spans="1:29" ht="15" customHeight="1" x14ac:dyDescent="0.25">
      <c r="A35" s="114"/>
      <c r="B35" s="7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9"/>
      <c r="T35" s="10"/>
    </row>
    <row r="36" spans="1:29" ht="15" customHeight="1" x14ac:dyDescent="0.25">
      <c r="A36" s="114"/>
      <c r="B36" s="7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9"/>
      <c r="T36" s="10"/>
    </row>
    <row r="37" spans="1:29" x14ac:dyDescent="0.25">
      <c r="D37" s="12" t="s">
        <v>27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9" s="118" customFormat="1" ht="15" customHeight="1" x14ac:dyDescent="0.25">
      <c r="D38" s="169" t="s">
        <v>58</v>
      </c>
      <c r="E38" s="170"/>
      <c r="F38" s="170"/>
      <c r="G38" s="170"/>
      <c r="H38" s="170"/>
      <c r="I38" s="171"/>
      <c r="J38" s="172" t="s">
        <v>62</v>
      </c>
      <c r="K38" s="172"/>
      <c r="L38" s="172" t="s">
        <v>61</v>
      </c>
      <c r="M38" s="172"/>
      <c r="N38" s="172"/>
      <c r="O38" s="172" t="s">
        <v>62</v>
      </c>
      <c r="P38" s="172"/>
      <c r="Q38" s="172"/>
      <c r="R38" s="172" t="s">
        <v>80</v>
      </c>
      <c r="S38" s="172"/>
      <c r="T38" s="172"/>
    </row>
    <row r="39" spans="1:29" s="119" customFormat="1" ht="36.75" customHeight="1" x14ac:dyDescent="0.25">
      <c r="B39" s="120" t="s">
        <v>86</v>
      </c>
      <c r="C39" s="120" t="s">
        <v>10</v>
      </c>
      <c r="D39" s="120" t="s">
        <v>5</v>
      </c>
      <c r="E39" s="120" t="s">
        <v>8</v>
      </c>
      <c r="F39" s="120" t="s">
        <v>57</v>
      </c>
      <c r="G39" s="120" t="s">
        <v>59</v>
      </c>
      <c r="H39" s="120" t="s">
        <v>9</v>
      </c>
      <c r="I39" s="120" t="s">
        <v>6</v>
      </c>
      <c r="J39" s="120" t="s">
        <v>87</v>
      </c>
      <c r="K39" s="120" t="s">
        <v>33</v>
      </c>
      <c r="L39" s="120" t="s">
        <v>7</v>
      </c>
      <c r="M39" s="120" t="s">
        <v>13</v>
      </c>
      <c r="N39" s="120" t="s">
        <v>14</v>
      </c>
      <c r="O39" s="120" t="s">
        <v>87</v>
      </c>
      <c r="P39" s="120" t="s">
        <v>33</v>
      </c>
      <c r="Q39" s="120" t="s">
        <v>60</v>
      </c>
      <c r="R39" s="120" t="s">
        <v>63</v>
      </c>
      <c r="S39" s="120" t="s">
        <v>88</v>
      </c>
      <c r="T39" s="120" t="s">
        <v>34</v>
      </c>
    </row>
    <row r="40" spans="1:29" x14ac:dyDescent="0.25">
      <c r="B40" s="46"/>
      <c r="C40" s="47"/>
      <c r="D40" s="34"/>
      <c r="E40" s="28"/>
      <c r="F40" s="97"/>
      <c r="G40" s="100"/>
      <c r="H40" s="96"/>
      <c r="I40" s="37" t="e">
        <f>(G40/H40)</f>
        <v>#DIV/0!</v>
      </c>
      <c r="J40" s="57"/>
      <c r="K40" s="57"/>
      <c r="L40" s="57"/>
      <c r="M40" s="57"/>
      <c r="N40" s="57"/>
      <c r="O40" s="57">
        <f t="shared" ref="O40:O47" si="0">+J40+L40+N40</f>
        <v>0</v>
      </c>
      <c r="P40" s="57">
        <f t="shared" ref="P40:P47" si="1">+K40+M40</f>
        <v>0</v>
      </c>
      <c r="Q40" s="58">
        <f>+O40+P40</f>
        <v>0</v>
      </c>
      <c r="R40" s="88"/>
      <c r="S40" s="108" t="e">
        <f t="shared" ref="S40:S47" si="2">(R40*I40)</f>
        <v>#DIV/0!</v>
      </c>
      <c r="T40" s="88" t="e">
        <f>+IF(S40&gt;O40,"NO",Q40-S40)</f>
        <v>#DIV/0!</v>
      </c>
    </row>
    <row r="41" spans="1:29" x14ac:dyDescent="0.25">
      <c r="B41" s="46"/>
      <c r="C41" s="47"/>
      <c r="D41" s="34"/>
      <c r="E41" s="29"/>
      <c r="F41" s="97"/>
      <c r="G41" s="100"/>
      <c r="H41" s="96"/>
      <c r="I41" s="37" t="e">
        <f t="shared" ref="I41:I47" si="3">(G41/H41)</f>
        <v>#DIV/0!</v>
      </c>
      <c r="J41" s="57"/>
      <c r="K41" s="57"/>
      <c r="L41" s="57"/>
      <c r="M41" s="57"/>
      <c r="N41" s="57"/>
      <c r="O41" s="57">
        <f t="shared" si="0"/>
        <v>0</v>
      </c>
      <c r="P41" s="57">
        <f t="shared" si="1"/>
        <v>0</v>
      </c>
      <c r="Q41" s="58">
        <f>+O41+P41</f>
        <v>0</v>
      </c>
      <c r="R41" s="88"/>
      <c r="S41" s="89" t="e">
        <f t="shared" si="2"/>
        <v>#DIV/0!</v>
      </c>
      <c r="T41" s="88" t="e">
        <f t="shared" ref="T41:T47" si="4">+IF(S41&gt;O41,"NO",Q41-S41)</f>
        <v>#DIV/0!</v>
      </c>
    </row>
    <row r="42" spans="1:29" x14ac:dyDescent="0.25">
      <c r="B42" s="48"/>
      <c r="C42" s="47"/>
      <c r="D42" s="34"/>
      <c r="E42" s="28"/>
      <c r="F42" s="97"/>
      <c r="G42" s="100"/>
      <c r="H42" s="96"/>
      <c r="I42" s="37" t="e">
        <f t="shared" si="3"/>
        <v>#DIV/0!</v>
      </c>
      <c r="J42" s="57"/>
      <c r="K42" s="57"/>
      <c r="L42" s="57"/>
      <c r="M42" s="57"/>
      <c r="N42" s="57"/>
      <c r="O42" s="57">
        <f t="shared" si="0"/>
        <v>0</v>
      </c>
      <c r="P42" s="57">
        <f t="shared" si="1"/>
        <v>0</v>
      </c>
      <c r="Q42" s="58">
        <f t="shared" ref="Q42:Q47" si="5">+O42+P42</f>
        <v>0</v>
      </c>
      <c r="R42" s="88"/>
      <c r="S42" s="89" t="e">
        <f t="shared" si="2"/>
        <v>#DIV/0!</v>
      </c>
      <c r="T42" s="88" t="e">
        <f t="shared" si="4"/>
        <v>#DIV/0!</v>
      </c>
      <c r="U42" s="64"/>
    </row>
    <row r="43" spans="1:29" x14ac:dyDescent="0.25">
      <c r="B43" s="110" t="s">
        <v>28</v>
      </c>
      <c r="C43" s="49"/>
      <c r="D43" s="35"/>
      <c r="E43" s="28"/>
      <c r="F43" s="97"/>
      <c r="G43" s="100"/>
      <c r="H43" s="96"/>
      <c r="I43" s="37" t="e">
        <f t="shared" si="3"/>
        <v>#DIV/0!</v>
      </c>
      <c r="J43" s="57"/>
      <c r="K43" s="57"/>
      <c r="L43" s="57"/>
      <c r="M43" s="57"/>
      <c r="N43" s="57"/>
      <c r="O43" s="57">
        <f t="shared" si="0"/>
        <v>0</v>
      </c>
      <c r="P43" s="57">
        <f t="shared" si="1"/>
        <v>0</v>
      </c>
      <c r="Q43" s="58">
        <f t="shared" si="5"/>
        <v>0</v>
      </c>
      <c r="R43" s="88"/>
      <c r="S43" s="108" t="e">
        <f>(R43*I43)</f>
        <v>#DIV/0!</v>
      </c>
      <c r="T43" s="88" t="e">
        <f>+IF(S43&gt;O43,"NO",Q43-S43)</f>
        <v>#DIV/0!</v>
      </c>
    </row>
    <row r="44" spans="1:29" x14ac:dyDescent="0.25">
      <c r="A44" s="41"/>
      <c r="B44" s="55"/>
      <c r="C44" s="49"/>
      <c r="D44" s="35"/>
      <c r="E44" s="28"/>
      <c r="F44" s="97"/>
      <c r="G44" s="100"/>
      <c r="H44" s="96"/>
      <c r="I44" s="37" t="e">
        <f t="shared" si="3"/>
        <v>#DIV/0!</v>
      </c>
      <c r="J44" s="57"/>
      <c r="K44" s="57"/>
      <c r="L44" s="57"/>
      <c r="M44" s="57"/>
      <c r="N44" s="57"/>
      <c r="O44" s="57">
        <f t="shared" si="0"/>
        <v>0</v>
      </c>
      <c r="P44" s="57">
        <f t="shared" si="1"/>
        <v>0</v>
      </c>
      <c r="Q44" s="58">
        <f t="shared" si="5"/>
        <v>0</v>
      </c>
      <c r="R44" s="88"/>
      <c r="S44" s="89" t="e">
        <f t="shared" si="2"/>
        <v>#DIV/0!</v>
      </c>
      <c r="T44" s="88" t="e">
        <f t="shared" si="4"/>
        <v>#DIV/0!</v>
      </c>
    </row>
    <row r="45" spans="1:29" s="26" customFormat="1" x14ac:dyDescent="0.25">
      <c r="A45" s="90"/>
      <c r="B45" s="48"/>
      <c r="C45" s="27"/>
      <c r="D45" s="36"/>
      <c r="E45" s="28"/>
      <c r="F45" s="97"/>
      <c r="G45" s="100"/>
      <c r="H45" s="96"/>
      <c r="I45" s="37" t="e">
        <f t="shared" si="3"/>
        <v>#DIV/0!</v>
      </c>
      <c r="J45" s="60"/>
      <c r="K45" s="60"/>
      <c r="L45" s="60"/>
      <c r="M45" s="60"/>
      <c r="N45" s="60"/>
      <c r="O45" s="57">
        <f t="shared" si="0"/>
        <v>0</v>
      </c>
      <c r="P45" s="57">
        <f t="shared" si="1"/>
        <v>0</v>
      </c>
      <c r="Q45" s="58">
        <f t="shared" si="5"/>
        <v>0</v>
      </c>
      <c r="R45" s="88"/>
      <c r="S45" s="89" t="e">
        <f t="shared" si="2"/>
        <v>#DIV/0!</v>
      </c>
      <c r="T45" s="88" t="e">
        <f t="shared" si="4"/>
        <v>#DIV/0!</v>
      </c>
    </row>
    <row r="46" spans="1:29" s="26" customFormat="1" x14ac:dyDescent="0.25">
      <c r="A46" s="91"/>
      <c r="B46" s="56"/>
      <c r="C46" s="27"/>
      <c r="D46" s="25"/>
      <c r="E46" s="30"/>
      <c r="F46" s="98"/>
      <c r="G46" s="100"/>
      <c r="H46" s="96"/>
      <c r="I46" s="37" t="e">
        <f t="shared" si="3"/>
        <v>#DIV/0!</v>
      </c>
      <c r="J46" s="60"/>
      <c r="K46" s="60"/>
      <c r="L46" s="60"/>
      <c r="M46" s="60"/>
      <c r="N46" s="60"/>
      <c r="O46" s="57">
        <f t="shared" si="0"/>
        <v>0</v>
      </c>
      <c r="P46" s="57">
        <f t="shared" si="1"/>
        <v>0</v>
      </c>
      <c r="Q46" s="58">
        <f t="shared" si="5"/>
        <v>0</v>
      </c>
      <c r="R46" s="88"/>
      <c r="S46" s="89" t="e">
        <f t="shared" si="2"/>
        <v>#DIV/0!</v>
      </c>
      <c r="T46" s="88" t="e">
        <f t="shared" si="4"/>
        <v>#DIV/0!</v>
      </c>
    </row>
    <row r="47" spans="1:29" s="26" customFormat="1" x14ac:dyDescent="0.25">
      <c r="A47" s="41"/>
      <c r="B47" s="48"/>
      <c r="C47" s="27"/>
      <c r="D47" s="25"/>
      <c r="E47" s="30"/>
      <c r="F47" s="97"/>
      <c r="G47" s="100"/>
      <c r="H47" s="96"/>
      <c r="I47" s="37" t="e">
        <f t="shared" si="3"/>
        <v>#DIV/0!</v>
      </c>
      <c r="J47" s="60"/>
      <c r="K47" s="60"/>
      <c r="L47" s="60"/>
      <c r="M47" s="60"/>
      <c r="N47" s="60"/>
      <c r="O47" s="57">
        <f t="shared" si="0"/>
        <v>0</v>
      </c>
      <c r="P47" s="57">
        <f t="shared" si="1"/>
        <v>0</v>
      </c>
      <c r="Q47" s="58">
        <f t="shared" si="5"/>
        <v>0</v>
      </c>
      <c r="R47" s="88"/>
      <c r="S47" s="89" t="e">
        <f t="shared" si="2"/>
        <v>#DIV/0!</v>
      </c>
      <c r="T47" s="88" t="e">
        <f t="shared" si="4"/>
        <v>#DIV/0!</v>
      </c>
      <c r="X47" s="61"/>
      <c r="AC47" s="68"/>
    </row>
    <row r="48" spans="1:29" s="84" customFormat="1" ht="6" customHeight="1" x14ac:dyDescent="0.25">
      <c r="A48" s="42"/>
      <c r="B48" s="72"/>
      <c r="C48" s="73"/>
      <c r="D48" s="74"/>
      <c r="E48" s="75"/>
      <c r="F48" s="76"/>
      <c r="G48" s="77"/>
      <c r="H48" s="77"/>
      <c r="I48" s="78"/>
      <c r="J48" s="79"/>
      <c r="K48" s="79"/>
      <c r="L48" s="79"/>
      <c r="M48" s="79"/>
      <c r="N48" s="79"/>
      <c r="O48" s="80"/>
      <c r="P48" s="80"/>
      <c r="Q48" s="59"/>
      <c r="R48" s="81"/>
      <c r="S48" s="82"/>
      <c r="T48" s="81"/>
      <c r="X48" s="83"/>
      <c r="AC48" s="85"/>
    </row>
    <row r="49" spans="2:29" ht="13" thickBot="1" x14ac:dyDescent="0.3">
      <c r="C49" s="51"/>
      <c r="D49" s="23"/>
      <c r="E49" s="23"/>
      <c r="F49" s="23"/>
      <c r="G49" s="99"/>
      <c r="H49" s="23"/>
      <c r="I49" s="23"/>
      <c r="J49" s="86">
        <f>SUM(J40:J47)</f>
        <v>0</v>
      </c>
      <c r="K49" s="86">
        <f t="shared" ref="K49:M49" si="6">SUM(K40:K47)</f>
        <v>0</v>
      </c>
      <c r="L49" s="86">
        <f>SUM(L40:L47)</f>
        <v>0</v>
      </c>
      <c r="M49" s="86">
        <f t="shared" si="6"/>
        <v>0</v>
      </c>
      <c r="N49" s="86">
        <f t="shared" ref="N49:T49" si="7">SUM(N40:N47)</f>
        <v>0</v>
      </c>
      <c r="O49" s="86">
        <f t="shared" si="7"/>
        <v>0</v>
      </c>
      <c r="P49" s="87">
        <f t="shared" si="7"/>
        <v>0</v>
      </c>
      <c r="Q49" s="87">
        <f t="shared" si="7"/>
        <v>0</v>
      </c>
      <c r="R49" s="87">
        <f t="shared" si="7"/>
        <v>0</v>
      </c>
      <c r="S49" s="87" t="e">
        <f t="shared" si="7"/>
        <v>#DIV/0!</v>
      </c>
      <c r="T49" s="87" t="e">
        <f t="shared" si="7"/>
        <v>#DIV/0!</v>
      </c>
      <c r="AC49" s="69"/>
    </row>
    <row r="50" spans="2:29" ht="13" thickTop="1" x14ac:dyDescent="0.25">
      <c r="C50" s="32"/>
      <c r="H50" s="52"/>
      <c r="I50" s="13"/>
      <c r="J50" s="14"/>
      <c r="K50" s="14"/>
      <c r="L50" s="39"/>
      <c r="M50" s="39"/>
      <c r="N50" s="39"/>
      <c r="O50" s="63"/>
      <c r="P50" s="111" t="s">
        <v>49</v>
      </c>
      <c r="Q50" s="111" t="s">
        <v>30</v>
      </c>
      <c r="R50" s="62"/>
      <c r="S50" s="62"/>
      <c r="T50" s="111" t="s">
        <v>65</v>
      </c>
    </row>
    <row r="51" spans="2:29" x14ac:dyDescent="0.25">
      <c r="C51" s="32"/>
      <c r="H51" s="52"/>
      <c r="I51" s="13"/>
      <c r="J51" s="14"/>
      <c r="K51" s="14"/>
      <c r="L51" s="15"/>
      <c r="M51" s="15"/>
      <c r="N51" s="15"/>
      <c r="O51" s="16"/>
      <c r="P51" s="16"/>
      <c r="Q51" s="40"/>
      <c r="R51" s="40"/>
      <c r="S51" s="40"/>
      <c r="T51" s="53"/>
    </row>
    <row r="52" spans="2:29" x14ac:dyDescent="0.25">
      <c r="C52" s="32"/>
      <c r="D52" s="38"/>
      <c r="E52" s="38"/>
      <c r="F52" s="38"/>
      <c r="H52" s="52"/>
      <c r="I52" s="13"/>
      <c r="J52" s="14"/>
      <c r="K52" s="14"/>
      <c r="L52" s="15"/>
      <c r="M52" s="15"/>
      <c r="N52" s="15"/>
      <c r="O52" s="16"/>
      <c r="P52" s="16"/>
      <c r="Q52" s="40"/>
      <c r="R52" s="40"/>
      <c r="S52" s="40"/>
      <c r="T52" s="54"/>
    </row>
    <row r="53" spans="2:29" x14ac:dyDescent="0.25">
      <c r="B53" s="169" t="s">
        <v>66</v>
      </c>
      <c r="C53" s="170"/>
      <c r="D53" s="171"/>
      <c r="E53" s="38"/>
      <c r="F53" s="38"/>
      <c r="H53" s="52"/>
      <c r="I53" s="13"/>
      <c r="J53" s="14"/>
      <c r="K53" s="14"/>
      <c r="L53" s="15"/>
      <c r="M53" s="15"/>
      <c r="N53" s="15"/>
      <c r="O53" s="16"/>
      <c r="P53" s="16"/>
      <c r="Q53" s="40"/>
      <c r="R53" s="40"/>
      <c r="S53" s="40"/>
      <c r="T53" s="54"/>
    </row>
    <row r="54" spans="2:29" s="53" customFormat="1" x14ac:dyDescent="0.25">
      <c r="B54" s="137"/>
      <c r="C54" s="137"/>
      <c r="D54" s="137"/>
      <c r="G54" s="138"/>
      <c r="H54" s="139"/>
      <c r="I54" s="94"/>
      <c r="J54" s="39"/>
      <c r="K54" s="39"/>
      <c r="L54" s="140"/>
      <c r="M54" s="140"/>
      <c r="N54" s="140"/>
      <c r="O54" s="40"/>
      <c r="P54" s="40"/>
      <c r="Q54" s="40"/>
      <c r="R54" s="40"/>
      <c r="S54" s="40"/>
      <c r="T54" s="54"/>
    </row>
    <row r="55" spans="2:29" x14ac:dyDescent="0.25">
      <c r="B55" s="141" t="s">
        <v>81</v>
      </c>
      <c r="C55" s="32"/>
      <c r="D55" s="38"/>
      <c r="E55" s="38"/>
      <c r="F55" s="38"/>
      <c r="H55" s="52"/>
      <c r="I55" s="13"/>
      <c r="J55" s="14"/>
      <c r="K55" s="14"/>
      <c r="L55" s="15"/>
      <c r="M55" s="15"/>
      <c r="N55" s="15"/>
      <c r="O55" s="16"/>
      <c r="P55" s="16"/>
      <c r="Q55" s="40"/>
      <c r="R55" s="40"/>
      <c r="S55" s="40"/>
      <c r="T55" s="54"/>
    </row>
    <row r="56" spans="2:29" x14ac:dyDescent="0.25">
      <c r="B56" s="130"/>
      <c r="C56" s="32"/>
      <c r="D56" s="38"/>
      <c r="E56" s="38"/>
      <c r="F56" s="38"/>
      <c r="H56" s="52"/>
      <c r="I56" s="13"/>
      <c r="J56" s="14"/>
      <c r="K56" s="14"/>
      <c r="L56" s="15"/>
      <c r="M56" s="15"/>
      <c r="N56" s="15"/>
      <c r="O56" s="16"/>
      <c r="P56" s="16"/>
      <c r="Q56" s="40"/>
      <c r="R56" s="40"/>
      <c r="S56" s="40"/>
      <c r="T56" s="54"/>
    </row>
    <row r="57" spans="2:29" ht="25" x14ac:dyDescent="0.25">
      <c r="B57" s="131" t="s">
        <v>45</v>
      </c>
      <c r="C57" s="131" t="s">
        <v>46</v>
      </c>
      <c r="D57" s="132" t="s">
        <v>60</v>
      </c>
      <c r="E57" s="38"/>
      <c r="F57" s="31"/>
      <c r="H57" s="52"/>
      <c r="I57" s="13"/>
      <c r="J57" s="14"/>
      <c r="K57" s="14"/>
      <c r="L57" s="15"/>
      <c r="M57" s="15"/>
      <c r="N57" s="15"/>
      <c r="O57" s="16"/>
      <c r="P57" s="16"/>
      <c r="Q57" s="40"/>
      <c r="R57" s="40"/>
      <c r="S57" s="40"/>
      <c r="T57" s="54"/>
    </row>
    <row r="58" spans="2:29" x14ac:dyDescent="0.25">
      <c r="B58" s="46"/>
      <c r="C58" s="127"/>
      <c r="D58" s="128"/>
      <c r="E58" s="38"/>
      <c r="F58" s="31"/>
      <c r="H58" s="52"/>
      <c r="I58" s="13"/>
      <c r="J58" s="14"/>
      <c r="K58" s="14"/>
      <c r="L58" s="15"/>
      <c r="M58" s="15"/>
      <c r="N58" s="15"/>
      <c r="O58" s="16"/>
      <c r="P58" s="16"/>
      <c r="Q58" s="40"/>
      <c r="R58" s="40"/>
      <c r="S58" s="40"/>
      <c r="T58" s="54"/>
    </row>
    <row r="59" spans="2:29" x14ac:dyDescent="0.25">
      <c r="B59" s="46"/>
      <c r="C59" s="127"/>
      <c r="D59" s="128"/>
      <c r="E59" s="38"/>
      <c r="F59" s="31"/>
      <c r="H59" s="52"/>
      <c r="I59" s="13"/>
      <c r="J59" s="14"/>
      <c r="K59" s="14"/>
      <c r="L59" s="15"/>
      <c r="M59" s="15"/>
      <c r="N59" s="15"/>
      <c r="O59" s="16"/>
      <c r="P59" s="16"/>
      <c r="Q59" s="40"/>
      <c r="R59" s="40"/>
      <c r="S59" s="40"/>
      <c r="T59" s="54"/>
    </row>
    <row r="60" spans="2:29" x14ac:dyDescent="0.25">
      <c r="B60" s="129"/>
      <c r="C60" s="127"/>
      <c r="D60" s="128"/>
      <c r="E60" s="38"/>
      <c r="F60" s="31"/>
      <c r="H60" s="52"/>
      <c r="I60" s="13"/>
      <c r="J60" s="14"/>
      <c r="K60" s="14"/>
      <c r="L60" s="15"/>
      <c r="M60" s="15"/>
      <c r="N60" s="15"/>
      <c r="O60" s="16"/>
      <c r="P60" s="16"/>
      <c r="Q60" s="40"/>
      <c r="R60" s="40"/>
      <c r="S60" s="40"/>
      <c r="T60" s="54"/>
    </row>
    <row r="61" spans="2:29" x14ac:dyDescent="0.25">
      <c r="B61" s="46"/>
      <c r="C61" s="127"/>
      <c r="D61" s="128"/>
      <c r="E61" s="38"/>
      <c r="F61" s="31"/>
      <c r="H61" s="52"/>
      <c r="I61" s="13"/>
      <c r="J61" s="14"/>
      <c r="K61" s="14"/>
      <c r="L61" s="15"/>
      <c r="M61" s="15"/>
      <c r="N61" s="15"/>
      <c r="O61" s="16"/>
      <c r="P61" s="16"/>
      <c r="Q61" s="40"/>
      <c r="R61" s="40"/>
      <c r="S61" s="40"/>
      <c r="T61" s="54"/>
    </row>
    <row r="62" spans="2:29" x14ac:dyDescent="0.25">
      <c r="B62" s="46"/>
      <c r="C62" s="127"/>
      <c r="D62" s="128"/>
      <c r="E62" s="38"/>
      <c r="F62" s="31"/>
      <c r="H62" s="52"/>
      <c r="I62" s="13"/>
      <c r="J62" s="14"/>
      <c r="K62" s="14"/>
      <c r="L62" s="15"/>
      <c r="M62" s="15"/>
      <c r="N62" s="15"/>
      <c r="O62" s="16"/>
      <c r="P62" s="16"/>
      <c r="Q62" s="40"/>
      <c r="R62" s="40"/>
      <c r="S62" s="40"/>
      <c r="T62" s="53"/>
    </row>
    <row r="63" spans="2:29" ht="5" customHeight="1" x14ac:dyDescent="0.25">
      <c r="B63" s="50"/>
      <c r="C63" s="92"/>
      <c r="D63" s="66"/>
      <c r="E63" s="38"/>
      <c r="F63" s="31"/>
      <c r="H63" s="52"/>
      <c r="I63" s="13"/>
      <c r="J63" s="14"/>
      <c r="K63" s="14"/>
      <c r="L63" s="15"/>
      <c r="M63" s="15"/>
      <c r="N63" s="15"/>
      <c r="O63" s="16"/>
      <c r="P63" s="16"/>
      <c r="Q63" s="40"/>
      <c r="R63" s="40"/>
      <c r="S63" s="40"/>
      <c r="T63" s="53"/>
    </row>
    <row r="64" spans="2:29" ht="13" thickBot="1" x14ac:dyDescent="0.3">
      <c r="C64" s="114"/>
      <c r="D64" s="113">
        <f>SUM(D58:D62)</f>
        <v>0</v>
      </c>
      <c r="E64" s="94" t="s">
        <v>29</v>
      </c>
      <c r="F64" s="31"/>
      <c r="H64" s="52"/>
      <c r="I64" s="13"/>
      <c r="J64" s="14"/>
      <c r="K64" s="14"/>
      <c r="L64" s="15"/>
      <c r="M64" s="15"/>
      <c r="N64" s="15"/>
      <c r="O64" s="16"/>
      <c r="P64" s="16"/>
      <c r="Q64" s="40"/>
      <c r="R64" s="40"/>
      <c r="S64" s="40"/>
      <c r="T64" s="53"/>
    </row>
    <row r="65" spans="2:20" ht="13" thickTop="1" x14ac:dyDescent="0.25">
      <c r="C65" s="114"/>
      <c r="D65" s="154"/>
      <c r="E65" s="67"/>
      <c r="F65" s="31"/>
      <c r="H65" s="52"/>
      <c r="I65" s="13"/>
      <c r="J65" s="14"/>
      <c r="K65" s="14"/>
      <c r="L65" s="15"/>
      <c r="M65" s="15"/>
      <c r="N65" s="15"/>
      <c r="O65" s="16"/>
      <c r="P65" s="16"/>
      <c r="Q65" s="40"/>
      <c r="R65" s="40"/>
      <c r="S65" s="40"/>
      <c r="T65" s="53"/>
    </row>
    <row r="66" spans="2:20" x14ac:dyDescent="0.25">
      <c r="C66" s="114" t="s">
        <v>47</v>
      </c>
      <c r="D66" s="65">
        <f>+Q49</f>
        <v>0</v>
      </c>
      <c r="E66" s="112" t="s">
        <v>30</v>
      </c>
      <c r="F66" s="31"/>
      <c r="H66" s="52"/>
      <c r="I66" s="13"/>
      <c r="J66" s="14"/>
      <c r="K66" s="14"/>
      <c r="L66" s="15"/>
      <c r="M66" s="15"/>
      <c r="N66" s="15"/>
      <c r="O66" s="16"/>
      <c r="P66" s="16"/>
      <c r="Q66" s="40"/>
      <c r="R66" s="40"/>
      <c r="S66" s="40"/>
      <c r="T66" s="53"/>
    </row>
    <row r="67" spans="2:20" ht="13" thickBot="1" x14ac:dyDescent="0.3">
      <c r="C67" s="41" t="s">
        <v>15</v>
      </c>
      <c r="D67" s="166">
        <f>+D64-D66</f>
        <v>0</v>
      </c>
      <c r="E67" s="38"/>
      <c r="F67" s="31"/>
      <c r="H67" s="52"/>
      <c r="I67" s="13"/>
      <c r="J67" s="14"/>
      <c r="K67" s="14"/>
      <c r="L67" s="15"/>
      <c r="M67" s="15"/>
      <c r="N67" s="15"/>
      <c r="O67" s="16"/>
      <c r="P67" s="16"/>
      <c r="Q67" s="40"/>
      <c r="R67" s="40"/>
      <c r="S67" s="40"/>
      <c r="T67" s="53"/>
    </row>
    <row r="68" spans="2:20" ht="13" thickTop="1" x14ac:dyDescent="0.25">
      <c r="C68" s="32"/>
      <c r="D68" s="38"/>
      <c r="E68" s="65"/>
      <c r="F68" s="38"/>
      <c r="H68" s="52"/>
      <c r="I68" s="13"/>
      <c r="J68" s="14"/>
      <c r="K68" s="14"/>
      <c r="L68" s="15"/>
      <c r="M68" s="15"/>
      <c r="N68" s="15"/>
      <c r="O68" s="16"/>
      <c r="P68" s="16"/>
      <c r="Q68" s="40"/>
      <c r="R68" s="40"/>
      <c r="S68" s="40"/>
      <c r="T68" s="53"/>
    </row>
    <row r="69" spans="2:20" x14ac:dyDescent="0.25">
      <c r="B69" s="141" t="s">
        <v>68</v>
      </c>
      <c r="C69" s="32"/>
      <c r="D69" s="38"/>
      <c r="E69" s="38"/>
      <c r="F69" s="38"/>
      <c r="H69" s="52"/>
      <c r="I69" s="13"/>
      <c r="J69" s="14"/>
      <c r="K69" s="14"/>
      <c r="L69" s="15"/>
      <c r="M69" s="15"/>
      <c r="N69" s="15"/>
      <c r="O69" s="16"/>
      <c r="P69" s="16"/>
      <c r="Q69" s="40"/>
      <c r="R69" s="40"/>
      <c r="S69" s="40"/>
      <c r="T69" s="53"/>
    </row>
    <row r="70" spans="2:20" x14ac:dyDescent="0.25">
      <c r="B70" s="130"/>
      <c r="C70" s="32"/>
      <c r="D70" s="38"/>
      <c r="E70" s="38"/>
      <c r="F70" s="38"/>
      <c r="H70" s="52"/>
      <c r="I70" s="13"/>
      <c r="J70" s="14"/>
      <c r="K70" s="14"/>
      <c r="L70" s="15"/>
      <c r="M70" s="15"/>
      <c r="N70" s="15"/>
      <c r="O70" s="16"/>
      <c r="P70" s="16"/>
      <c r="Q70" s="40"/>
      <c r="R70" s="40"/>
      <c r="S70" s="40"/>
      <c r="T70" s="53"/>
    </row>
    <row r="71" spans="2:20" ht="25" x14ac:dyDescent="0.25">
      <c r="B71" s="131" t="s">
        <v>45</v>
      </c>
      <c r="C71" s="131" t="s">
        <v>46</v>
      </c>
      <c r="D71" s="132" t="s">
        <v>60</v>
      </c>
      <c r="E71" s="38"/>
      <c r="F71" s="38"/>
      <c r="H71" s="52"/>
      <c r="I71" s="13"/>
      <c r="J71" s="14"/>
      <c r="K71" s="14"/>
      <c r="L71" s="15"/>
      <c r="M71" s="15"/>
      <c r="N71" s="15"/>
      <c r="O71" s="16"/>
      <c r="P71" s="16"/>
      <c r="Q71" s="40"/>
      <c r="R71" s="40"/>
      <c r="S71" s="40"/>
      <c r="T71" s="53"/>
    </row>
    <row r="72" spans="2:20" x14ac:dyDescent="0.25">
      <c r="B72" s="46"/>
      <c r="C72" s="127"/>
      <c r="D72" s="128"/>
      <c r="E72" s="158" t="s">
        <v>48</v>
      </c>
      <c r="F72" s="38"/>
      <c r="H72" s="52"/>
      <c r="I72" s="13"/>
      <c r="J72" s="14"/>
      <c r="K72" s="14"/>
      <c r="L72" s="15"/>
      <c r="M72" s="15"/>
      <c r="N72" s="15"/>
      <c r="O72" s="16"/>
      <c r="P72" s="16"/>
      <c r="Q72" s="40"/>
      <c r="R72" s="40"/>
      <c r="S72" s="40"/>
      <c r="T72" s="53"/>
    </row>
    <row r="73" spans="2:20" x14ac:dyDescent="0.25">
      <c r="B73" s="50"/>
      <c r="C73" s="92"/>
      <c r="D73" s="66"/>
      <c r="E73" s="38"/>
      <c r="F73" s="38"/>
      <c r="H73" s="52"/>
      <c r="I73" s="13"/>
      <c r="J73" s="14"/>
      <c r="K73" s="14"/>
      <c r="L73" s="15"/>
      <c r="M73" s="15"/>
      <c r="N73" s="15"/>
      <c r="O73" s="16"/>
      <c r="P73" s="16"/>
      <c r="Q73" s="40"/>
      <c r="R73" s="40"/>
      <c r="S73" s="40"/>
      <c r="T73" s="53"/>
    </row>
    <row r="74" spans="2:20" x14ac:dyDescent="0.25">
      <c r="C74" s="114" t="s">
        <v>47</v>
      </c>
      <c r="D74" s="154">
        <f>+P49</f>
        <v>0</v>
      </c>
      <c r="E74" s="112" t="s">
        <v>49</v>
      </c>
      <c r="F74" s="38"/>
      <c r="H74" s="52"/>
      <c r="I74" s="13"/>
      <c r="J74" s="14"/>
      <c r="K74" s="14"/>
      <c r="L74" s="15"/>
      <c r="M74" s="15"/>
      <c r="N74" s="15"/>
      <c r="O74" s="16"/>
      <c r="P74" s="16"/>
      <c r="Q74" s="40"/>
      <c r="R74" s="40"/>
      <c r="S74" s="40"/>
      <c r="T74" s="53"/>
    </row>
    <row r="75" spans="2:20" ht="13" thickBot="1" x14ac:dyDescent="0.3">
      <c r="C75" s="41" t="s">
        <v>15</v>
      </c>
      <c r="D75" s="166">
        <f>+D72-D74</f>
        <v>0</v>
      </c>
      <c r="E75" s="38"/>
      <c r="F75" s="38"/>
      <c r="H75" s="52"/>
      <c r="I75" s="13"/>
      <c r="J75" s="14"/>
      <c r="K75" s="14"/>
      <c r="L75" s="15"/>
      <c r="M75" s="15"/>
      <c r="N75" s="15"/>
      <c r="O75" s="16"/>
      <c r="P75" s="16"/>
      <c r="Q75" s="40"/>
      <c r="R75" s="40"/>
      <c r="S75" s="40"/>
      <c r="T75" s="53"/>
    </row>
    <row r="76" spans="2:20" ht="13" thickTop="1" x14ac:dyDescent="0.25">
      <c r="C76" s="115"/>
      <c r="D76" s="155"/>
      <c r="E76" s="38"/>
      <c r="F76" s="38"/>
      <c r="H76" s="52"/>
      <c r="I76" s="13"/>
      <c r="J76" s="14"/>
      <c r="K76" s="14"/>
      <c r="L76" s="15"/>
      <c r="M76" s="15"/>
      <c r="N76" s="15"/>
      <c r="O76" s="16"/>
      <c r="P76" s="16"/>
      <c r="Q76" s="40"/>
      <c r="R76" s="40"/>
      <c r="S76" s="40"/>
      <c r="T76" s="53"/>
    </row>
    <row r="77" spans="2:20" x14ac:dyDescent="0.25">
      <c r="C77" s="32"/>
      <c r="D77" s="38"/>
      <c r="E77" s="65"/>
      <c r="F77" s="38"/>
      <c r="H77" s="52"/>
      <c r="I77" s="13"/>
      <c r="J77" s="14"/>
      <c r="K77" s="14"/>
      <c r="L77" s="15"/>
      <c r="M77" s="15"/>
      <c r="N77" s="15"/>
      <c r="O77" s="16"/>
      <c r="P77" s="16"/>
      <c r="Q77" s="40"/>
      <c r="R77" s="40"/>
      <c r="S77" s="40"/>
      <c r="T77" s="53"/>
    </row>
    <row r="78" spans="2:20" x14ac:dyDescent="0.25">
      <c r="B78" s="142" t="s">
        <v>82</v>
      </c>
      <c r="C78" s="143"/>
      <c r="D78" s="143"/>
      <c r="E78" s="144"/>
      <c r="F78" s="38"/>
      <c r="H78" s="52"/>
      <c r="I78" s="13"/>
      <c r="J78" s="14"/>
      <c r="K78" s="14"/>
      <c r="L78" s="15"/>
      <c r="M78" s="15"/>
      <c r="N78" s="15"/>
      <c r="O78" s="16"/>
      <c r="P78" s="16"/>
      <c r="Q78" s="40"/>
      <c r="R78" s="40"/>
      <c r="S78" s="40"/>
      <c r="T78" s="53"/>
    </row>
    <row r="79" spans="2:20" x14ac:dyDescent="0.25">
      <c r="B79" s="145"/>
      <c r="C79" s="143"/>
      <c r="D79" s="143"/>
      <c r="E79" s="144"/>
      <c r="F79" s="38"/>
      <c r="H79" s="52"/>
      <c r="I79" s="13"/>
      <c r="J79" s="14"/>
      <c r="K79" s="14"/>
      <c r="L79" s="15"/>
      <c r="M79" s="15"/>
      <c r="N79" s="15"/>
      <c r="O79" s="16"/>
      <c r="P79" s="16"/>
      <c r="Q79" s="40"/>
      <c r="R79" s="40"/>
      <c r="S79" s="40"/>
      <c r="T79" s="53"/>
    </row>
    <row r="80" spans="2:20" ht="25" x14ac:dyDescent="0.25">
      <c r="B80" s="131" t="s">
        <v>45</v>
      </c>
      <c r="C80" s="131" t="s">
        <v>46</v>
      </c>
      <c r="D80" s="132" t="s">
        <v>60</v>
      </c>
      <c r="E80" s="144"/>
      <c r="F80" s="38"/>
      <c r="H80" s="52"/>
      <c r="I80" s="13"/>
      <c r="J80" s="14"/>
      <c r="K80" s="14"/>
      <c r="L80" s="15"/>
      <c r="M80" s="15"/>
      <c r="N80" s="15"/>
      <c r="O80" s="16"/>
      <c r="P80" s="16"/>
      <c r="Q80" s="40"/>
      <c r="R80" s="40"/>
      <c r="S80" s="40"/>
      <c r="T80" s="53"/>
    </row>
    <row r="81" spans="1:20" x14ac:dyDescent="0.25">
      <c r="B81" s="146"/>
      <c r="C81" s="147"/>
      <c r="D81" s="148">
        <v>0</v>
      </c>
      <c r="E81" s="149" t="s">
        <v>29</v>
      </c>
      <c r="F81" s="38"/>
      <c r="H81" s="52"/>
      <c r="I81" s="13"/>
      <c r="J81" s="14"/>
      <c r="K81" s="14"/>
      <c r="L81" s="15"/>
      <c r="M81" s="15"/>
      <c r="N81" s="15"/>
      <c r="O81" s="16"/>
      <c r="P81" s="16"/>
      <c r="Q81" s="40"/>
      <c r="R81" s="40"/>
      <c r="S81" s="40"/>
      <c r="T81" s="53"/>
    </row>
    <row r="82" spans="1:20" x14ac:dyDescent="0.25">
      <c r="B82" s="143"/>
      <c r="C82" s="150"/>
      <c r="D82" s="151"/>
      <c r="E82" s="149"/>
      <c r="F82" s="38"/>
      <c r="H82" s="52"/>
      <c r="I82" s="13"/>
      <c r="J82" s="14"/>
      <c r="K82" s="14"/>
      <c r="L82" s="15"/>
      <c r="M82" s="15"/>
      <c r="N82" s="15"/>
      <c r="O82" s="16"/>
      <c r="P82" s="16"/>
      <c r="Q82" s="40"/>
      <c r="R82" s="40"/>
      <c r="S82" s="40"/>
      <c r="T82" s="53"/>
    </row>
    <row r="83" spans="1:20" x14ac:dyDescent="0.25">
      <c r="B83" s="143"/>
      <c r="C83" s="114" t="s">
        <v>67</v>
      </c>
      <c r="D83" s="152">
        <f>+M62</f>
        <v>0</v>
      </c>
      <c r="E83" s="153" t="s">
        <v>65</v>
      </c>
      <c r="F83" s="38"/>
      <c r="H83" s="52"/>
      <c r="I83" s="13"/>
      <c r="J83" s="14"/>
      <c r="K83" s="14"/>
      <c r="L83" s="15"/>
      <c r="M83" s="15"/>
      <c r="N83" s="15"/>
      <c r="O83" s="16"/>
      <c r="P83" s="16"/>
      <c r="Q83" s="40"/>
      <c r="R83" s="40"/>
      <c r="S83" s="40"/>
      <c r="T83" s="53"/>
    </row>
    <row r="84" spans="1:20" ht="13" thickBot="1" x14ac:dyDescent="0.3">
      <c r="B84" s="143"/>
      <c r="C84" s="167" t="s">
        <v>15</v>
      </c>
      <c r="D84" s="168">
        <f>SUM(D81:D83)</f>
        <v>0</v>
      </c>
      <c r="E84" s="143"/>
      <c r="F84" s="38"/>
      <c r="H84" s="52"/>
      <c r="I84" s="13"/>
      <c r="J84" s="14"/>
      <c r="K84" s="14"/>
      <c r="L84" s="15"/>
      <c r="M84" s="15"/>
      <c r="N84" s="15"/>
      <c r="O84" s="16"/>
      <c r="P84" s="16"/>
      <c r="Q84" s="40"/>
      <c r="R84" s="40"/>
      <c r="S84" s="40"/>
      <c r="T84" s="53"/>
    </row>
    <row r="85" spans="1:20" ht="13" thickTop="1" x14ac:dyDescent="0.25">
      <c r="C85" s="32"/>
      <c r="D85" s="38"/>
      <c r="E85" s="65"/>
      <c r="F85" s="38"/>
      <c r="H85" s="52"/>
      <c r="I85" s="13"/>
      <c r="J85" s="14"/>
      <c r="K85" s="14"/>
      <c r="L85" s="15"/>
      <c r="M85" s="15"/>
      <c r="N85" s="15"/>
      <c r="O85" s="16"/>
      <c r="P85" s="16"/>
      <c r="Q85" s="40"/>
      <c r="R85" s="40"/>
      <c r="S85" s="40"/>
      <c r="T85" s="53"/>
    </row>
    <row r="86" spans="1:20" x14ac:dyDescent="0.25">
      <c r="C86" s="32"/>
      <c r="D86" s="38"/>
      <c r="E86" s="65"/>
      <c r="F86" s="38"/>
      <c r="H86" s="52"/>
      <c r="I86" s="13"/>
      <c r="J86" s="14"/>
      <c r="K86" s="14"/>
      <c r="L86" s="15"/>
      <c r="M86" s="15"/>
      <c r="N86" s="15"/>
      <c r="O86" s="16"/>
      <c r="P86" s="16"/>
      <c r="Q86" s="40"/>
      <c r="R86" s="40"/>
      <c r="S86" s="40"/>
      <c r="T86" s="53"/>
    </row>
    <row r="87" spans="1:20" x14ac:dyDescent="0.25">
      <c r="H87" s="52"/>
      <c r="I87" s="13"/>
      <c r="J87" s="14"/>
      <c r="K87" s="14"/>
      <c r="L87" s="15"/>
      <c r="M87" s="15"/>
      <c r="N87" s="15"/>
      <c r="O87" s="16"/>
      <c r="P87" s="16"/>
      <c r="Q87" s="40"/>
      <c r="R87" s="40"/>
      <c r="S87" s="40"/>
      <c r="T87" s="53"/>
    </row>
    <row r="88" spans="1:20" x14ac:dyDescent="0.25">
      <c r="B88" s="101" t="s">
        <v>18</v>
      </c>
      <c r="D88" s="7"/>
      <c r="E88" s="7"/>
      <c r="F88" s="7"/>
      <c r="G88" s="7"/>
      <c r="J88" s="17"/>
      <c r="K88" s="17"/>
      <c r="L88" s="17"/>
      <c r="M88" s="17"/>
      <c r="N88" s="17"/>
      <c r="O88" s="16"/>
      <c r="P88" s="16"/>
      <c r="Q88" s="40"/>
      <c r="R88" s="40"/>
      <c r="S88" s="40"/>
      <c r="T88" s="53"/>
    </row>
    <row r="89" spans="1:20" ht="7" customHeight="1" x14ac:dyDescent="0.25">
      <c r="B89" s="101"/>
      <c r="D89" s="7"/>
      <c r="E89" s="7"/>
      <c r="F89" s="7"/>
      <c r="G89" s="7"/>
      <c r="J89" s="17"/>
      <c r="K89" s="17"/>
      <c r="L89" s="17"/>
      <c r="M89" s="17"/>
      <c r="N89" s="17"/>
      <c r="O89" s="16"/>
      <c r="P89" s="16"/>
      <c r="Q89" s="40"/>
      <c r="R89" s="40"/>
      <c r="S89" s="40"/>
      <c r="T89" s="53"/>
    </row>
    <row r="90" spans="1:20" x14ac:dyDescent="0.25">
      <c r="A90" s="23"/>
      <c r="B90" s="156" t="s">
        <v>69</v>
      </c>
      <c r="D90" s="17"/>
      <c r="E90" s="17"/>
      <c r="F90" s="17"/>
      <c r="G90" s="17"/>
      <c r="I90" s="17"/>
      <c r="J90" s="17"/>
      <c r="K90" s="17"/>
      <c r="L90" s="17"/>
      <c r="M90" s="17"/>
      <c r="N90" s="17"/>
      <c r="O90" s="16"/>
      <c r="P90" s="16"/>
      <c r="Q90" s="40"/>
      <c r="R90" s="40"/>
      <c r="S90" s="40"/>
      <c r="T90" s="53"/>
    </row>
    <row r="91" spans="1:20" ht="12.75" customHeight="1" x14ac:dyDescent="0.25">
      <c r="A91" s="23"/>
      <c r="B91" s="38" t="s">
        <v>70</v>
      </c>
      <c r="D91" s="17"/>
      <c r="E91" s="17"/>
      <c r="F91" s="17"/>
      <c r="G91" s="17"/>
      <c r="I91" s="17"/>
      <c r="J91" s="17"/>
      <c r="K91" s="17"/>
      <c r="L91" s="17"/>
      <c r="M91" s="17"/>
      <c r="N91" s="17"/>
      <c r="O91" s="16"/>
      <c r="P91" s="16"/>
      <c r="Q91" s="40"/>
      <c r="R91" s="40"/>
      <c r="S91" s="40"/>
      <c r="T91" s="53"/>
    </row>
    <row r="92" spans="1:20" x14ac:dyDescent="0.25">
      <c r="A92" s="93"/>
      <c r="B92" s="38" t="s">
        <v>71</v>
      </c>
      <c r="C92" s="19"/>
      <c r="D92" s="19"/>
      <c r="E92" s="19"/>
      <c r="F92" s="19"/>
      <c r="G92" s="19"/>
      <c r="H92" s="18"/>
      <c r="I92" s="17"/>
      <c r="J92" s="17"/>
      <c r="K92" s="17"/>
      <c r="L92" s="17"/>
      <c r="M92" s="17"/>
      <c r="N92" s="17"/>
      <c r="O92" s="16"/>
      <c r="P92" s="16"/>
      <c r="Q92" s="16"/>
      <c r="R92" s="40"/>
      <c r="S92" s="40"/>
      <c r="T92" s="53"/>
    </row>
    <row r="93" spans="1:20" x14ac:dyDescent="0.25">
      <c r="A93" s="93"/>
      <c r="B93" s="38" t="s">
        <v>72</v>
      </c>
      <c r="C93" s="19"/>
      <c r="D93" s="19"/>
      <c r="E93" s="19"/>
      <c r="F93" s="19"/>
      <c r="G93" s="19"/>
      <c r="H93" s="18"/>
      <c r="I93" s="17"/>
      <c r="J93" s="17"/>
      <c r="K93" s="17"/>
      <c r="L93" s="17"/>
      <c r="M93" s="17"/>
      <c r="N93" s="17"/>
      <c r="O93" s="16"/>
      <c r="P93" s="16"/>
      <c r="Q93" s="16"/>
      <c r="R93" s="40"/>
      <c r="S93" s="40"/>
      <c r="T93" s="53"/>
    </row>
    <row r="94" spans="1:20" x14ac:dyDescent="0.25">
      <c r="A94" s="157"/>
      <c r="B94" s="38" t="s">
        <v>73</v>
      </c>
      <c r="C94" s="19"/>
      <c r="D94" s="19"/>
      <c r="E94" s="19"/>
      <c r="F94" s="19"/>
      <c r="G94" s="19"/>
      <c r="H94" s="18"/>
      <c r="I94" s="17"/>
      <c r="J94" s="17"/>
      <c r="K94" s="17"/>
      <c r="L94" s="17"/>
      <c r="M94" s="17"/>
      <c r="N94" s="17"/>
      <c r="O94" s="16"/>
      <c r="P94" s="16"/>
      <c r="Q94" s="16"/>
      <c r="R94" s="40"/>
      <c r="S94" s="40"/>
      <c r="T94" s="53"/>
    </row>
    <row r="95" spans="1:20" x14ac:dyDescent="0.25">
      <c r="A95" s="157"/>
      <c r="B95" s="38" t="s">
        <v>74</v>
      </c>
      <c r="C95" s="19"/>
      <c r="D95" s="19"/>
      <c r="E95" s="19"/>
      <c r="F95" s="19"/>
      <c r="G95" s="19"/>
      <c r="H95" s="18"/>
      <c r="I95" s="17"/>
      <c r="J95" s="17"/>
      <c r="K95" s="17"/>
      <c r="L95" s="17"/>
      <c r="M95" s="17"/>
      <c r="N95" s="17"/>
      <c r="O95" s="16"/>
      <c r="P95" s="16"/>
      <c r="Q95" s="16"/>
      <c r="R95" s="40"/>
      <c r="S95" s="40"/>
      <c r="T95" s="53"/>
    </row>
    <row r="96" spans="1:20" x14ac:dyDescent="0.25">
      <c r="A96" s="157"/>
      <c r="B96" s="38"/>
      <c r="C96" s="19"/>
      <c r="D96" s="19"/>
      <c r="E96" s="19"/>
      <c r="F96" s="19"/>
      <c r="G96" s="19"/>
      <c r="H96" s="18"/>
      <c r="I96" s="17"/>
      <c r="J96" s="17"/>
      <c r="K96" s="17"/>
      <c r="L96" s="17"/>
      <c r="M96" s="17"/>
      <c r="N96" s="17"/>
      <c r="O96" s="16"/>
      <c r="P96" s="16"/>
      <c r="Q96" s="16"/>
      <c r="R96" s="40"/>
      <c r="S96" s="40"/>
      <c r="T96" s="53"/>
    </row>
    <row r="97" spans="1:20" x14ac:dyDescent="0.25">
      <c r="A97" s="157"/>
      <c r="B97" s="101" t="s">
        <v>90</v>
      </c>
      <c r="C97" s="19"/>
      <c r="D97" s="19"/>
      <c r="E97" s="19"/>
      <c r="F97" s="19"/>
      <c r="G97" s="19"/>
      <c r="H97" s="18"/>
      <c r="I97" s="17"/>
      <c r="J97" s="17"/>
      <c r="K97" s="17"/>
      <c r="L97" s="17"/>
      <c r="M97" s="17"/>
      <c r="N97" s="17"/>
      <c r="O97" s="16"/>
      <c r="P97" s="16"/>
      <c r="Q97" s="16"/>
      <c r="R97" s="40"/>
      <c r="S97" s="40"/>
      <c r="T97" s="53"/>
    </row>
    <row r="98" spans="1:20" ht="7" customHeight="1" x14ac:dyDescent="0.25">
      <c r="A98" s="157"/>
      <c r="B98" s="38"/>
      <c r="C98" s="19"/>
      <c r="D98" s="19"/>
      <c r="E98" s="19"/>
      <c r="F98" s="19"/>
      <c r="G98" s="19"/>
      <c r="H98" s="18"/>
      <c r="I98" s="17"/>
      <c r="J98" s="17"/>
      <c r="K98" s="17"/>
      <c r="L98" s="17"/>
      <c r="M98" s="17"/>
      <c r="N98" s="17"/>
      <c r="O98" s="16"/>
      <c r="P98" s="16"/>
      <c r="Q98" s="16"/>
      <c r="R98" s="40"/>
      <c r="S98" s="40"/>
      <c r="T98" s="53"/>
    </row>
    <row r="99" spans="1:20" x14ac:dyDescent="0.25">
      <c r="A99" s="122" t="s">
        <v>75</v>
      </c>
      <c r="B99" s="38"/>
      <c r="C99" s="19"/>
      <c r="D99" s="19"/>
      <c r="E99" s="19"/>
      <c r="F99" s="19"/>
      <c r="G99" s="19"/>
      <c r="H99" s="18"/>
      <c r="I99" s="17"/>
      <c r="J99" s="17"/>
      <c r="K99" s="17"/>
      <c r="L99" s="17"/>
      <c r="M99" s="17"/>
      <c r="N99" s="17"/>
      <c r="O99" s="16"/>
      <c r="P99" s="16"/>
      <c r="Q99" s="16"/>
      <c r="R99" s="40"/>
      <c r="S99" s="40"/>
      <c r="T99" s="53"/>
    </row>
    <row r="100" spans="1:20" x14ac:dyDescent="0.25">
      <c r="A100" s="122" t="s">
        <v>76</v>
      </c>
      <c r="B100" s="38"/>
      <c r="C100" s="19"/>
      <c r="D100" s="19"/>
      <c r="E100" s="19"/>
      <c r="F100" s="19"/>
      <c r="G100" s="19"/>
      <c r="H100" s="18"/>
      <c r="I100" s="17"/>
      <c r="J100" s="17"/>
      <c r="K100" s="17"/>
      <c r="L100" s="17"/>
      <c r="M100" s="17"/>
      <c r="N100" s="17"/>
      <c r="O100" s="16"/>
      <c r="P100" s="16"/>
      <c r="Q100" s="16"/>
      <c r="R100" s="40"/>
      <c r="S100" s="40"/>
      <c r="T100" s="53"/>
    </row>
    <row r="101" spans="1:20" x14ac:dyDescent="0.25">
      <c r="A101" s="122" t="s">
        <v>77</v>
      </c>
      <c r="B101" s="38"/>
      <c r="C101" s="19"/>
      <c r="D101" s="19"/>
      <c r="E101" s="19"/>
      <c r="F101" s="19"/>
      <c r="G101" s="19"/>
      <c r="H101" s="18"/>
      <c r="I101" s="17"/>
      <c r="J101" s="17"/>
      <c r="K101" s="17"/>
      <c r="L101" s="17"/>
      <c r="M101" s="17"/>
      <c r="N101" s="17"/>
      <c r="O101" s="16"/>
      <c r="P101" s="16"/>
      <c r="Q101" s="16"/>
      <c r="R101" s="40"/>
      <c r="S101" s="40"/>
      <c r="T101" s="53"/>
    </row>
    <row r="102" spans="1:20" x14ac:dyDescent="0.25">
      <c r="A102" s="93"/>
      <c r="C102" s="19"/>
      <c r="D102" s="19"/>
      <c r="E102" s="19"/>
      <c r="F102" s="19"/>
      <c r="G102" s="19"/>
      <c r="H102" s="18"/>
      <c r="I102" s="17"/>
      <c r="J102" s="17"/>
      <c r="K102" s="17"/>
      <c r="L102" s="17"/>
      <c r="M102" s="17"/>
      <c r="N102" s="17"/>
      <c r="O102" s="16"/>
      <c r="P102" s="16"/>
      <c r="Q102" s="16"/>
      <c r="R102" s="40"/>
      <c r="S102" s="40"/>
      <c r="T102" s="53"/>
    </row>
    <row r="103" spans="1:20" x14ac:dyDescent="0.25">
      <c r="A103" s="121"/>
      <c r="B103" s="101" t="s">
        <v>35</v>
      </c>
      <c r="C103" s="95"/>
      <c r="D103" s="95"/>
      <c r="E103" s="95"/>
      <c r="F103" s="95"/>
      <c r="G103" s="95"/>
      <c r="H103" s="24"/>
      <c r="I103" s="24"/>
      <c r="J103" s="24"/>
      <c r="K103" s="24"/>
      <c r="L103" s="24"/>
      <c r="M103" s="24"/>
      <c r="N103" s="24"/>
      <c r="O103" s="24"/>
      <c r="P103" s="16"/>
      <c r="Q103" s="16"/>
      <c r="R103" s="16"/>
      <c r="S103" s="16"/>
      <c r="T103" s="16"/>
    </row>
    <row r="104" spans="1:20" ht="7" customHeight="1" x14ac:dyDescent="0.25">
      <c r="A104" s="121"/>
      <c r="B104" s="101"/>
      <c r="C104" s="95"/>
      <c r="D104" s="95"/>
      <c r="E104" s="95"/>
      <c r="F104" s="95"/>
      <c r="G104" s="95"/>
      <c r="H104" s="24"/>
      <c r="I104" s="24"/>
      <c r="J104" s="24"/>
      <c r="K104" s="24"/>
      <c r="L104" s="24"/>
      <c r="M104" s="24"/>
      <c r="N104" s="24"/>
      <c r="O104" s="24"/>
      <c r="P104" s="16"/>
      <c r="Q104" s="16"/>
      <c r="R104" s="16"/>
      <c r="S104" s="16"/>
      <c r="T104" s="16"/>
    </row>
    <row r="105" spans="1:20" x14ac:dyDescent="0.25">
      <c r="A105" s="122" t="s">
        <v>36</v>
      </c>
      <c r="B105" s="101"/>
      <c r="C105" s="33"/>
    </row>
    <row r="106" spans="1:20" x14ac:dyDescent="0.25">
      <c r="A106" s="122" t="s">
        <v>37</v>
      </c>
      <c r="B106" s="101"/>
    </row>
    <row r="107" spans="1:20" x14ac:dyDescent="0.25">
      <c r="A107" s="122" t="s">
        <v>38</v>
      </c>
      <c r="B107" s="38"/>
    </row>
    <row r="108" spans="1:20" x14ac:dyDescent="0.25">
      <c r="A108" s="121"/>
      <c r="B108" s="123"/>
    </row>
    <row r="109" spans="1:20" x14ac:dyDescent="0.25">
      <c r="A109" s="121"/>
      <c r="B109" s="101" t="s">
        <v>39</v>
      </c>
    </row>
    <row r="110" spans="1:20" ht="7" customHeight="1" x14ac:dyDescent="0.25">
      <c r="A110" s="121"/>
      <c r="B110" s="101"/>
    </row>
    <row r="111" spans="1:20" x14ac:dyDescent="0.25">
      <c r="A111" s="122" t="s">
        <v>40</v>
      </c>
      <c r="B111" s="101"/>
    </row>
    <row r="112" spans="1:20" x14ac:dyDescent="0.25">
      <c r="A112" s="122" t="s">
        <v>41</v>
      </c>
      <c r="B112" s="38"/>
    </row>
    <row r="113" spans="1:2" x14ac:dyDescent="0.25">
      <c r="A113" s="122" t="s">
        <v>42</v>
      </c>
      <c r="B113" s="124"/>
    </row>
    <row r="114" spans="1:2" x14ac:dyDescent="0.25">
      <c r="A114" s="122"/>
      <c r="B114" s="124"/>
    </row>
    <row r="115" spans="1:2" x14ac:dyDescent="0.25">
      <c r="A115" s="125"/>
      <c r="B115" s="101" t="s">
        <v>43</v>
      </c>
    </row>
    <row r="116" spans="1:2" ht="7" customHeight="1" x14ac:dyDescent="0.25">
      <c r="A116" s="125"/>
      <c r="B116" s="101"/>
    </row>
    <row r="117" spans="1:2" x14ac:dyDescent="0.25">
      <c r="A117" s="125"/>
      <c r="B117" s="126" t="s">
        <v>44</v>
      </c>
    </row>
  </sheetData>
  <mergeCells count="6">
    <mergeCell ref="D38:I38"/>
    <mergeCell ref="R38:T38"/>
    <mergeCell ref="B53:D53"/>
    <mergeCell ref="L38:N38"/>
    <mergeCell ref="J38:K38"/>
    <mergeCell ref="O38:Q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cp:lastPrinted>2023-01-05T14:34:18Z</cp:lastPrinted>
  <dcterms:created xsi:type="dcterms:W3CDTF">2021-05-04T21:06:44Z</dcterms:created>
  <dcterms:modified xsi:type="dcterms:W3CDTF">2026-04-17T01:01:15Z</dcterms:modified>
</cp:coreProperties>
</file>