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3. Inventarios\"/>
    </mc:Choice>
  </mc:AlternateContent>
  <xr:revisionPtr revIDLastSave="0" documentId="13_ncr:1_{8624DFC4-92C9-4E36-843D-829AC02C2C8C}" xr6:coauthVersionLast="47" xr6:coauthVersionMax="47" xr10:uidLastSave="{00000000-0000-0000-0000-000000000000}"/>
  <bookViews>
    <workbookView xWindow="-110" yWindow="-110" windowWidth="19420" windowHeight="10300" xr2:uid="{DB6C0DCA-8B76-42D7-9E4C-543CE4DB49B1}"/>
  </bookViews>
  <sheets>
    <sheet name="110.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1" l="1"/>
  <c r="R35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D68" i="1" l="1"/>
  <c r="M53" i="1" l="1"/>
  <c r="D70" i="1" s="1"/>
  <c r="D71" i="1" s="1"/>
</calcChain>
</file>

<file path=xl/sharedStrings.xml><?xml version="1.0" encoding="utf-8"?>
<sst xmlns="http://schemas.openxmlformats.org/spreadsheetml/2006/main" count="81" uniqueCount="74">
  <si>
    <t>Preparado por:</t>
  </si>
  <si>
    <t>Revisado por:</t>
  </si>
  <si>
    <t xml:space="preserve">Objetivo: </t>
  </si>
  <si>
    <t>1.-</t>
  </si>
  <si>
    <t>2.-</t>
  </si>
  <si>
    <t>Fecha de contabilización</t>
  </si>
  <si>
    <t xml:space="preserve">Diferencia </t>
  </si>
  <si>
    <t>Descripción</t>
  </si>
  <si>
    <t>Fecha del sistema</t>
  </si>
  <si>
    <t>Documento</t>
  </si>
  <si>
    <t>Almacén</t>
  </si>
  <si>
    <t>Cantidad</t>
  </si>
  <si>
    <t>Costos</t>
  </si>
  <si>
    <t>Valor trans.</t>
  </si>
  <si>
    <t>Cantidad acumulada</t>
  </si>
  <si>
    <t>Valor acumulado</t>
  </si>
  <si>
    <t>Cuenta de mayor</t>
  </si>
  <si>
    <t>COMPAÑÍA MODELO S.A.</t>
  </si>
  <si>
    <t>CONCILIACIÓN DETALLE DE INVENTARIOS VS ESTADOS FINANCIEROS</t>
  </si>
  <si>
    <t>Base de decisión: Materialidad</t>
  </si>
  <si>
    <t xml:space="preserve">Marcas de Auditoría: </t>
  </si>
  <si>
    <t>Conclusión:</t>
  </si>
  <si>
    <t>Desarrollo:</t>
  </si>
  <si>
    <t>Ref.</t>
  </si>
  <si>
    <t>General</t>
  </si>
  <si>
    <t>XXX.XXX</t>
  </si>
  <si>
    <t>Desempeño</t>
  </si>
  <si>
    <t>Errores Triviales</t>
  </si>
  <si>
    <t>Sumatoria</t>
  </si>
  <si>
    <t>XX</t>
  </si>
  <si>
    <t>AL 31 DE DICIEMBRE DE 20XX</t>
  </si>
  <si>
    <t>*** El número de filas depende de los productos que tiene la Compañía Modelo S.A.</t>
  </si>
  <si>
    <t>*** El formato depende de la Compañía Modelo S.A.</t>
  </si>
  <si>
    <t>Notas aclaratorias:</t>
  </si>
  <si>
    <t>Observaciones:</t>
  </si>
  <si>
    <t>Preliminar</t>
  </si>
  <si>
    <t xml:space="preserve">Final </t>
  </si>
  <si>
    <t>[1]</t>
  </si>
  <si>
    <t>a)</t>
  </si>
  <si>
    <t>b)</t>
  </si>
  <si>
    <t>c)</t>
  </si>
  <si>
    <t>Obs.1</t>
  </si>
  <si>
    <t>Obs.2</t>
  </si>
  <si>
    <t>Obs.3</t>
  </si>
  <si>
    <t>***Concluir en función al objetivo</t>
  </si>
  <si>
    <t>110.04</t>
  </si>
  <si>
    <t>Procedimientos:</t>
  </si>
  <si>
    <t>Solicitar a la Compañía el stock de inventarios al _/_/20XX</t>
  </si>
  <si>
    <t>3.-</t>
  </si>
  <si>
    <t>4.-</t>
  </si>
  <si>
    <t>Verificar si existen partidas inusuales</t>
  </si>
  <si>
    <t>Documentar el papel de trabajo y concluir en base al objetivo.</t>
  </si>
  <si>
    <t>5.-</t>
  </si>
  <si>
    <t xml:space="preserve">Verificar que el saldo del stock de inventarios concilie íntegramente con el saldo de los estados financieros. </t>
  </si>
  <si>
    <t xml:space="preserve">Cruce con estados financieros </t>
  </si>
  <si>
    <t xml:space="preserve">Código cuenta contable </t>
  </si>
  <si>
    <t xml:space="preserve">Nombre cuenta contable </t>
  </si>
  <si>
    <t>Saldo según EEFF al _/_/20XX</t>
  </si>
  <si>
    <t>Saldo según stock de inventarios</t>
  </si>
  <si>
    <t>A</t>
  </si>
  <si>
    <t>B</t>
  </si>
  <si>
    <t>C</t>
  </si>
  <si>
    <t>Información proporcionada por el cliente</t>
  </si>
  <si>
    <t>FECHA DE CORTE: _/_/20XX</t>
  </si>
  <si>
    <t>Solicitar a la Compañía los estados financieros al _/_/20XX</t>
  </si>
  <si>
    <t>1) Cruce del stock de inventarios vs estado de situación financiera</t>
  </si>
  <si>
    <t>Verificar la integridad del saldo registrado en la cuenta de inventarios a través de la conciliación entre el stock de inventarios y libros contables al _/_/20XX</t>
  </si>
  <si>
    <t>Nro.</t>
  </si>
  <si>
    <t>Stock negativos</t>
  </si>
  <si>
    <t>Saldos negativos</t>
  </si>
  <si>
    <t>Cantidad en cero pero con precio</t>
  </si>
  <si>
    <t>Cálculos de Auditoría</t>
  </si>
  <si>
    <t>Nro. de artículo</t>
  </si>
  <si>
    <t xml:space="preserve">Verificaciones: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</si>
</sst>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8"/>
      <color theme="1"/>
      <name val="Futura-Book"/>
      <family val="2"/>
    </font>
    <font>
      <sz val="11"/>
      <color indexed="8"/>
      <name val="Calibri"/>
      <family val="2"/>
    </font>
    <font>
      <sz val="10"/>
      <color rgb="FF00206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sz val="10"/>
      <color rgb="FFFF0000"/>
      <name val="Symbol"/>
      <family val="1"/>
      <charset val="2"/>
    </font>
    <font>
      <b/>
      <u/>
      <sz val="10"/>
      <color rgb="FF0000FF"/>
      <name val="Tahoma"/>
      <family val="2"/>
    </font>
    <font>
      <sz val="11"/>
      <color theme="1"/>
      <name val="Calibri"/>
      <family val="2"/>
    </font>
    <font>
      <sz val="10"/>
      <color rgb="FFFF0000"/>
      <name val="Tahoma"/>
      <family val="2"/>
    </font>
    <font>
      <b/>
      <sz val="10"/>
      <color rgb="FF0000FF"/>
      <name val="Tahoma"/>
      <family val="2"/>
    </font>
    <font>
      <b/>
      <u/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8" fillId="0" borderId="0"/>
    <xf numFmtId="0" fontId="4" fillId="0" borderId="0"/>
    <xf numFmtId="0" fontId="16" fillId="0" borderId="0"/>
    <xf numFmtId="0" fontId="4" fillId="0" borderId="0"/>
    <xf numFmtId="0" fontId="4" fillId="0" borderId="0"/>
  </cellStyleXfs>
  <cellXfs count="67">
    <xf numFmtId="0" fontId="0" fillId="0" borderId="0" xfId="0"/>
    <xf numFmtId="0" fontId="9" fillId="0" borderId="0" xfId="2" applyFont="1"/>
    <xf numFmtId="0" fontId="6" fillId="0" borderId="0" xfId="0" applyFont="1"/>
    <xf numFmtId="0" fontId="6" fillId="2" borderId="1" xfId="0" applyFont="1" applyFill="1" applyBorder="1"/>
    <xf numFmtId="164" fontId="6" fillId="0" borderId="0" xfId="1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2" fillId="0" borderId="0" xfId="0" applyFont="1"/>
    <xf numFmtId="0" fontId="14" fillId="0" borderId="0" xfId="0" applyFont="1"/>
    <xf numFmtId="0" fontId="12" fillId="0" borderId="0" xfId="0" applyFont="1" applyAlignment="1">
      <alignment horizontal="center"/>
    </xf>
    <xf numFmtId="0" fontId="1" fillId="0" borderId="0" xfId="0" applyFont="1"/>
    <xf numFmtId="0" fontId="13" fillId="2" borderId="0" xfId="0" applyFont="1" applyFill="1" applyAlignment="1" applyProtection="1">
      <alignment horizontal="left" vertical="center"/>
      <protection hidden="1"/>
    </xf>
    <xf numFmtId="0" fontId="13" fillId="2" borderId="0" xfId="0" applyFont="1" applyFill="1"/>
    <xf numFmtId="0" fontId="15" fillId="0" borderId="0" xfId="0" applyFont="1"/>
    <xf numFmtId="0" fontId="1" fillId="0" borderId="3" xfId="0" applyFont="1" applyBorder="1"/>
    <xf numFmtId="0" fontId="10" fillId="2" borderId="0" xfId="3" applyFont="1" applyFill="1" applyAlignment="1">
      <alignment horizontal="left" vertical="center" indent="1"/>
    </xf>
    <xf numFmtId="0" fontId="13" fillId="3" borderId="2" xfId="0" applyFont="1" applyFill="1" applyBorder="1" applyAlignment="1" applyProtection="1">
      <alignment horizontal="center" vertical="center"/>
      <protection hidden="1"/>
    </xf>
    <xf numFmtId="164" fontId="5" fillId="0" borderId="5" xfId="1" applyNumberFormat="1" applyFont="1" applyBorder="1"/>
    <xf numFmtId="0" fontId="6" fillId="2" borderId="0" xfId="0" applyFont="1" applyFill="1" applyBorder="1"/>
    <xf numFmtId="0" fontId="13" fillId="0" borderId="0" xfId="7" applyFont="1" applyAlignment="1" applyProtection="1">
      <alignment horizontal="left" vertical="center"/>
      <protection hidden="1"/>
    </xf>
    <xf numFmtId="0" fontId="1" fillId="0" borderId="0" xfId="0" applyFont="1" applyAlignment="1">
      <alignment horizontal="left"/>
    </xf>
    <xf numFmtId="0" fontId="13" fillId="3" borderId="2" xfId="0" applyFont="1" applyFill="1" applyBorder="1" applyAlignment="1">
      <alignment horizontal="center" vertical="center" wrapText="1"/>
    </xf>
    <xf numFmtId="0" fontId="6" fillId="0" borderId="2" xfId="0" applyFont="1" applyBorder="1"/>
    <xf numFmtId="164" fontId="6" fillId="0" borderId="2" xfId="1" applyNumberFormat="1" applyFont="1" applyBorder="1"/>
    <xf numFmtId="0" fontId="17" fillId="0" borderId="2" xfId="0" applyFont="1" applyBorder="1"/>
    <xf numFmtId="0" fontId="13" fillId="0" borderId="0" xfId="0" applyFont="1"/>
    <xf numFmtId="0" fontId="13" fillId="4" borderId="2" xfId="0" applyFont="1" applyFill="1" applyBorder="1" applyAlignment="1">
      <alignment horizontal="center" vertical="center" wrapText="1"/>
    </xf>
    <xf numFmtId="0" fontId="6" fillId="0" borderId="0" xfId="0" applyFont="1" applyFill="1"/>
    <xf numFmtId="164" fontId="6" fillId="0" borderId="0" xfId="1" applyNumberFormat="1" applyFont="1" applyFill="1"/>
    <xf numFmtId="0" fontId="5" fillId="0" borderId="0" xfId="0" applyFont="1" applyFill="1"/>
    <xf numFmtId="0" fontId="18" fillId="0" borderId="0" xfId="0" applyFont="1" applyAlignment="1">
      <alignment horizontal="left"/>
    </xf>
    <xf numFmtId="0" fontId="13" fillId="0" borderId="2" xfId="0" applyFont="1" applyFill="1" applyBorder="1" applyAlignment="1">
      <alignment horizontal="center" vertical="center" wrapText="1"/>
    </xf>
    <xf numFmtId="0" fontId="6" fillId="0" borderId="0" xfId="0" applyFont="1" applyBorder="1"/>
    <xf numFmtId="164" fontId="6" fillId="0" borderId="0" xfId="0" applyNumberFormat="1" applyFont="1"/>
    <xf numFmtId="0" fontId="17" fillId="0" borderId="0" xfId="0" applyFont="1"/>
    <xf numFmtId="43" fontId="6" fillId="0" borderId="5" xfId="1" applyFont="1" applyBorder="1"/>
    <xf numFmtId="164" fontId="6" fillId="0" borderId="0" xfId="0" applyNumberFormat="1" applyFont="1" applyBorder="1"/>
    <xf numFmtId="0" fontId="12" fillId="0" borderId="0" xfId="3" applyFont="1" applyAlignment="1">
      <alignment horizontal="center" vertical="center"/>
    </xf>
    <xf numFmtId="0" fontId="12" fillId="2" borderId="0" xfId="6" applyFont="1" applyFill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9" fillId="2" borderId="0" xfId="5" applyFont="1" applyFill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0" borderId="2" xfId="6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8" applyFont="1"/>
    <xf numFmtId="0" fontId="13" fillId="0" borderId="0" xfId="0" applyFont="1" applyFill="1" applyBorder="1" applyAlignment="1">
      <alignment horizontal="center"/>
    </xf>
    <xf numFmtId="43" fontId="6" fillId="0" borderId="0" xfId="1" applyFont="1" applyBorder="1"/>
    <xf numFmtId="0" fontId="1" fillId="2" borderId="0" xfId="0" applyFont="1" applyFill="1" applyAlignment="1">
      <alignment vertical="center"/>
    </xf>
    <xf numFmtId="0" fontId="11" fillId="0" borderId="0" xfId="9" applyFont="1" applyBorder="1"/>
    <xf numFmtId="0" fontId="1" fillId="0" borderId="3" xfId="0" applyFont="1" applyFill="1" applyBorder="1"/>
    <xf numFmtId="0" fontId="13" fillId="0" borderId="0" xfId="0" applyFont="1" applyFill="1" applyAlignment="1">
      <alignment horizontal="left" vertical="top"/>
    </xf>
    <xf numFmtId="0" fontId="10" fillId="0" borderId="0" xfId="0" applyFont="1" applyFill="1"/>
    <xf numFmtId="0" fontId="1" fillId="0" borderId="0" xfId="0" applyFont="1" applyFill="1"/>
    <xf numFmtId="0" fontId="1" fillId="0" borderId="8" xfId="0" applyFont="1" applyBorder="1" applyAlignment="1">
      <alignment horizontal="center"/>
    </xf>
    <xf numFmtId="0" fontId="1" fillId="2" borderId="2" xfId="3" applyFont="1" applyFill="1" applyBorder="1" applyAlignment="1">
      <alignment horizontal="center" vertical="center"/>
    </xf>
    <xf numFmtId="0" fontId="12" fillId="0" borderId="2" xfId="4" applyFont="1" applyBorder="1" applyAlignment="1">
      <alignment horizontal="center" vertical="center"/>
    </xf>
    <xf numFmtId="0" fontId="1" fillId="2" borderId="0" xfId="3" applyFont="1" applyFill="1" applyBorder="1" applyAlignment="1">
      <alignment horizontal="center" vertical="center"/>
    </xf>
    <xf numFmtId="0" fontId="12" fillId="0" borderId="0" xfId="4" applyFont="1" applyBorder="1" applyAlignment="1">
      <alignment horizontal="center" vertical="center"/>
    </xf>
    <xf numFmtId="164" fontId="12" fillId="0" borderId="5" xfId="0" applyNumberFormat="1" applyFont="1" applyBorder="1"/>
    <xf numFmtId="0" fontId="18" fillId="0" borderId="0" xfId="0" applyFont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</cellXfs>
  <cellStyles count="10">
    <cellStyle name="Millares" xfId="1" builtinId="3"/>
    <cellStyle name="Normal" xfId="0" builtinId="0"/>
    <cellStyle name="Normal 17 2" xfId="9" xr:uid="{3BA79699-D81D-4BB0-85A1-059D8DA68B4D}"/>
    <cellStyle name="Normal 2" xfId="2" xr:uid="{31C9BD5F-844B-4447-8572-050BABD8F0C8}"/>
    <cellStyle name="Normal 2 10" xfId="6" xr:uid="{E69023D1-4CDF-4F7F-881E-9A3E8F18083F}"/>
    <cellStyle name="Normal 2 2 2 10" xfId="3" xr:uid="{5B57BEF6-C6DF-46F5-9342-7BADD7A7E1DD}"/>
    <cellStyle name="Normal 2 3 2 5" xfId="8" xr:uid="{1A62236A-AF6E-453A-9C4E-49CBC1D1057D}"/>
    <cellStyle name="Normal 50" xfId="4" xr:uid="{44740B29-27A0-4CD3-AF36-E6A2F610D1E9}"/>
    <cellStyle name="Normal 7" xfId="7" xr:uid="{291E57EE-2DBB-400D-8629-74381EBB55E2}"/>
    <cellStyle name="Normal_2102.1.1 Analisis de Partidas Conciliatorias" xfId="5" xr:uid="{BE16818C-9252-4394-A1FC-64111D0037C4}"/>
  </cellStyles>
  <dxfs count="0"/>
  <tableStyles count="0" defaultTableStyle="TableStyleMedium2" defaultPivotStyle="PivotStyleLight16"/>
  <colors>
    <mruColors>
      <color rgb="FF0000FF"/>
      <color rgb="FF073C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308864</xdr:colOff>
      <xdr:row>32</xdr:row>
      <xdr:rowOff>97536</xdr:rowOff>
    </xdr:from>
    <xdr:to>
      <xdr:col>13</xdr:col>
      <xdr:colOff>1057275</xdr:colOff>
      <xdr:row>32</xdr:row>
      <xdr:rowOff>104776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8273CCE0-B5EA-4103-93AF-865F2E532E90}"/>
            </a:ext>
          </a:extLst>
        </xdr:cNvPr>
        <xdr:cNvCxnSpPr/>
      </xdr:nvCxnSpPr>
      <xdr:spPr>
        <a:xfrm>
          <a:off x="601472" y="2934208"/>
          <a:ext cx="11452987" cy="724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34601</xdr:colOff>
      <xdr:row>31</xdr:row>
      <xdr:rowOff>106037</xdr:rowOff>
    </xdr:from>
    <xdr:to>
      <xdr:col>1</xdr:col>
      <xdr:colOff>267028</xdr:colOff>
      <xdr:row>33</xdr:row>
      <xdr:rowOff>20965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D810631-9289-41AA-B138-671C156EF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226" y="4582787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142324</xdr:colOff>
      <xdr:row>75</xdr:row>
      <xdr:rowOff>0</xdr:rowOff>
    </xdr:from>
    <xdr:to>
      <xdr:col>0</xdr:col>
      <xdr:colOff>301074</xdr:colOff>
      <xdr:row>76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BC27FD0-56C3-4399-93D8-37E75C2F0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24" y="12190523"/>
          <a:ext cx="158750" cy="162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748977</xdr:colOff>
      <xdr:row>51</xdr:row>
      <xdr:rowOff>58412</xdr:rowOff>
    </xdr:from>
    <xdr:ext cx="232427" cy="232427"/>
    <xdr:pic>
      <xdr:nvPicPr>
        <xdr:cNvPr id="7" name="Imagen 6">
          <a:extLst>
            <a:ext uri="{FF2B5EF4-FFF2-40B4-BE49-F238E27FC236}">
              <a16:creationId xmlns:a16="http://schemas.microsoft.com/office/drawing/2014/main" id="{4CF3193E-8EA8-4D87-AD30-E9CADBEA9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5852" y="8186412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138923</xdr:colOff>
      <xdr:row>76</xdr:row>
      <xdr:rowOff>0</xdr:rowOff>
    </xdr:from>
    <xdr:ext cx="158750" cy="158750"/>
    <xdr:pic>
      <xdr:nvPicPr>
        <xdr:cNvPr id="12" name="Imagen 11">
          <a:extLst>
            <a:ext uri="{FF2B5EF4-FFF2-40B4-BE49-F238E27FC236}">
              <a16:creationId xmlns:a16="http://schemas.microsoft.com/office/drawing/2014/main" id="{1D8E36FA-DEAE-4F8F-848A-088B0E74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923" y="12352965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1428750</xdr:colOff>
      <xdr:row>66</xdr:row>
      <xdr:rowOff>49213</xdr:rowOff>
    </xdr:from>
    <xdr:ext cx="232427" cy="232427"/>
    <xdr:pic>
      <xdr:nvPicPr>
        <xdr:cNvPr id="14" name="Imagen 13">
          <a:extLst>
            <a:ext uri="{FF2B5EF4-FFF2-40B4-BE49-F238E27FC236}">
              <a16:creationId xmlns:a16="http://schemas.microsoft.com/office/drawing/2014/main" id="{167730B5-D425-461F-9FD8-4CF4F662B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1250" y="10598151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125524</xdr:colOff>
      <xdr:row>76</xdr:row>
      <xdr:rowOff>147674</xdr:rowOff>
    </xdr:from>
    <xdr:to>
      <xdr:col>0</xdr:col>
      <xdr:colOff>311797</xdr:colOff>
      <xdr:row>78</xdr:row>
      <xdr:rowOff>2790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ACCF4C6-AEBF-4A75-9F39-C7A2B89FD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24" y="12500639"/>
          <a:ext cx="186273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186273</xdr:colOff>
      <xdr:row>33</xdr:row>
      <xdr:rowOff>17558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9A40636-5254-4325-8F3F-32125D18E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0930" y="5043081"/>
          <a:ext cx="186273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206744</xdr:colOff>
      <xdr:row>32</xdr:row>
      <xdr:rowOff>95988</xdr:rowOff>
    </xdr:from>
    <xdr:to>
      <xdr:col>17</xdr:col>
      <xdr:colOff>847604</xdr:colOff>
      <xdr:row>32</xdr:row>
      <xdr:rowOff>103228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FA339987-5DD6-47F4-843D-A5340B270548}"/>
            </a:ext>
          </a:extLst>
        </xdr:cNvPr>
        <xdr:cNvCxnSpPr/>
      </xdr:nvCxnSpPr>
      <xdr:spPr>
        <a:xfrm>
          <a:off x="15387674" y="5139069"/>
          <a:ext cx="2664000" cy="724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3E16-F983-49EB-9EAE-C8C5A4E48DE0}">
  <dimension ref="A1:R100"/>
  <sheetViews>
    <sheetView showGridLines="0" tabSelected="1" zoomScale="80" zoomScaleNormal="80" workbookViewId="0">
      <selection activeCell="P54" sqref="P54"/>
    </sheetView>
  </sheetViews>
  <sheetFormatPr baseColWidth="10" defaultColWidth="11.453125" defaultRowHeight="12.5"/>
  <cols>
    <col min="1" max="1" width="7.90625" style="2" customWidth="1"/>
    <col min="2" max="4" width="23.81640625" style="2" customWidth="1"/>
    <col min="5" max="5" width="14.81640625" style="2" customWidth="1"/>
    <col min="6" max="6" width="16.1796875" style="2" customWidth="1"/>
    <col min="7" max="8" width="11.453125" style="2" customWidth="1"/>
    <col min="9" max="9" width="13" style="2" customWidth="1"/>
    <col min="10" max="11" width="11.453125" style="2" customWidth="1"/>
    <col min="12" max="12" width="14.90625" style="2" customWidth="1"/>
    <col min="13" max="13" width="14.1796875" style="2" customWidth="1"/>
    <col min="14" max="14" width="16.1796875" style="2" customWidth="1"/>
    <col min="15" max="15" width="3.1796875" style="2" customWidth="1"/>
    <col min="16" max="18" width="15.7265625" style="2" customWidth="1"/>
    <col min="19" max="22" width="11.453125" style="2" customWidth="1"/>
    <col min="23" max="16384" width="11.453125" style="2"/>
  </cols>
  <sheetData>
    <row r="1" spans="1:18">
      <c r="A1" s="1"/>
      <c r="B1" s="1"/>
    </row>
    <row r="2" spans="1:18">
      <c r="A2" s="1"/>
      <c r="B2" s="1"/>
    </row>
    <row r="3" spans="1:18">
      <c r="A3" s="1"/>
      <c r="B3" s="1"/>
      <c r="P3" s="18" t="s">
        <v>0</v>
      </c>
      <c r="Q3" s="18" t="s">
        <v>1</v>
      </c>
      <c r="R3" s="18" t="s">
        <v>23</v>
      </c>
    </row>
    <row r="4" spans="1:18">
      <c r="A4" s="1"/>
      <c r="B4" s="1"/>
      <c r="P4" s="58" t="s">
        <v>29</v>
      </c>
      <c r="Q4" s="58" t="s">
        <v>29</v>
      </c>
      <c r="R4" s="59" t="s">
        <v>45</v>
      </c>
    </row>
    <row r="5" spans="1:18">
      <c r="A5" s="1"/>
      <c r="B5" s="1"/>
      <c r="P5" s="60"/>
      <c r="Q5" s="60"/>
      <c r="R5" s="61"/>
    </row>
    <row r="6" spans="1:18">
      <c r="A6" s="1"/>
      <c r="B6" s="13" t="s">
        <v>17</v>
      </c>
    </row>
    <row r="7" spans="1:18">
      <c r="A7" s="3"/>
      <c r="B7" s="14" t="s">
        <v>18</v>
      </c>
    </row>
    <row r="8" spans="1:18">
      <c r="A8" s="20"/>
      <c r="B8" s="21" t="s">
        <v>30</v>
      </c>
    </row>
    <row r="9" spans="1:18">
      <c r="A9" s="20"/>
      <c r="B9" s="54" t="s">
        <v>63</v>
      </c>
    </row>
    <row r="10" spans="1:18" ht="6" customHeight="1" thickBot="1">
      <c r="B10" s="53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ht="13" thickTop="1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>
      <c r="B12" s="15" t="s">
        <v>2</v>
      </c>
    </row>
    <row r="13" spans="1:18" ht="7" customHeight="1">
      <c r="B13" s="15"/>
    </row>
    <row r="14" spans="1:18">
      <c r="B14" s="56" t="s">
        <v>66</v>
      </c>
    </row>
    <row r="16" spans="1:18">
      <c r="B16" s="15" t="s">
        <v>19</v>
      </c>
      <c r="C16" s="12"/>
    </row>
    <row r="17" spans="1:4" ht="7" customHeight="1">
      <c r="B17" s="15"/>
      <c r="C17" s="12"/>
    </row>
    <row r="18" spans="1:4">
      <c r="B18" s="43"/>
      <c r="C18" s="44" t="s">
        <v>35</v>
      </c>
      <c r="D18" s="44" t="s">
        <v>36</v>
      </c>
    </row>
    <row r="19" spans="1:4">
      <c r="B19" s="45" t="s">
        <v>24</v>
      </c>
      <c r="C19" s="46" t="s">
        <v>25</v>
      </c>
      <c r="D19" s="46" t="s">
        <v>25</v>
      </c>
    </row>
    <row r="20" spans="1:4">
      <c r="B20" s="45" t="s">
        <v>26</v>
      </c>
      <c r="C20" s="46" t="s">
        <v>25</v>
      </c>
      <c r="D20" s="46" t="s">
        <v>25</v>
      </c>
    </row>
    <row r="21" spans="1:4">
      <c r="B21" s="45" t="s">
        <v>27</v>
      </c>
      <c r="C21" s="46" t="s">
        <v>25</v>
      </c>
      <c r="D21" s="46" t="s">
        <v>25</v>
      </c>
    </row>
    <row r="23" spans="1:4">
      <c r="B23" s="15" t="s">
        <v>46</v>
      </c>
    </row>
    <row r="24" spans="1:4" ht="7" customHeight="1">
      <c r="B24" s="15"/>
    </row>
    <row r="25" spans="1:4">
      <c r="A25" s="47" t="s">
        <v>3</v>
      </c>
      <c r="B25" s="12" t="s">
        <v>64</v>
      </c>
    </row>
    <row r="26" spans="1:4">
      <c r="A26" s="47" t="s">
        <v>4</v>
      </c>
      <c r="B26" s="9" t="s">
        <v>47</v>
      </c>
    </row>
    <row r="27" spans="1:4">
      <c r="A27" s="47" t="s">
        <v>48</v>
      </c>
      <c r="B27" s="9" t="s">
        <v>53</v>
      </c>
    </row>
    <row r="28" spans="1:4">
      <c r="A28" s="47" t="s">
        <v>49</v>
      </c>
      <c r="B28" s="9" t="s">
        <v>50</v>
      </c>
    </row>
    <row r="29" spans="1:4">
      <c r="A29" s="47" t="s">
        <v>52</v>
      </c>
      <c r="B29" s="48" t="s">
        <v>51</v>
      </c>
    </row>
    <row r="31" spans="1:4">
      <c r="B31" s="15" t="s">
        <v>22</v>
      </c>
    </row>
    <row r="33" spans="2:18">
      <c r="B33" s="8"/>
    </row>
    <row r="34" spans="2:18" ht="37.5">
      <c r="B34" s="23" t="s">
        <v>67</v>
      </c>
      <c r="C34" s="23" t="s">
        <v>72</v>
      </c>
      <c r="D34" s="23" t="s">
        <v>7</v>
      </c>
      <c r="E34" s="23" t="s">
        <v>8</v>
      </c>
      <c r="F34" s="23" t="s">
        <v>5</v>
      </c>
      <c r="G34" s="23" t="s">
        <v>9</v>
      </c>
      <c r="H34" s="23" t="s">
        <v>10</v>
      </c>
      <c r="I34" s="23" t="s">
        <v>11</v>
      </c>
      <c r="J34" s="23" t="s">
        <v>12</v>
      </c>
      <c r="K34" s="23" t="s">
        <v>13</v>
      </c>
      <c r="L34" s="23" t="s">
        <v>14</v>
      </c>
      <c r="M34" s="23" t="s">
        <v>15</v>
      </c>
      <c r="N34" s="23" t="s">
        <v>16</v>
      </c>
      <c r="P34" s="23" t="s">
        <v>68</v>
      </c>
      <c r="Q34" s="23" t="s">
        <v>69</v>
      </c>
      <c r="R34" s="23" t="s">
        <v>70</v>
      </c>
    </row>
    <row r="35" spans="2:18">
      <c r="B35" s="24"/>
      <c r="C35" s="24"/>
      <c r="D35" s="24"/>
      <c r="E35" s="24"/>
      <c r="F35" s="24"/>
      <c r="G35" s="24"/>
      <c r="H35" s="24"/>
      <c r="I35" s="25">
        <v>0</v>
      </c>
      <c r="J35" s="25">
        <v>0</v>
      </c>
      <c r="K35" s="25"/>
      <c r="L35" s="25"/>
      <c r="M35" s="25">
        <v>0</v>
      </c>
      <c r="N35" s="24"/>
      <c r="P35" s="57" t="str">
        <f>+IF(I35&gt;=0,"Correcto","Incorrecto")</f>
        <v>Correcto</v>
      </c>
      <c r="Q35" s="57" t="str">
        <f>+IF(J35&gt;=0,"Correcto","Incorrecto")</f>
        <v>Correcto</v>
      </c>
      <c r="R35" s="57" t="str">
        <f t="shared" ref="R35:R51" si="0">IF(AND(I35=0,J35&gt;0),"Incorrecto","Correcto")</f>
        <v>Correcto</v>
      </c>
    </row>
    <row r="36" spans="2:18">
      <c r="B36" s="24"/>
      <c r="C36" s="24"/>
      <c r="D36" s="24"/>
      <c r="E36" s="24"/>
      <c r="F36" s="24"/>
      <c r="G36" s="24"/>
      <c r="H36" s="24"/>
      <c r="I36" s="25">
        <v>0</v>
      </c>
      <c r="J36" s="25">
        <v>0</v>
      </c>
      <c r="K36" s="25"/>
      <c r="L36" s="25"/>
      <c r="M36" s="25">
        <v>0</v>
      </c>
      <c r="N36" s="24"/>
      <c r="P36" s="57" t="str">
        <f t="shared" ref="P36:P51" si="1">+IF(I36&gt;=0,"Correcto","Incorrecto")</f>
        <v>Correcto</v>
      </c>
      <c r="Q36" s="57" t="str">
        <f t="shared" ref="Q36:Q51" si="2">+IF(J36&gt;=0,"Correcto","Incorrecto")</f>
        <v>Correcto</v>
      </c>
      <c r="R36" s="57" t="str">
        <f t="shared" si="0"/>
        <v>Correcto</v>
      </c>
    </row>
    <row r="37" spans="2:18">
      <c r="B37" s="24"/>
      <c r="C37" s="24"/>
      <c r="D37" s="24"/>
      <c r="E37" s="24"/>
      <c r="F37" s="24"/>
      <c r="G37" s="24"/>
      <c r="H37" s="24"/>
      <c r="I37" s="25">
        <v>0</v>
      </c>
      <c r="J37" s="25">
        <v>0</v>
      </c>
      <c r="K37" s="25"/>
      <c r="L37" s="25"/>
      <c r="M37" s="25">
        <v>0</v>
      </c>
      <c r="N37" s="24"/>
      <c r="P37" s="57" t="str">
        <f t="shared" si="1"/>
        <v>Correcto</v>
      </c>
      <c r="Q37" s="57" t="str">
        <f t="shared" si="2"/>
        <v>Correcto</v>
      </c>
      <c r="R37" s="57" t="str">
        <f t="shared" si="0"/>
        <v>Correcto</v>
      </c>
    </row>
    <row r="38" spans="2:18">
      <c r="B38" s="24"/>
      <c r="C38" s="24"/>
      <c r="D38" s="24"/>
      <c r="E38" s="24"/>
      <c r="F38" s="24"/>
      <c r="G38" s="24"/>
      <c r="H38" s="24"/>
      <c r="I38" s="25">
        <v>0</v>
      </c>
      <c r="J38" s="25">
        <v>0</v>
      </c>
      <c r="K38" s="25"/>
      <c r="L38" s="25"/>
      <c r="M38" s="25">
        <v>0</v>
      </c>
      <c r="N38" s="24"/>
      <c r="P38" s="57" t="str">
        <f t="shared" si="1"/>
        <v>Correcto</v>
      </c>
      <c r="Q38" s="57" t="str">
        <f t="shared" si="2"/>
        <v>Correcto</v>
      </c>
      <c r="R38" s="57" t="str">
        <f t="shared" si="0"/>
        <v>Correcto</v>
      </c>
    </row>
    <row r="39" spans="2:18">
      <c r="B39" s="24"/>
      <c r="C39" s="24"/>
      <c r="D39" s="24"/>
      <c r="E39" s="24"/>
      <c r="F39" s="24"/>
      <c r="G39" s="24"/>
      <c r="H39" s="24"/>
      <c r="I39" s="25">
        <v>0</v>
      </c>
      <c r="J39" s="25">
        <v>0</v>
      </c>
      <c r="K39" s="25"/>
      <c r="L39" s="25"/>
      <c r="M39" s="25">
        <v>0</v>
      </c>
      <c r="N39" s="24"/>
      <c r="P39" s="57" t="str">
        <f t="shared" si="1"/>
        <v>Correcto</v>
      </c>
      <c r="Q39" s="57" t="str">
        <f t="shared" si="2"/>
        <v>Correcto</v>
      </c>
      <c r="R39" s="57" t="str">
        <f t="shared" si="0"/>
        <v>Correcto</v>
      </c>
    </row>
    <row r="40" spans="2:18">
      <c r="B40" s="24"/>
      <c r="C40" s="24"/>
      <c r="D40" s="24"/>
      <c r="E40" s="24"/>
      <c r="F40" s="24"/>
      <c r="G40" s="24"/>
      <c r="H40" s="24"/>
      <c r="I40" s="25">
        <v>0</v>
      </c>
      <c r="J40" s="25">
        <v>0</v>
      </c>
      <c r="K40" s="25"/>
      <c r="L40" s="25"/>
      <c r="M40" s="25">
        <v>0</v>
      </c>
      <c r="N40" s="24"/>
      <c r="P40" s="57" t="str">
        <f t="shared" si="1"/>
        <v>Correcto</v>
      </c>
      <c r="Q40" s="57" t="str">
        <f t="shared" si="2"/>
        <v>Correcto</v>
      </c>
      <c r="R40" s="57" t="str">
        <f t="shared" si="0"/>
        <v>Correcto</v>
      </c>
    </row>
    <row r="41" spans="2:18">
      <c r="B41" s="26" t="s">
        <v>31</v>
      </c>
      <c r="C41" s="24"/>
      <c r="D41" s="24"/>
      <c r="E41" s="24"/>
      <c r="F41" s="24"/>
      <c r="G41" s="24"/>
      <c r="H41" s="24"/>
      <c r="I41" s="25">
        <v>0</v>
      </c>
      <c r="J41" s="25">
        <v>0</v>
      </c>
      <c r="K41" s="25"/>
      <c r="L41" s="25"/>
      <c r="M41" s="25">
        <v>0</v>
      </c>
      <c r="N41" s="24"/>
      <c r="P41" s="57" t="str">
        <f t="shared" si="1"/>
        <v>Correcto</v>
      </c>
      <c r="Q41" s="57" t="str">
        <f t="shared" si="2"/>
        <v>Correcto</v>
      </c>
      <c r="R41" s="57" t="str">
        <f t="shared" si="0"/>
        <v>Correcto</v>
      </c>
    </row>
    <row r="42" spans="2:18">
      <c r="B42" s="26" t="s">
        <v>32</v>
      </c>
      <c r="C42" s="24"/>
      <c r="D42" s="24"/>
      <c r="E42" s="24"/>
      <c r="F42" s="24"/>
      <c r="G42" s="24"/>
      <c r="H42" s="24"/>
      <c r="I42" s="25">
        <v>0</v>
      </c>
      <c r="J42" s="25">
        <v>0</v>
      </c>
      <c r="K42" s="25"/>
      <c r="L42" s="25"/>
      <c r="M42" s="25">
        <v>0</v>
      </c>
      <c r="N42" s="24"/>
      <c r="P42" s="57" t="str">
        <f t="shared" si="1"/>
        <v>Correcto</v>
      </c>
      <c r="Q42" s="57" t="str">
        <f t="shared" si="2"/>
        <v>Correcto</v>
      </c>
      <c r="R42" s="57" t="str">
        <f t="shared" si="0"/>
        <v>Correcto</v>
      </c>
    </row>
    <row r="43" spans="2:18">
      <c r="B43" s="24"/>
      <c r="C43" s="24"/>
      <c r="D43" s="24"/>
      <c r="E43" s="24"/>
      <c r="F43" s="24"/>
      <c r="G43" s="24"/>
      <c r="H43" s="24"/>
      <c r="I43" s="25">
        <v>0</v>
      </c>
      <c r="J43" s="25">
        <v>0</v>
      </c>
      <c r="K43" s="25"/>
      <c r="L43" s="25"/>
      <c r="M43" s="25">
        <v>0</v>
      </c>
      <c r="N43" s="24"/>
      <c r="P43" s="57" t="str">
        <f t="shared" si="1"/>
        <v>Correcto</v>
      </c>
      <c r="Q43" s="57" t="str">
        <f t="shared" si="2"/>
        <v>Correcto</v>
      </c>
      <c r="R43" s="57" t="str">
        <f t="shared" si="0"/>
        <v>Correcto</v>
      </c>
    </row>
    <row r="44" spans="2:18">
      <c r="B44" s="24"/>
      <c r="C44" s="24"/>
      <c r="D44" s="24"/>
      <c r="E44" s="24"/>
      <c r="F44" s="24"/>
      <c r="G44" s="24"/>
      <c r="H44" s="24"/>
      <c r="I44" s="25">
        <v>0</v>
      </c>
      <c r="J44" s="25">
        <v>0</v>
      </c>
      <c r="K44" s="25"/>
      <c r="L44" s="25"/>
      <c r="M44" s="25">
        <v>0</v>
      </c>
      <c r="N44" s="24"/>
      <c r="P44" s="57" t="str">
        <f t="shared" si="1"/>
        <v>Correcto</v>
      </c>
      <c r="Q44" s="57" t="str">
        <f t="shared" si="2"/>
        <v>Correcto</v>
      </c>
      <c r="R44" s="57" t="str">
        <f t="shared" si="0"/>
        <v>Correcto</v>
      </c>
    </row>
    <row r="45" spans="2:18">
      <c r="B45" s="24"/>
      <c r="C45" s="24"/>
      <c r="D45" s="24"/>
      <c r="E45" s="24"/>
      <c r="F45" s="24"/>
      <c r="G45" s="24"/>
      <c r="H45" s="24"/>
      <c r="I45" s="25">
        <v>0</v>
      </c>
      <c r="J45" s="25">
        <v>0</v>
      </c>
      <c r="K45" s="25"/>
      <c r="L45" s="25"/>
      <c r="M45" s="25">
        <v>0</v>
      </c>
      <c r="N45" s="24"/>
      <c r="P45" s="57" t="str">
        <f t="shared" si="1"/>
        <v>Correcto</v>
      </c>
      <c r="Q45" s="57" t="str">
        <f t="shared" si="2"/>
        <v>Correcto</v>
      </c>
      <c r="R45" s="57" t="str">
        <f t="shared" si="0"/>
        <v>Correcto</v>
      </c>
    </row>
    <row r="46" spans="2:18">
      <c r="B46" s="24"/>
      <c r="C46" s="24"/>
      <c r="D46" s="24"/>
      <c r="E46" s="24"/>
      <c r="F46" s="24"/>
      <c r="G46" s="24"/>
      <c r="H46" s="24"/>
      <c r="I46" s="25">
        <v>0</v>
      </c>
      <c r="J46" s="25">
        <v>0</v>
      </c>
      <c r="K46" s="25"/>
      <c r="L46" s="25"/>
      <c r="M46" s="25">
        <v>0</v>
      </c>
      <c r="N46" s="24"/>
      <c r="P46" s="57" t="str">
        <f t="shared" si="1"/>
        <v>Correcto</v>
      </c>
      <c r="Q46" s="57" t="str">
        <f t="shared" si="2"/>
        <v>Correcto</v>
      </c>
      <c r="R46" s="57" t="str">
        <f t="shared" si="0"/>
        <v>Correcto</v>
      </c>
    </row>
    <row r="47" spans="2:18">
      <c r="B47" s="24"/>
      <c r="C47" s="24"/>
      <c r="D47" s="24"/>
      <c r="E47" s="24"/>
      <c r="F47" s="24"/>
      <c r="G47" s="24"/>
      <c r="H47" s="24"/>
      <c r="I47" s="25">
        <v>0</v>
      </c>
      <c r="J47" s="25">
        <v>0</v>
      </c>
      <c r="K47" s="25"/>
      <c r="L47" s="25"/>
      <c r="M47" s="25">
        <v>0</v>
      </c>
      <c r="N47" s="24"/>
      <c r="P47" s="57" t="str">
        <f t="shared" si="1"/>
        <v>Correcto</v>
      </c>
      <c r="Q47" s="57" t="str">
        <f t="shared" si="2"/>
        <v>Correcto</v>
      </c>
      <c r="R47" s="57" t="str">
        <f t="shared" si="0"/>
        <v>Correcto</v>
      </c>
    </row>
    <row r="48" spans="2:18">
      <c r="B48" s="24"/>
      <c r="C48" s="24"/>
      <c r="D48" s="24"/>
      <c r="E48" s="24"/>
      <c r="F48" s="24"/>
      <c r="G48" s="24"/>
      <c r="H48" s="24"/>
      <c r="I48" s="25">
        <v>0</v>
      </c>
      <c r="J48" s="25">
        <v>0</v>
      </c>
      <c r="K48" s="25"/>
      <c r="L48" s="25"/>
      <c r="M48" s="25">
        <v>0</v>
      </c>
      <c r="N48" s="24"/>
      <c r="P48" s="57" t="str">
        <f t="shared" si="1"/>
        <v>Correcto</v>
      </c>
      <c r="Q48" s="57" t="str">
        <f t="shared" si="2"/>
        <v>Correcto</v>
      </c>
      <c r="R48" s="57" t="str">
        <f t="shared" si="0"/>
        <v>Correcto</v>
      </c>
    </row>
    <row r="49" spans="2:18">
      <c r="B49" s="24"/>
      <c r="C49" s="24"/>
      <c r="D49" s="24"/>
      <c r="E49" s="24"/>
      <c r="F49" s="24"/>
      <c r="G49" s="24"/>
      <c r="H49" s="24"/>
      <c r="I49" s="25">
        <v>0</v>
      </c>
      <c r="J49" s="25">
        <v>0</v>
      </c>
      <c r="K49" s="25"/>
      <c r="L49" s="25"/>
      <c r="M49" s="25">
        <v>0</v>
      </c>
      <c r="N49" s="24"/>
      <c r="P49" s="57" t="str">
        <f t="shared" si="1"/>
        <v>Correcto</v>
      </c>
      <c r="Q49" s="57" t="str">
        <f t="shared" si="2"/>
        <v>Correcto</v>
      </c>
      <c r="R49" s="57" t="str">
        <f t="shared" si="0"/>
        <v>Correcto</v>
      </c>
    </row>
    <row r="50" spans="2:18">
      <c r="B50" s="24"/>
      <c r="C50" s="24"/>
      <c r="D50" s="24"/>
      <c r="E50" s="24"/>
      <c r="F50" s="24"/>
      <c r="G50" s="24"/>
      <c r="H50" s="24"/>
      <c r="I50" s="25">
        <v>0</v>
      </c>
      <c r="J50" s="25">
        <v>0</v>
      </c>
      <c r="K50" s="25"/>
      <c r="L50" s="25"/>
      <c r="M50" s="25">
        <v>0</v>
      </c>
      <c r="N50" s="24"/>
      <c r="P50" s="57" t="str">
        <f t="shared" si="1"/>
        <v>Correcto</v>
      </c>
      <c r="Q50" s="57" t="str">
        <f t="shared" si="2"/>
        <v>Correcto</v>
      </c>
      <c r="R50" s="57" t="str">
        <f t="shared" si="0"/>
        <v>Correcto</v>
      </c>
    </row>
    <row r="51" spans="2:18">
      <c r="B51" s="24"/>
      <c r="C51" s="24"/>
      <c r="D51" s="24"/>
      <c r="E51" s="24"/>
      <c r="F51" s="24"/>
      <c r="G51" s="24"/>
      <c r="H51" s="24"/>
      <c r="I51" s="25">
        <v>0</v>
      </c>
      <c r="J51" s="25">
        <v>0</v>
      </c>
      <c r="K51" s="25"/>
      <c r="L51" s="25"/>
      <c r="M51" s="25">
        <v>0</v>
      </c>
      <c r="N51" s="24"/>
      <c r="P51" s="57" t="str">
        <f t="shared" si="1"/>
        <v>Correcto</v>
      </c>
      <c r="Q51" s="57" t="str">
        <f t="shared" si="2"/>
        <v>Correcto</v>
      </c>
      <c r="R51" s="57" t="str">
        <f t="shared" si="0"/>
        <v>Correcto</v>
      </c>
    </row>
    <row r="52" spans="2:18" ht="6" customHeight="1"/>
    <row r="53" spans="2:18" ht="13" thickBot="1">
      <c r="K53" s="5"/>
      <c r="L53" s="6"/>
      <c r="M53" s="19">
        <f>+SUM(M35:M51)</f>
        <v>0</v>
      </c>
    </row>
    <row r="54" spans="2:18" ht="15" thickTop="1">
      <c r="K54"/>
      <c r="L54"/>
      <c r="M54" s="63" t="s">
        <v>37</v>
      </c>
      <c r="N54"/>
    </row>
    <row r="55" spans="2:18" ht="6" customHeight="1">
      <c r="K55"/>
      <c r="L55"/>
      <c r="M55"/>
      <c r="N55"/>
    </row>
    <row r="56" spans="2:18">
      <c r="M56" s="4"/>
      <c r="N56" s="5"/>
    </row>
    <row r="57" spans="2:18">
      <c r="B57" s="64" t="s">
        <v>54</v>
      </c>
      <c r="C57" s="65"/>
      <c r="D57" s="66"/>
      <c r="M57" s="4"/>
      <c r="N57" s="5"/>
    </row>
    <row r="58" spans="2:18" s="29" customFormat="1">
      <c r="B58" s="49"/>
      <c r="C58" s="49"/>
      <c r="D58" s="49"/>
      <c r="M58" s="30"/>
      <c r="N58" s="31"/>
    </row>
    <row r="59" spans="2:18">
      <c r="B59" s="55" t="s">
        <v>65</v>
      </c>
      <c r="C59" s="56"/>
      <c r="D59" s="56"/>
      <c r="E59" s="29"/>
      <c r="M59" s="4"/>
      <c r="N59" s="5"/>
    </row>
    <row r="60" spans="2:18">
      <c r="B60" s="27"/>
      <c r="C60" s="12"/>
      <c r="D60" s="12"/>
      <c r="M60" s="4"/>
      <c r="N60" s="5"/>
    </row>
    <row r="61" spans="2:18" ht="25">
      <c r="B61" s="23" t="s">
        <v>55</v>
      </c>
      <c r="C61" s="23" t="s">
        <v>56</v>
      </c>
      <c r="D61" s="28" t="s">
        <v>57</v>
      </c>
      <c r="M61" s="4"/>
      <c r="N61" s="5"/>
    </row>
    <row r="62" spans="2:18" s="29" customFormat="1">
      <c r="B62" s="33"/>
      <c r="C62" s="33"/>
      <c r="D62" s="33"/>
      <c r="M62" s="30"/>
      <c r="N62" s="31"/>
    </row>
    <row r="63" spans="2:18" s="29" customFormat="1">
      <c r="B63" s="33"/>
      <c r="C63" s="33"/>
      <c r="D63" s="33"/>
      <c r="M63" s="30"/>
      <c r="N63" s="31"/>
    </row>
    <row r="64" spans="2:18" s="29" customFormat="1">
      <c r="B64" s="33"/>
      <c r="C64" s="33"/>
      <c r="D64" s="33"/>
      <c r="M64" s="30"/>
      <c r="N64" s="31"/>
    </row>
    <row r="65" spans="1:14">
      <c r="B65" s="24"/>
      <c r="C65" s="24"/>
      <c r="D65" s="24"/>
      <c r="M65" s="4"/>
      <c r="N65" s="5"/>
    </row>
    <row r="66" spans="1:14">
      <c r="B66" s="24"/>
      <c r="C66" s="24"/>
      <c r="D66" s="24"/>
      <c r="M66" s="4"/>
      <c r="N66" s="5"/>
    </row>
    <row r="67" spans="1:14" ht="6" customHeight="1">
      <c r="B67" s="34"/>
      <c r="C67" s="34"/>
      <c r="D67" s="34"/>
      <c r="M67" s="4"/>
      <c r="N67" s="5"/>
    </row>
    <row r="68" spans="1:14" ht="13" thickBot="1">
      <c r="B68" s="34"/>
      <c r="C68" s="34"/>
      <c r="D68" s="37">
        <f>+SUM(D62:D66)</f>
        <v>0</v>
      </c>
      <c r="M68" s="4"/>
      <c r="N68" s="5"/>
    </row>
    <row r="69" spans="1:14" ht="13" thickTop="1">
      <c r="B69" s="34"/>
      <c r="C69" s="34"/>
      <c r="D69" s="50"/>
      <c r="M69" s="4"/>
      <c r="N69" s="5"/>
    </row>
    <row r="70" spans="1:14">
      <c r="C70" s="42" t="s">
        <v>58</v>
      </c>
      <c r="D70" s="35">
        <f>+M53</f>
        <v>0</v>
      </c>
      <c r="E70" s="32" t="s">
        <v>37</v>
      </c>
      <c r="M70" s="4"/>
      <c r="N70" s="5"/>
    </row>
    <row r="71" spans="1:14" ht="13" thickBot="1">
      <c r="C71" s="7" t="s">
        <v>6</v>
      </c>
      <c r="D71" s="62">
        <f>+D68-D70</f>
        <v>0</v>
      </c>
      <c r="M71" s="4"/>
      <c r="N71" s="5"/>
    </row>
    <row r="72" spans="1:14" ht="13" thickTop="1">
      <c r="C72" s="36"/>
      <c r="D72" s="38"/>
      <c r="M72" s="4"/>
      <c r="N72" s="5"/>
    </row>
    <row r="74" spans="1:14">
      <c r="B74" s="15" t="s">
        <v>20</v>
      </c>
    </row>
    <row r="75" spans="1:14" ht="7" customHeight="1">
      <c r="B75" s="15"/>
    </row>
    <row r="76" spans="1:14">
      <c r="A76" s="8"/>
      <c r="B76" s="52" t="s">
        <v>62</v>
      </c>
    </row>
    <row r="77" spans="1:14">
      <c r="A77" s="11"/>
      <c r="B77" s="12" t="s">
        <v>28</v>
      </c>
    </row>
    <row r="78" spans="1:14">
      <c r="A78" s="11"/>
      <c r="B78" s="12" t="s">
        <v>71</v>
      </c>
    </row>
    <row r="79" spans="1:14">
      <c r="A79" s="11"/>
      <c r="B79" s="12"/>
    </row>
    <row r="80" spans="1:14">
      <c r="A80" s="51"/>
      <c r="B80" s="15" t="s">
        <v>73</v>
      </c>
    </row>
    <row r="81" spans="1:3" ht="7" customHeight="1">
      <c r="A81" s="51"/>
      <c r="B81" s="12"/>
    </row>
    <row r="82" spans="1:3">
      <c r="A82" s="40" t="s">
        <v>59</v>
      </c>
      <c r="B82" s="12"/>
    </row>
    <row r="83" spans="1:3">
      <c r="A83" s="40" t="s">
        <v>60</v>
      </c>
      <c r="B83" s="12"/>
    </row>
    <row r="84" spans="1:3">
      <c r="A84" s="40" t="s">
        <v>61</v>
      </c>
      <c r="B84" s="12"/>
    </row>
    <row r="85" spans="1:3">
      <c r="A85" s="10"/>
    </row>
    <row r="86" spans="1:3">
      <c r="A86" s="39"/>
      <c r="B86" s="15" t="s">
        <v>33</v>
      </c>
      <c r="C86" s="12"/>
    </row>
    <row r="87" spans="1:3" ht="7" customHeight="1">
      <c r="A87" s="39"/>
      <c r="B87" s="15"/>
      <c r="C87" s="12"/>
    </row>
    <row r="88" spans="1:3">
      <c r="A88" s="40" t="s">
        <v>38</v>
      </c>
      <c r="B88" s="15"/>
      <c r="C88" s="12"/>
    </row>
    <row r="89" spans="1:3">
      <c r="A89" s="40" t="s">
        <v>39</v>
      </c>
      <c r="B89" s="15"/>
      <c r="C89" s="12"/>
    </row>
    <row r="90" spans="1:3">
      <c r="A90" s="40" t="s">
        <v>40</v>
      </c>
      <c r="B90" s="12"/>
      <c r="C90" s="12"/>
    </row>
    <row r="91" spans="1:3">
      <c r="A91" s="39"/>
      <c r="B91" s="7"/>
      <c r="C91" s="12"/>
    </row>
    <row r="92" spans="1:3">
      <c r="A92" s="39"/>
      <c r="B92" s="15" t="s">
        <v>34</v>
      </c>
      <c r="C92" s="12"/>
    </row>
    <row r="93" spans="1:3" ht="7" customHeight="1">
      <c r="A93" s="39"/>
      <c r="B93" s="15"/>
      <c r="C93" s="12"/>
    </row>
    <row r="94" spans="1:3">
      <c r="A94" s="40" t="s">
        <v>41</v>
      </c>
      <c r="B94" s="15"/>
      <c r="C94" s="12"/>
    </row>
    <row r="95" spans="1:3">
      <c r="A95" s="40" t="s">
        <v>42</v>
      </c>
      <c r="B95" s="12"/>
      <c r="C95" s="12"/>
    </row>
    <row r="96" spans="1:3">
      <c r="A96" s="40" t="s">
        <v>43</v>
      </c>
      <c r="B96" s="22"/>
      <c r="C96" s="12"/>
    </row>
    <row r="97" spans="1:3">
      <c r="A97" s="40"/>
      <c r="B97" s="22"/>
      <c r="C97" s="12"/>
    </row>
    <row r="98" spans="1:3">
      <c r="A98" s="41"/>
      <c r="B98" s="15" t="s">
        <v>21</v>
      </c>
      <c r="C98" s="12"/>
    </row>
    <row r="99" spans="1:3" ht="7" customHeight="1">
      <c r="A99" s="41"/>
      <c r="B99" s="15"/>
      <c r="C99" s="12"/>
    </row>
    <row r="100" spans="1:3">
      <c r="A100" s="41"/>
      <c r="B100" s="36" t="s">
        <v>44</v>
      </c>
      <c r="C100" s="12"/>
    </row>
  </sheetData>
  <mergeCells count="1">
    <mergeCell ref="B57:D57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110.04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2023-03-07T17:46:38Z</dcterms:created>
  <dcterms:modified xsi:type="dcterms:W3CDTF">2026-04-17T00:03:34Z</dcterms:modified>
</cp:coreProperties>
</file>