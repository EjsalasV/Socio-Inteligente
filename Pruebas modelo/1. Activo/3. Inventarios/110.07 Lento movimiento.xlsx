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3. Inventarios\"/>
    </mc:Choice>
  </mc:AlternateContent>
  <xr:revisionPtr revIDLastSave="0" documentId="13_ncr:1_{D5A9E099-4DB8-4A03-B0C6-F6860464A6F2}" xr6:coauthVersionLast="47" xr6:coauthVersionMax="47" xr10:uidLastSave="{00000000-0000-0000-0000-000000000000}"/>
  <bookViews>
    <workbookView xWindow="-110" yWindow="-110" windowWidth="19420" windowHeight="10300" xr2:uid="{5C7A561A-E0FD-4717-A754-D7E0B39D1513}"/>
  </bookViews>
  <sheets>
    <sheet name="110.07" sheetId="1" r:id="rId1"/>
    <sheet name="Base kardex " sheetId="2" r:id="rId2"/>
  </sheets>
  <definedNames>
    <definedName name="_xlnm._FilterDatabase" localSheetId="0" hidden="1">'110.07'!#REF!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5" i="1" l="1"/>
  <c r="P54" i="1"/>
  <c r="P53" i="1"/>
  <c r="P52" i="1"/>
  <c r="P51" i="1"/>
  <c r="P50" i="1"/>
  <c r="R50" i="1" s="1"/>
  <c r="P49" i="1"/>
  <c r="R49" i="1" s="1"/>
  <c r="P48" i="1"/>
  <c r="R48" i="1" s="1"/>
  <c r="P47" i="1"/>
  <c r="P46" i="1"/>
  <c r="P45" i="1"/>
  <c r="P44" i="1"/>
  <c r="P43" i="1"/>
  <c r="P42" i="1"/>
  <c r="P41" i="1"/>
  <c r="R41" i="1" s="1"/>
  <c r="R55" i="1"/>
  <c r="R54" i="1"/>
  <c r="R53" i="1"/>
  <c r="R52" i="1"/>
  <c r="R51" i="1"/>
  <c r="R47" i="1"/>
  <c r="R46" i="1"/>
  <c r="R45" i="1"/>
  <c r="R44" i="1"/>
  <c r="R42" i="1"/>
  <c r="P40" i="1"/>
  <c r="R40" i="1" s="1"/>
  <c r="R43" i="1"/>
  <c r="Q57" i="1"/>
  <c r="O57" i="1"/>
  <c r="N57" i="1"/>
  <c r="M57" i="1"/>
  <c r="L57" i="1"/>
  <c r="K57" i="1"/>
  <c r="J57" i="1"/>
  <c r="I57" i="1"/>
  <c r="H57" i="1"/>
  <c r="G57" i="1"/>
  <c r="F57" i="1"/>
  <c r="E57" i="1"/>
  <c r="D57" i="1"/>
  <c r="F63" i="1" l="1"/>
  <c r="P57" i="1"/>
  <c r="G62" i="1"/>
  <c r="G63" i="1"/>
  <c r="F62" i="1"/>
  <c r="G64" i="1"/>
  <c r="F64" i="1"/>
  <c r="F66" i="1" l="1"/>
  <c r="G66" i="1"/>
</calcChain>
</file>

<file path=xl/sharedStrings.xml><?xml version="1.0" encoding="utf-8"?>
<sst xmlns="http://schemas.openxmlformats.org/spreadsheetml/2006/main" count="90" uniqueCount="82">
  <si>
    <t>Preparado por:</t>
  </si>
  <si>
    <t>Revisado por:</t>
  </si>
  <si>
    <t xml:space="preserve">Objetivo: </t>
  </si>
  <si>
    <t xml:space="preserve">3.- </t>
  </si>
  <si>
    <t xml:space="preserve">Desarrollo </t>
  </si>
  <si>
    <t xml:space="preserve">4.- </t>
  </si>
  <si>
    <t xml:space="preserve">5.- </t>
  </si>
  <si>
    <t>1)</t>
  </si>
  <si>
    <t>ítems con saldos en EEFF con más de 1 movimiento</t>
  </si>
  <si>
    <t>N/A</t>
  </si>
  <si>
    <t>2)</t>
  </si>
  <si>
    <t>COMPAÑÍA MODELO S.A.</t>
  </si>
  <si>
    <t xml:space="preserve">LENTO MOVIMIENTO </t>
  </si>
  <si>
    <t>Ref.</t>
  </si>
  <si>
    <t>Base de decisión: Materialidad</t>
  </si>
  <si>
    <t>General</t>
  </si>
  <si>
    <t>XXX.XXX</t>
  </si>
  <si>
    <t>Desempeño</t>
  </si>
  <si>
    <t>Errores Triviales</t>
  </si>
  <si>
    <t>Marcas de auditoría:</t>
  </si>
  <si>
    <t xml:space="preserve">Sumatoria </t>
  </si>
  <si>
    <t>Conclusión:</t>
  </si>
  <si>
    <t>AL 31 DE DICIEMBRE DE 20XX</t>
  </si>
  <si>
    <t>XX</t>
  </si>
  <si>
    <t>Identificar el inventario de lento movimiento que posee la compañía al _/_/20XX</t>
  </si>
  <si>
    <t>*** El número de filas depende el stock de inventarios que tiene Compañía Modelo S.A.</t>
  </si>
  <si>
    <t>ítems con saldos en EEFF sin movimiento al _/_/20XX o un solo movimiento</t>
  </si>
  <si>
    <t>Notas aclaratorias:</t>
  </si>
  <si>
    <t>Observaciones:</t>
  </si>
  <si>
    <t>110.07</t>
  </si>
  <si>
    <t>Preliminar</t>
  </si>
  <si>
    <t xml:space="preserve">Final </t>
  </si>
  <si>
    <t>a)</t>
  </si>
  <si>
    <t>b)</t>
  </si>
  <si>
    <t>c)</t>
  </si>
  <si>
    <t>Obs.1</t>
  </si>
  <si>
    <t>Obs.2</t>
  </si>
  <si>
    <t>Obs.3</t>
  </si>
  <si>
    <t>***Concluir en función al objetivo</t>
  </si>
  <si>
    <t>FECHA DE CORTE: _/_/20XX</t>
  </si>
  <si>
    <t>Procedimientos: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</si>
  <si>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</si>
  <si>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</si>
  <si>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</si>
  <si>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</si>
  <si>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</si>
  <si>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</si>
  <si>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</si>
  <si>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</si>
  <si>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</si>
  <si>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</si>
  <si>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</si>
  <si>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</si>
  <si>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Total de movimientos en el año </t>
  </si>
  <si>
    <t>Solicitar el Kardex de la compañía al _/_/20XX</t>
  </si>
  <si>
    <t xml:space="preserve">Identificar los inventarios que no han tenido rotación en el año. </t>
  </si>
  <si>
    <t>Documentar el papel de trabajo y concluir en base al objetivo.</t>
  </si>
  <si>
    <t xml:space="preserve">Ref. </t>
  </si>
  <si>
    <t xml:space="preserve">Clasificación </t>
  </si>
  <si>
    <t>Validar que el saldo del inventario que consta en el Kardex, coincida con el que existe en el stock de inventario al _/_/20XX.</t>
  </si>
  <si>
    <t>Información proporcionada por el cliente</t>
  </si>
  <si>
    <t>Cálculos de Auditoría</t>
  </si>
  <si>
    <t>A</t>
  </si>
  <si>
    <t>B</t>
  </si>
  <si>
    <t>C</t>
  </si>
  <si>
    <t>ítems con saldo cero en EEFF al _/_/20XX</t>
  </si>
  <si>
    <r>
      <t>***</t>
    </r>
    <r>
      <rPr>
        <b/>
        <sz val="10"/>
        <color rgb="FFFF0000"/>
        <rFont val="Tahoma"/>
        <family val="2"/>
      </rPr>
      <t>Nota</t>
    </r>
    <r>
      <rPr>
        <sz val="10"/>
        <color rgb="FFFF0000"/>
        <rFont val="Tahoma"/>
        <family val="2"/>
      </rPr>
      <t>: En el caso de disponer del stock del período anterior, comparar cantidad y saldos inicial y final. Incluir la variación por saldos y cantidades.</t>
    </r>
  </si>
  <si>
    <t xml:space="preserve">***Aquí constara el Kardex proporcionado por la Compañía y del cual se realiza la tabla dinámica </t>
  </si>
  <si>
    <t>Saldo según stock de inventario al 31/_/20XX</t>
  </si>
  <si>
    <t>Verificaciones:</t>
  </si>
  <si>
    <t>Nro. ítems</t>
  </si>
  <si>
    <t>Número de movimientos por mes -  Kárdex</t>
  </si>
  <si>
    <t>Clasificación auditoría</t>
  </si>
  <si>
    <t>Nombre del artículo</t>
  </si>
  <si>
    <t>Código del artículo</t>
  </si>
  <si>
    <t xml:space="preserve">2.- </t>
  </si>
  <si>
    <t xml:space="preserve">1.- </t>
  </si>
  <si>
    <t>Solicitar el stock de inventarios al _/_/20XX</t>
  </si>
  <si>
    <t xml:space="preserve">p/t ***referenciar al papel en donde conste el stock de inventario </t>
  </si>
  <si>
    <t xml:space="preserve">***Aplicar fórmula del buscar v con el código del artículo en el stock de inventario </t>
  </si>
  <si>
    <t>Saldo según stock al _/_/20XX</t>
  </si>
  <si>
    <t>Determinar el número de movimientos que tuvo el inventario por mes a través de una tabla dinámica del kardex.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</si>
</sst>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Futura-Book"/>
      <family val="2"/>
    </font>
    <font>
      <sz val="11"/>
      <color indexed="8"/>
      <name val="Calibri"/>
      <family val="2"/>
    </font>
    <font>
      <b/>
      <sz val="10"/>
      <color rgb="FF00206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b/>
      <u/>
      <sz val="10"/>
      <color rgb="FF0000FF"/>
      <name val="Tahoma"/>
      <family val="2"/>
    </font>
    <font>
      <sz val="10"/>
      <color rgb="FF002060"/>
      <name val="Tahoma"/>
      <family val="2"/>
    </font>
    <font>
      <sz val="10"/>
      <color rgb="FF000000"/>
      <name val="Tahoma"/>
      <family val="2"/>
    </font>
    <font>
      <sz val="11"/>
      <color theme="1"/>
      <name val="Calibri"/>
      <family val="2"/>
    </font>
    <font>
      <sz val="10"/>
      <color rgb="FFFF0000"/>
      <name val="Tahoma"/>
      <family val="2"/>
    </font>
    <font>
      <sz val="10"/>
      <name val="Tahoma"/>
      <family val="2"/>
    </font>
    <font>
      <b/>
      <u/>
      <sz val="10"/>
      <color theme="4" tint="-0.249977111117893"/>
      <name val="Tahoma"/>
      <family val="2"/>
    </font>
    <font>
      <b/>
      <u/>
      <sz val="10"/>
      <color theme="1"/>
      <name val="Tahoma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13" fillId="0" borderId="0"/>
    <xf numFmtId="0" fontId="2" fillId="0" borderId="0"/>
    <xf numFmtId="0" fontId="2" fillId="0" borderId="0"/>
  </cellStyleXfs>
  <cellXfs count="74">
    <xf numFmtId="0" fontId="0" fillId="0" borderId="0" xfId="0"/>
    <xf numFmtId="0" fontId="5" fillId="2" borderId="0" xfId="0" applyFont="1" applyFill="1" applyAlignment="1" applyProtection="1">
      <alignment horizontal="left" vertical="center"/>
      <protection hidden="1"/>
    </xf>
    <xf numFmtId="0" fontId="5" fillId="2" borderId="0" xfId="0" applyFont="1" applyFill="1"/>
    <xf numFmtId="0" fontId="6" fillId="0" borderId="4" xfId="0" applyFont="1" applyBorder="1"/>
    <xf numFmtId="0" fontId="7" fillId="2" borderId="0" xfId="6" applyFont="1" applyFill="1" applyAlignment="1">
      <alignment horizontal="left" vertical="center" indent="1"/>
    </xf>
    <xf numFmtId="0" fontId="5" fillId="3" borderId="6" xfId="0" applyFont="1" applyFill="1" applyBorder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0" xfId="0" applyFont="1"/>
    <xf numFmtId="0" fontId="6" fillId="0" borderId="0" xfId="0" applyFont="1"/>
    <xf numFmtId="0" fontId="12" fillId="0" borderId="0" xfId="7" applyFont="1" applyBorder="1" applyAlignment="1">
      <alignment horizontal="center"/>
    </xf>
    <xf numFmtId="0" fontId="11" fillId="0" borderId="0" xfId="0" applyFont="1" applyFill="1" applyBorder="1"/>
    <xf numFmtId="0" fontId="5" fillId="0" borderId="0" xfId="9" applyFont="1" applyAlignment="1" applyProtection="1">
      <alignment horizontal="left" vertical="center"/>
      <protection hidden="1"/>
    </xf>
    <xf numFmtId="0" fontId="5" fillId="2" borderId="0" xfId="0" applyFont="1" applyFill="1" applyAlignment="1">
      <alignment horizontal="left" vertical="top"/>
    </xf>
    <xf numFmtId="43" fontId="6" fillId="0" borderId="0" xfId="1" applyFont="1" applyBorder="1"/>
    <xf numFmtId="43" fontId="6" fillId="0" borderId="7" xfId="1" applyFont="1" applyBorder="1"/>
    <xf numFmtId="0" fontId="6" fillId="2" borderId="5" xfId="7" applyFont="1" applyFill="1" applyBorder="1" applyAlignment="1" applyProtection="1">
      <alignment horizontal="center" vertical="center" wrapText="1"/>
      <protection hidden="1"/>
    </xf>
    <xf numFmtId="0" fontId="6" fillId="2" borderId="5" xfId="0" applyFont="1" applyFill="1" applyBorder="1" applyAlignment="1" applyProtection="1">
      <alignment horizontal="center" vertical="center" wrapText="1"/>
      <protection hidden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3" fontId="6" fillId="0" borderId="2" xfId="1" applyFont="1" applyBorder="1"/>
    <xf numFmtId="0" fontId="14" fillId="0" borderId="2" xfId="0" applyFont="1" applyBorder="1"/>
    <xf numFmtId="0" fontId="11" fillId="0" borderId="0" xfId="2" applyFont="1"/>
    <xf numFmtId="0" fontId="6" fillId="2" borderId="3" xfId="0" applyFont="1" applyFill="1" applyBorder="1"/>
    <xf numFmtId="14" fontId="15" fillId="2" borderId="0" xfId="3" applyNumberFormat="1" applyFont="1" applyFill="1" applyBorder="1" applyAlignment="1">
      <alignment horizontal="center" vertical="center"/>
    </xf>
    <xf numFmtId="0" fontId="9" fillId="0" borderId="0" xfId="4" applyFont="1" applyBorder="1" applyAlignment="1">
      <alignment horizontal="center" vertical="center"/>
    </xf>
    <xf numFmtId="0" fontId="6" fillId="2" borderId="0" xfId="0" applyFont="1" applyFill="1" applyBorder="1"/>
    <xf numFmtId="0" fontId="16" fillId="2" borderId="0" xfId="5" applyFont="1" applyFill="1"/>
    <xf numFmtId="0" fontId="5" fillId="0" borderId="0" xfId="0" applyFont="1" applyAlignment="1">
      <alignment horizontal="left" wrapText="1"/>
    </xf>
    <xf numFmtId="0" fontId="5" fillId="0" borderId="0" xfId="0" applyFont="1"/>
    <xf numFmtId="0" fontId="6" fillId="0" borderId="2" xfId="0" applyFont="1" applyBorder="1"/>
    <xf numFmtId="164" fontId="9" fillId="0" borderId="0" xfId="1" applyNumberFormat="1" applyFont="1"/>
    <xf numFmtId="0" fontId="9" fillId="0" borderId="2" xfId="0" applyFont="1" applyBorder="1" applyAlignment="1">
      <alignment horizontal="center"/>
    </xf>
    <xf numFmtId="164" fontId="6" fillId="0" borderId="2" xfId="1" applyNumberFormat="1" applyFont="1" applyBorder="1"/>
    <xf numFmtId="164" fontId="9" fillId="0" borderId="2" xfId="1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164" fontId="6" fillId="0" borderId="0" xfId="1" applyNumberFormat="1" applyFont="1" applyBorder="1"/>
    <xf numFmtId="0" fontId="8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9" fillId="0" borderId="0" xfId="3" applyFont="1" applyAlignment="1">
      <alignment horizontal="center" vertical="center"/>
    </xf>
    <xf numFmtId="0" fontId="9" fillId="2" borderId="0" xfId="7" applyFont="1" applyFill="1" applyAlignment="1">
      <alignment horizontal="center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4" fillId="0" borderId="0" xfId="0" applyFont="1"/>
    <xf numFmtId="0" fontId="17" fillId="2" borderId="0" xfId="8" applyFont="1" applyFill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0" borderId="2" xfId="7" applyFont="1" applyBorder="1" applyAlignment="1">
      <alignment horizontal="center"/>
    </xf>
    <xf numFmtId="0" fontId="15" fillId="0" borderId="0" xfId="10" applyFont="1"/>
    <xf numFmtId="0" fontId="15" fillId="0" borderId="0" xfId="11" applyFont="1"/>
    <xf numFmtId="0" fontId="6" fillId="2" borderId="0" xfId="0" applyFont="1" applyFill="1" applyAlignment="1">
      <alignment vertical="center"/>
    </xf>
    <xf numFmtId="164" fontId="8" fillId="0" borderId="0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164" fontId="0" fillId="0" borderId="2" xfId="1" applyNumberFormat="1" applyFont="1" applyBorder="1"/>
    <xf numFmtId="164" fontId="19" fillId="0" borderId="2" xfId="1" applyNumberFormat="1" applyFont="1" applyBorder="1"/>
    <xf numFmtId="0" fontId="9" fillId="0" borderId="0" xfId="0" applyFont="1"/>
    <xf numFmtId="164" fontId="8" fillId="0" borderId="7" xfId="1" applyNumberFormat="1" applyFont="1" applyBorder="1"/>
    <xf numFmtId="164" fontId="8" fillId="0" borderId="7" xfId="0" applyNumberFormat="1" applyFont="1" applyBorder="1"/>
    <xf numFmtId="0" fontId="6" fillId="0" borderId="8" xfId="0" applyFont="1" applyBorder="1" applyAlignment="1"/>
    <xf numFmtId="0" fontId="6" fillId="0" borderId="10" xfId="0" applyFont="1" applyBorder="1" applyAlignment="1"/>
    <xf numFmtId="0" fontId="6" fillId="0" borderId="9" xfId="0" applyFont="1" applyBorder="1" applyAlignment="1"/>
    <xf numFmtId="0" fontId="5" fillId="4" borderId="8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/>
    <xf numFmtId="0" fontId="6" fillId="2" borderId="10" xfId="0" applyFont="1" applyFill="1" applyBorder="1" applyAlignment="1"/>
    <xf numFmtId="0" fontId="6" fillId="2" borderId="9" xfId="0" applyFont="1" applyFill="1" applyBorder="1" applyAlignment="1"/>
  </cellXfs>
  <cellStyles count="12">
    <cellStyle name="Millares" xfId="1" builtinId="3"/>
    <cellStyle name="Normal" xfId="0" builtinId="0"/>
    <cellStyle name="Normal 17 2" xfId="11" xr:uid="{86E56E5E-4241-4972-8C33-C1162E8779E3}"/>
    <cellStyle name="Normal 2" xfId="2" xr:uid="{5894004F-12B0-49CB-9DAC-071457B3D5EC}"/>
    <cellStyle name="Normal 2 10" xfId="7" xr:uid="{3D1DB8AF-85AB-46A8-9BFF-59E4067CBEAF}"/>
    <cellStyle name="Normal 2 2 15" xfId="6" xr:uid="{2BC7973C-02A2-4AA6-A89C-84715DA12E9A}"/>
    <cellStyle name="Normal 2 2 2 10" xfId="3" xr:uid="{744BFCAC-F677-4BB6-92D4-6BB4866BA2CA}"/>
    <cellStyle name="Normal 2 3 2 5" xfId="10" xr:uid="{B12E8D87-F00E-494B-B175-6583918F023B}"/>
    <cellStyle name="Normal 50" xfId="4" xr:uid="{C9B21886-EAC1-4284-AB29-0754321E004E}"/>
    <cellStyle name="Normal 7" xfId="9" xr:uid="{48D7B4ED-21C0-4B79-A986-D531E5BCB72F}"/>
    <cellStyle name="Normal_2102 Sumaria de Efectivo y Equivalentes" xfId="5" xr:uid="{D37372C4-D785-4399-9307-824F9E8AA2B1}"/>
    <cellStyle name="Normal_2102.1.1 Analisis de Partidas Conciliatorias" xfId="8" xr:uid="{A76AA466-BDEE-458E-A4EC-768943074B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212934</xdr:colOff>
      <xdr:row>36</xdr:row>
      <xdr:rowOff>54207</xdr:rowOff>
    </xdr:from>
    <xdr:to>
      <xdr:col>14</xdr:col>
      <xdr:colOff>983475</xdr:colOff>
      <xdr:row>36</xdr:row>
      <xdr:rowOff>55068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C9336EBC-41C5-4A63-9A05-1A88F1F2D8C6}"/>
            </a:ext>
          </a:extLst>
        </xdr:cNvPr>
        <xdr:cNvCxnSpPr>
          <a:cxnSpLocks/>
        </xdr:cNvCxnSpPr>
      </xdr:nvCxnSpPr>
      <xdr:spPr>
        <a:xfrm flipV="1">
          <a:off x="578059" y="6078770"/>
          <a:ext cx="13454666" cy="86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212258</xdr:colOff>
      <xdr:row>59</xdr:row>
      <xdr:rowOff>47625</xdr:rowOff>
    </xdr:from>
    <xdr:to>
      <xdr:col>6</xdr:col>
      <xdr:colOff>968375</xdr:colOff>
      <xdr:row>59</xdr:row>
      <xdr:rowOff>66736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A07693C0-F582-4983-95EB-D4B2447FC060}"/>
            </a:ext>
          </a:extLst>
        </xdr:cNvPr>
        <xdr:cNvCxnSpPr>
          <a:stCxn id="24" idx="3"/>
        </xdr:cNvCxnSpPr>
      </xdr:nvCxnSpPr>
      <xdr:spPr>
        <a:xfrm flipV="1">
          <a:off x="577383" y="9763125"/>
          <a:ext cx="8201492" cy="1911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80559</xdr:colOff>
      <xdr:row>70</xdr:row>
      <xdr:rowOff>8088</xdr:rowOff>
    </xdr:from>
    <xdr:to>
      <xdr:col>0</xdr:col>
      <xdr:colOff>239309</xdr:colOff>
      <xdr:row>71</xdr:row>
      <xdr:rowOff>3527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D48B7C8-357C-419B-B294-7707E6F8B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59" y="12636651"/>
          <a:ext cx="158750" cy="154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471368</xdr:colOff>
      <xdr:row>36</xdr:row>
      <xdr:rowOff>156450</xdr:rowOff>
    </xdr:from>
    <xdr:to>
      <xdr:col>17</xdr:col>
      <xdr:colOff>663456</xdr:colOff>
      <xdr:row>37</xdr:row>
      <xdr:rowOff>178798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1F4A5EA-5A4A-4D3F-AA26-2BE7E48C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47709" y="4748584"/>
          <a:ext cx="192088" cy="184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82921</xdr:colOff>
      <xdr:row>71</xdr:row>
      <xdr:rowOff>2029</xdr:rowOff>
    </xdr:from>
    <xdr:to>
      <xdr:col>0</xdr:col>
      <xdr:colOff>241671</xdr:colOff>
      <xdr:row>71</xdr:row>
      <xdr:rowOff>154718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1552129-4499-4D0B-A46E-66F5799B1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21" y="11044834"/>
          <a:ext cx="158750" cy="152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87581</xdr:colOff>
      <xdr:row>71</xdr:row>
      <xdr:rowOff>185326</xdr:rowOff>
    </xdr:from>
    <xdr:ext cx="144318" cy="144318"/>
    <xdr:pic>
      <xdr:nvPicPr>
        <xdr:cNvPr id="18" name="Imagen 17">
          <a:extLst>
            <a:ext uri="{FF2B5EF4-FFF2-40B4-BE49-F238E27FC236}">
              <a16:creationId xmlns:a16="http://schemas.microsoft.com/office/drawing/2014/main" id="{7B0A4760-84F9-40C8-A425-9030218AD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81" y="11228131"/>
          <a:ext cx="144318" cy="144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1125929</xdr:colOff>
      <xdr:row>65</xdr:row>
      <xdr:rowOff>29214</xdr:rowOff>
    </xdr:from>
    <xdr:ext cx="192088" cy="192088"/>
    <xdr:pic>
      <xdr:nvPicPr>
        <xdr:cNvPr id="20" name="Imagen 19">
          <a:extLst>
            <a:ext uri="{FF2B5EF4-FFF2-40B4-BE49-F238E27FC236}">
              <a16:creationId xmlns:a16="http://schemas.microsoft.com/office/drawing/2014/main" id="{38AADEE5-F3C7-4EE3-B2EE-236E22744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179" y="1088771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15</xdr:col>
      <xdr:colOff>252511</xdr:colOff>
      <xdr:row>36</xdr:row>
      <xdr:rowOff>136349</xdr:rowOff>
    </xdr:from>
    <xdr:to>
      <xdr:col>15</xdr:col>
      <xdr:colOff>463808</xdr:colOff>
      <xdr:row>38</xdr:row>
      <xdr:rowOff>1476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92BF411-FE50-4C70-B7B1-8C296F9B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99950" y="4728483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801579</xdr:colOff>
      <xdr:row>36</xdr:row>
      <xdr:rowOff>80217</xdr:rowOff>
    </xdr:from>
    <xdr:to>
      <xdr:col>16</xdr:col>
      <xdr:colOff>1037130</xdr:colOff>
      <xdr:row>37</xdr:row>
      <xdr:rowOff>141543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0D24EB4-8708-4E18-9C62-DE34624C2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3954" y="5469780"/>
          <a:ext cx="235551" cy="220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344956</xdr:colOff>
      <xdr:row>58</xdr:row>
      <xdr:rowOff>115921</xdr:rowOff>
    </xdr:from>
    <xdr:to>
      <xdr:col>1</xdr:col>
      <xdr:colOff>212258</xdr:colOff>
      <xdr:row>60</xdr:row>
      <xdr:rowOff>17550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64151C9-D59E-4E04-9B30-CD3F3DC0F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956" y="9672671"/>
          <a:ext cx="232427" cy="219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348456</xdr:colOff>
      <xdr:row>35</xdr:row>
      <xdr:rowOff>102870</xdr:rowOff>
    </xdr:from>
    <xdr:to>
      <xdr:col>1</xdr:col>
      <xdr:colOff>175419</xdr:colOff>
      <xdr:row>36</xdr:row>
      <xdr:rowOff>130689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CB0573E-61D4-44DB-B2D3-E639E32B6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456" y="5516245"/>
          <a:ext cx="192088" cy="186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32</xdr:row>
      <xdr:rowOff>82550</xdr:rowOff>
    </xdr:from>
    <xdr:to>
      <xdr:col>1</xdr:col>
      <xdr:colOff>215900</xdr:colOff>
      <xdr:row>33</xdr:row>
      <xdr:rowOff>171450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2AB4FB3-1205-4343-811E-9B459C53A72E}"/>
            </a:ext>
          </a:extLst>
        </xdr:cNvPr>
        <xdr:cNvSpPr>
          <a:spLocks noChangeAspect="1" noChangeArrowheads="1"/>
        </xdr:cNvSpPr>
      </xdr:nvSpPr>
      <xdr:spPr bwMode="auto">
        <a:xfrm>
          <a:off x="381000" y="4914900"/>
          <a:ext cx="196850" cy="17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1285875</xdr:colOff>
      <xdr:row>56</xdr:row>
      <xdr:rowOff>31750</xdr:rowOff>
    </xdr:from>
    <xdr:ext cx="174625" cy="174625"/>
    <xdr:pic>
      <xdr:nvPicPr>
        <xdr:cNvPr id="17" name="Imagen 16">
          <a:extLst>
            <a:ext uri="{FF2B5EF4-FFF2-40B4-BE49-F238E27FC236}">
              <a16:creationId xmlns:a16="http://schemas.microsoft.com/office/drawing/2014/main" id="{BB664373-64ED-4187-BB12-4AE6D3032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9125" y="9215438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BB12-3970-4E52-BA1B-CCE86482B6E9}">
  <dimension ref="A1:S95"/>
  <sheetViews>
    <sheetView showGridLines="0" tabSelected="1" zoomScale="80" zoomScaleNormal="80" workbookViewId="0">
      <selection activeCell="F24" sqref="F24"/>
    </sheetView>
  </sheetViews>
  <sheetFormatPr baseColWidth="10" defaultColWidth="11.453125" defaultRowHeight="12.5"/>
  <cols>
    <col min="1" max="1" width="5.1796875" style="9" customWidth="1"/>
    <col min="2" max="2" width="21.6328125" style="9" bestFit="1" customWidth="1"/>
    <col min="3" max="3" width="21.6328125" style="9" customWidth="1"/>
    <col min="4" max="5" width="20.26953125" style="9" customWidth="1"/>
    <col min="6" max="6" width="22.90625" style="9" customWidth="1"/>
    <col min="7" max="7" width="20.453125" style="9" customWidth="1"/>
    <col min="8" max="16" width="14.54296875" style="9" customWidth="1"/>
    <col min="17" max="17" width="25" style="9" customWidth="1"/>
    <col min="18" max="18" width="14.54296875" style="9" customWidth="1"/>
    <col min="19" max="19" width="18.1796875" style="9" customWidth="1"/>
    <col min="20" max="20" width="11.453125" style="9"/>
    <col min="21" max="21" width="11.90625" style="9" bestFit="1" customWidth="1"/>
    <col min="22" max="16384" width="11.453125" style="9"/>
  </cols>
  <sheetData>
    <row r="1" spans="1:18">
      <c r="A1" s="22"/>
      <c r="B1" s="22"/>
      <c r="C1" s="22"/>
    </row>
    <row r="2" spans="1:18">
      <c r="A2" s="22"/>
      <c r="B2" s="22"/>
      <c r="C2" s="22"/>
    </row>
    <row r="3" spans="1:18">
      <c r="A3" s="22"/>
      <c r="B3" s="22"/>
      <c r="C3" s="22"/>
    </row>
    <row r="4" spans="1:18">
      <c r="A4" s="22"/>
      <c r="B4" s="22"/>
      <c r="C4" s="22"/>
    </row>
    <row r="5" spans="1:18">
      <c r="A5" s="22"/>
      <c r="B5" s="22"/>
      <c r="C5" s="22"/>
      <c r="P5" s="5" t="s">
        <v>0</v>
      </c>
      <c r="Q5" s="5" t="s">
        <v>1</v>
      </c>
      <c r="R5" s="6" t="s">
        <v>13</v>
      </c>
    </row>
    <row r="6" spans="1:18">
      <c r="A6" s="22"/>
      <c r="B6" s="1" t="s">
        <v>11</v>
      </c>
      <c r="C6" s="1"/>
      <c r="P6" s="16" t="s">
        <v>23</v>
      </c>
      <c r="Q6" s="17" t="s">
        <v>23</v>
      </c>
      <c r="R6" s="7" t="s">
        <v>29</v>
      </c>
    </row>
    <row r="7" spans="1:18">
      <c r="A7" s="23"/>
      <c r="B7" s="2" t="s">
        <v>12</v>
      </c>
      <c r="C7" s="2"/>
      <c r="P7" s="24"/>
      <c r="Q7" s="24"/>
      <c r="R7" s="25"/>
    </row>
    <row r="8" spans="1:18">
      <c r="A8" s="23"/>
      <c r="B8" s="12" t="s">
        <v>22</v>
      </c>
      <c r="C8" s="12"/>
    </row>
    <row r="9" spans="1:18">
      <c r="A9" s="26"/>
      <c r="B9" s="13" t="s">
        <v>39</v>
      </c>
      <c r="C9" s="13"/>
    </row>
    <row r="10" spans="1:18" ht="6" customHeight="1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3" thickTop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B12" s="8" t="s">
        <v>2</v>
      </c>
      <c r="C12" s="8"/>
    </row>
    <row r="13" spans="1:18" ht="7" customHeight="1">
      <c r="B13" s="8"/>
      <c r="C13" s="8"/>
    </row>
    <row r="14" spans="1:18">
      <c r="B14" s="9" t="s">
        <v>24</v>
      </c>
    </row>
    <row r="16" spans="1:18">
      <c r="B16" s="8" t="s">
        <v>14</v>
      </c>
      <c r="C16" s="8"/>
    </row>
    <row r="17" spans="1:18">
      <c r="B17" s="8"/>
      <c r="C17" s="8"/>
    </row>
    <row r="18" spans="1:18" ht="14.5">
      <c r="B18" s="47"/>
      <c r="C18" s="48" t="s">
        <v>30</v>
      </c>
      <c r="D18" s="48" t="s">
        <v>31</v>
      </c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ht="14.5">
      <c r="B19" s="49" t="s">
        <v>15</v>
      </c>
      <c r="C19" s="50" t="s">
        <v>16</v>
      </c>
      <c r="D19" s="50" t="s">
        <v>16</v>
      </c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14.5">
      <c r="B20" s="49" t="s">
        <v>17</v>
      </c>
      <c r="C20" s="50" t="s">
        <v>16</v>
      </c>
      <c r="D20" s="50" t="s">
        <v>16</v>
      </c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ht="14.5">
      <c r="B21" s="49" t="s">
        <v>18</v>
      </c>
      <c r="C21" s="50" t="s">
        <v>16</v>
      </c>
      <c r="D21" s="50" t="s">
        <v>16</v>
      </c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ht="14.5">
      <c r="B22" s="11"/>
      <c r="C22" s="11"/>
      <c r="D22" s="10"/>
      <c r="E22" s="10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>
      <c r="B23" s="8" t="s">
        <v>40</v>
      </c>
      <c r="C23" s="8"/>
    </row>
    <row r="24" spans="1:18" ht="7" customHeight="1">
      <c r="B24" s="8"/>
      <c r="C24" s="8"/>
    </row>
    <row r="25" spans="1:18">
      <c r="A25" s="45" t="s">
        <v>76</v>
      </c>
      <c r="B25" s="9" t="s">
        <v>54</v>
      </c>
    </row>
    <row r="26" spans="1:18">
      <c r="A26" s="45" t="s">
        <v>75</v>
      </c>
      <c r="B26" s="9" t="s">
        <v>77</v>
      </c>
    </row>
    <row r="27" spans="1:18">
      <c r="A27" s="45" t="s">
        <v>3</v>
      </c>
      <c r="B27" s="9" t="s">
        <v>81</v>
      </c>
    </row>
    <row r="28" spans="1:18">
      <c r="A28" s="45" t="s">
        <v>5</v>
      </c>
      <c r="B28" s="9" t="s">
        <v>59</v>
      </c>
    </row>
    <row r="29" spans="1:18">
      <c r="A29" s="45" t="s">
        <v>6</v>
      </c>
      <c r="B29" s="9" t="s">
        <v>55</v>
      </c>
    </row>
    <row r="30" spans="1:18">
      <c r="A30" s="45" t="s">
        <v>6</v>
      </c>
      <c r="B30" s="51" t="s">
        <v>56</v>
      </c>
      <c r="C30" s="51"/>
    </row>
    <row r="32" spans="1:18">
      <c r="B32" s="8" t="s">
        <v>4</v>
      </c>
      <c r="C32" s="8"/>
    </row>
    <row r="33" spans="2:19" ht="7" customHeight="1">
      <c r="B33" s="27"/>
      <c r="C33" s="27"/>
      <c r="S33" s="28"/>
    </row>
    <row r="34" spans="2:19" ht="14.5">
      <c r="B34" s="27"/>
      <c r="C34" s="27"/>
      <c r="Q34"/>
      <c r="S34" s="28"/>
    </row>
    <row r="35" spans="2:19">
      <c r="B35" s="46" t="s">
        <v>66</v>
      </c>
      <c r="C35" s="46"/>
      <c r="S35" s="28"/>
    </row>
    <row r="36" spans="2:19">
      <c r="B36" s="27"/>
      <c r="C36" s="27"/>
      <c r="S36" s="28"/>
    </row>
    <row r="37" spans="2:19">
      <c r="B37" s="29"/>
      <c r="C37" s="29"/>
    </row>
    <row r="38" spans="2:19" ht="14.5" customHeight="1">
      <c r="B38" s="67" t="s">
        <v>74</v>
      </c>
      <c r="C38" s="67" t="s">
        <v>73</v>
      </c>
      <c r="D38" s="64" t="s">
        <v>71</v>
      </c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6"/>
    </row>
    <row r="39" spans="2:19" s="40" customFormat="1" ht="23.5" customHeight="1">
      <c r="B39" s="67"/>
      <c r="C39" s="67"/>
      <c r="D39" s="19" t="s">
        <v>41</v>
      </c>
      <c r="E39" s="19" t="s">
        <v>42</v>
      </c>
      <c r="F39" s="19" t="s">
        <v>43</v>
      </c>
      <c r="G39" s="19" t="s">
        <v>44</v>
      </c>
      <c r="H39" s="19" t="s">
        <v>45</v>
      </c>
      <c r="I39" s="19" t="s">
        <v>46</v>
      </c>
      <c r="J39" s="19" t="s">
        <v>47</v>
      </c>
      <c r="K39" s="19" t="s">
        <v>48</v>
      </c>
      <c r="L39" s="19" t="s">
        <v>49</v>
      </c>
      <c r="M39" s="19" t="s">
        <v>50</v>
      </c>
      <c r="N39" s="19" t="s">
        <v>51</v>
      </c>
      <c r="O39" s="19" t="s">
        <v>52</v>
      </c>
      <c r="P39" s="19" t="s">
        <v>53</v>
      </c>
      <c r="Q39" s="19" t="s">
        <v>68</v>
      </c>
      <c r="R39" s="19" t="s">
        <v>72</v>
      </c>
    </row>
    <row r="40" spans="2:19" ht="14.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>
        <f>+SUM(D40:O40)</f>
        <v>0</v>
      </c>
      <c r="Q40" s="57" t="s">
        <v>79</v>
      </c>
      <c r="R40" s="30" t="str">
        <f>+IF(Q40=0,"N/A",IF(P40&gt;1,"2)",IF(OR(P40=0,P40=1),"1)","error")))</f>
        <v>1)</v>
      </c>
    </row>
    <row r="41" spans="2:19" ht="14.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>
        <f t="shared" ref="P41:P55" si="0">+SUM(D41:O41)</f>
        <v>0</v>
      </c>
      <c r="Q41" s="57"/>
      <c r="R41" s="30" t="str">
        <f t="shared" ref="R41:R55" si="1">+IF(Q41=0,"N/A",IF(P41&gt;1,"2)",IF(OR(P41=0,P41=1),"1)","error")))</f>
        <v>N/A</v>
      </c>
    </row>
    <row r="42" spans="2:19" ht="14.5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>
        <f t="shared" si="0"/>
        <v>0</v>
      </c>
      <c r="Q42" s="56"/>
      <c r="R42" s="30" t="str">
        <f t="shared" si="1"/>
        <v>N/A</v>
      </c>
    </row>
    <row r="43" spans="2:19" ht="14.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>
        <f t="shared" si="0"/>
        <v>0</v>
      </c>
      <c r="Q43" s="56"/>
      <c r="R43" s="30" t="str">
        <f t="shared" si="1"/>
        <v>N/A</v>
      </c>
    </row>
    <row r="44" spans="2:19" ht="14.5"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20">
        <f t="shared" si="0"/>
        <v>0</v>
      </c>
      <c r="Q44" s="56"/>
      <c r="R44" s="30" t="str">
        <f t="shared" si="1"/>
        <v>N/A</v>
      </c>
    </row>
    <row r="45" spans="2:19" ht="14.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>
        <f t="shared" si="0"/>
        <v>0</v>
      </c>
      <c r="Q45" s="56"/>
      <c r="R45" s="30" t="str">
        <f t="shared" si="1"/>
        <v>N/A</v>
      </c>
    </row>
    <row r="46" spans="2:19" ht="14.5">
      <c r="B46" s="21" t="s">
        <v>25</v>
      </c>
      <c r="C46" s="21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20">
        <f t="shared" si="0"/>
        <v>0</v>
      </c>
      <c r="Q46" s="56"/>
      <c r="R46" s="30" t="str">
        <f t="shared" si="1"/>
        <v>N/A</v>
      </c>
    </row>
    <row r="47" spans="2:19" ht="14.5"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>
        <f t="shared" si="0"/>
        <v>0</v>
      </c>
      <c r="Q47" s="56"/>
      <c r="R47" s="30" t="str">
        <f t="shared" si="1"/>
        <v>N/A</v>
      </c>
    </row>
    <row r="48" spans="2:19" ht="14.5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>
        <f t="shared" si="0"/>
        <v>0</v>
      </c>
      <c r="Q48" s="56"/>
      <c r="R48" s="30" t="str">
        <f t="shared" si="1"/>
        <v>N/A</v>
      </c>
    </row>
    <row r="49" spans="2:18" ht="14.5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>
        <f t="shared" si="0"/>
        <v>0</v>
      </c>
      <c r="Q49" s="56"/>
      <c r="R49" s="30" t="str">
        <f t="shared" si="1"/>
        <v>N/A</v>
      </c>
    </row>
    <row r="50" spans="2:18" ht="14.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>
        <f t="shared" si="0"/>
        <v>0</v>
      </c>
      <c r="Q50" s="56"/>
      <c r="R50" s="30" t="str">
        <f t="shared" si="1"/>
        <v>N/A</v>
      </c>
    </row>
    <row r="51" spans="2:18" ht="14.5"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>
        <f t="shared" si="0"/>
        <v>0</v>
      </c>
      <c r="Q51" s="56"/>
      <c r="R51" s="30" t="str">
        <f t="shared" si="1"/>
        <v>N/A</v>
      </c>
    </row>
    <row r="52" spans="2:18" ht="14.5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>
        <f t="shared" si="0"/>
        <v>0</v>
      </c>
      <c r="Q52" s="56"/>
      <c r="R52" s="30" t="str">
        <f t="shared" si="1"/>
        <v>N/A</v>
      </c>
    </row>
    <row r="53" spans="2:18" ht="14.5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>
        <f t="shared" si="0"/>
        <v>0</v>
      </c>
      <c r="Q53" s="56"/>
      <c r="R53" s="30" t="str">
        <f t="shared" si="1"/>
        <v>N/A</v>
      </c>
    </row>
    <row r="54" spans="2:18" ht="14.5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>
        <f t="shared" si="0"/>
        <v>0</v>
      </c>
      <c r="Q54" s="56"/>
      <c r="R54" s="30" t="str">
        <f t="shared" si="1"/>
        <v>N/A</v>
      </c>
    </row>
    <row r="55" spans="2:18" ht="14.5"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>
        <f t="shared" si="0"/>
        <v>0</v>
      </c>
      <c r="Q55" s="56"/>
      <c r="R55" s="30" t="str">
        <f t="shared" si="1"/>
        <v>N/A</v>
      </c>
    </row>
    <row r="56" spans="2:18" ht="7" customHeight="1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Q56"/>
      <c r="R56"/>
    </row>
    <row r="57" spans="2:18" ht="15" thickBot="1">
      <c r="B57" s="14"/>
      <c r="C57" s="14"/>
      <c r="D57" s="15">
        <f>+SUM(D40:D55)</f>
        <v>0</v>
      </c>
      <c r="E57" s="15">
        <f t="shared" ref="E57:Q57" si="2">+SUM(E40:E55)</f>
        <v>0</v>
      </c>
      <c r="F57" s="15">
        <f t="shared" si="2"/>
        <v>0</v>
      </c>
      <c r="G57" s="15">
        <f t="shared" si="2"/>
        <v>0</v>
      </c>
      <c r="H57" s="15">
        <f t="shared" si="2"/>
        <v>0</v>
      </c>
      <c r="I57" s="15">
        <f t="shared" si="2"/>
        <v>0</v>
      </c>
      <c r="J57" s="15">
        <f t="shared" si="2"/>
        <v>0</v>
      </c>
      <c r="K57" s="15">
        <f t="shared" si="2"/>
        <v>0</v>
      </c>
      <c r="L57" s="15">
        <f t="shared" si="2"/>
        <v>0</v>
      </c>
      <c r="M57" s="15">
        <f t="shared" si="2"/>
        <v>0</v>
      </c>
      <c r="N57" s="15">
        <f t="shared" si="2"/>
        <v>0</v>
      </c>
      <c r="O57" s="15">
        <f t="shared" si="2"/>
        <v>0</v>
      </c>
      <c r="P57" s="15">
        <f t="shared" si="2"/>
        <v>0</v>
      </c>
      <c r="Q57" s="15">
        <f t="shared" si="2"/>
        <v>0</v>
      </c>
      <c r="R57"/>
    </row>
    <row r="58" spans="2:18" ht="13" thickTop="1">
      <c r="Q58" s="58" t="s">
        <v>78</v>
      </c>
    </row>
    <row r="60" spans="2:18">
      <c r="B60" s="31"/>
      <c r="C60" s="31"/>
    </row>
    <row r="61" spans="2:18" ht="26" customHeight="1">
      <c r="B61" s="18" t="s">
        <v>57</v>
      </c>
      <c r="C61" s="68" t="s">
        <v>58</v>
      </c>
      <c r="D61" s="69"/>
      <c r="E61" s="70"/>
      <c r="F61" s="18" t="s">
        <v>70</v>
      </c>
      <c r="G61" s="55" t="s">
        <v>80</v>
      </c>
      <c r="K61"/>
      <c r="L61"/>
      <c r="M61"/>
      <c r="N61"/>
      <c r="O61"/>
      <c r="P61"/>
      <c r="Q61"/>
      <c r="R61"/>
    </row>
    <row r="62" spans="2:18" ht="14.5">
      <c r="B62" s="32" t="s">
        <v>9</v>
      </c>
      <c r="C62" s="71" t="s">
        <v>65</v>
      </c>
      <c r="D62" s="72"/>
      <c r="E62" s="73"/>
      <c r="F62" s="33">
        <f>+COUNTIF($R$40:$R$55,B62)</f>
        <v>15</v>
      </c>
      <c r="G62" s="33">
        <f>SUMIF($R$40:$R$55,B62,$Q$40:$Q$55)</f>
        <v>0</v>
      </c>
      <c r="J62"/>
      <c r="K62"/>
      <c r="L62"/>
      <c r="M62"/>
      <c r="N62"/>
      <c r="O62"/>
      <c r="P62"/>
      <c r="Q62"/>
      <c r="R62"/>
    </row>
    <row r="63" spans="2:18" ht="14.5">
      <c r="B63" s="34" t="s">
        <v>10</v>
      </c>
      <c r="C63" s="61" t="s">
        <v>8</v>
      </c>
      <c r="D63" s="62"/>
      <c r="E63" s="63"/>
      <c r="F63" s="33">
        <f>+COUNTIF($R$40:$R$55,B63)</f>
        <v>0</v>
      </c>
      <c r="G63" s="33">
        <f>SUMIF($R$40:$R$55,B63,$Q$40:$Q$55)</f>
        <v>0</v>
      </c>
      <c r="I63"/>
      <c r="J63"/>
      <c r="K63"/>
      <c r="L63"/>
      <c r="M63"/>
      <c r="N63"/>
      <c r="O63"/>
      <c r="P63"/>
      <c r="Q63"/>
      <c r="R63"/>
    </row>
    <row r="64" spans="2:18" ht="14.5">
      <c r="B64" s="32" t="s">
        <v>7</v>
      </c>
      <c r="C64" s="61" t="s">
        <v>26</v>
      </c>
      <c r="D64" s="62"/>
      <c r="E64" s="63"/>
      <c r="F64" s="33">
        <f>+COUNTIF($R$40:$R$55,B64)</f>
        <v>1</v>
      </c>
      <c r="G64" s="33">
        <f>SUMIF($R$40:$R$55,B64,$Q$40:$Q$55)</f>
        <v>0</v>
      </c>
      <c r="I64"/>
      <c r="J64"/>
      <c r="K64"/>
      <c r="L64"/>
      <c r="M64"/>
      <c r="N64"/>
      <c r="O64"/>
      <c r="P64"/>
      <c r="Q64"/>
      <c r="R64"/>
    </row>
    <row r="65" spans="1:18" ht="6" customHeight="1">
      <c r="B65" s="35"/>
      <c r="C65" s="36"/>
      <c r="D65" s="36"/>
      <c r="E65" s="36"/>
      <c r="F65" s="37"/>
      <c r="G65" s="37"/>
      <c r="I65"/>
      <c r="J65"/>
      <c r="K65"/>
      <c r="L65"/>
      <c r="M65"/>
      <c r="N65"/>
      <c r="O65"/>
      <c r="P65"/>
      <c r="Q65"/>
      <c r="R65"/>
    </row>
    <row r="66" spans="1:18" ht="15" thickBot="1">
      <c r="E66" s="38"/>
      <c r="F66" s="59">
        <f>+SUM(F62:F64)</f>
        <v>16</v>
      </c>
      <c r="G66" s="60">
        <f>+SUM(G62:G64)</f>
        <v>0</v>
      </c>
      <c r="I66"/>
      <c r="J66"/>
      <c r="K66"/>
      <c r="L66"/>
      <c r="M66"/>
      <c r="N66"/>
      <c r="O66"/>
      <c r="P66"/>
      <c r="Q66"/>
      <c r="R66"/>
    </row>
    <row r="67" spans="1:18" ht="15" thickTop="1">
      <c r="F67" s="38"/>
      <c r="G67" s="58" t="s">
        <v>78</v>
      </c>
      <c r="H67" s="54"/>
      <c r="I67"/>
      <c r="J67"/>
      <c r="K67"/>
      <c r="L67"/>
      <c r="M67"/>
      <c r="N67"/>
      <c r="O67"/>
      <c r="P67"/>
      <c r="Q67"/>
      <c r="R67"/>
    </row>
    <row r="69" spans="1:18">
      <c r="B69" s="8" t="s">
        <v>19</v>
      </c>
      <c r="C69" s="8"/>
    </row>
    <row r="70" spans="1:18" ht="7" customHeight="1">
      <c r="B70" s="8"/>
      <c r="C70" s="8"/>
    </row>
    <row r="71" spans="1:18">
      <c r="B71" s="52" t="s">
        <v>60</v>
      </c>
      <c r="C71" s="52"/>
    </row>
    <row r="72" spans="1:18">
      <c r="B72" s="9" t="s">
        <v>61</v>
      </c>
    </row>
    <row r="73" spans="1:18">
      <c r="B73" s="39" t="s">
        <v>20</v>
      </c>
      <c r="C73" s="39"/>
    </row>
    <row r="74" spans="1:18">
      <c r="B74" s="39"/>
      <c r="C74" s="39"/>
    </row>
    <row r="75" spans="1:18" ht="14" customHeight="1">
      <c r="A75" s="53"/>
      <c r="B75" s="8" t="s">
        <v>69</v>
      </c>
      <c r="C75" s="8"/>
    </row>
    <row r="76" spans="1:18" ht="7" customHeight="1">
      <c r="A76" s="53"/>
    </row>
    <row r="77" spans="1:18">
      <c r="A77" s="42" t="s">
        <v>62</v>
      </c>
    </row>
    <row r="78" spans="1:18">
      <c r="A78" s="42" t="s">
        <v>63</v>
      </c>
    </row>
    <row r="79" spans="1:18">
      <c r="A79" s="42" t="s">
        <v>64</v>
      </c>
    </row>
    <row r="80" spans="1:18">
      <c r="B80" s="39"/>
      <c r="C80" s="39"/>
    </row>
    <row r="81" spans="1:3">
      <c r="A81" s="41"/>
      <c r="B81" s="8" t="s">
        <v>27</v>
      </c>
      <c r="C81" s="8"/>
    </row>
    <row r="82" spans="1:3" ht="7" customHeight="1">
      <c r="A82" s="41"/>
      <c r="B82" s="8"/>
      <c r="C82" s="8"/>
    </row>
    <row r="83" spans="1:3">
      <c r="A83" s="42" t="s">
        <v>32</v>
      </c>
      <c r="B83" s="8"/>
      <c r="C83" s="8"/>
    </row>
    <row r="84" spans="1:3">
      <c r="A84" s="42" t="s">
        <v>33</v>
      </c>
      <c r="B84" s="8"/>
      <c r="C84" s="8"/>
    </row>
    <row r="85" spans="1:3">
      <c r="A85" s="42" t="s">
        <v>34</v>
      </c>
    </row>
    <row r="86" spans="1:3">
      <c r="A86" s="41"/>
      <c r="B86" s="43"/>
      <c r="C86" s="43"/>
    </row>
    <row r="87" spans="1:3">
      <c r="A87" s="41"/>
      <c r="B87" s="8" t="s">
        <v>28</v>
      </c>
      <c r="C87" s="8"/>
    </row>
    <row r="88" spans="1:3" ht="7" customHeight="1">
      <c r="A88" s="41"/>
      <c r="B88" s="8"/>
      <c r="C88" s="8"/>
    </row>
    <row r="89" spans="1:3">
      <c r="A89" s="42" t="s">
        <v>35</v>
      </c>
      <c r="B89" s="8"/>
      <c r="C89" s="8"/>
    </row>
    <row r="90" spans="1:3">
      <c r="A90" s="42" t="s">
        <v>36</v>
      </c>
    </row>
    <row r="91" spans="1:3">
      <c r="A91" s="42" t="s">
        <v>37</v>
      </c>
      <c r="B91" s="44"/>
      <c r="C91" s="44"/>
    </row>
    <row r="92" spans="1:3">
      <c r="A92" s="42"/>
      <c r="B92" s="44"/>
      <c r="C92" s="44"/>
    </row>
    <row r="93" spans="1:3">
      <c r="A93" s="45"/>
      <c r="B93" s="8" t="s">
        <v>21</v>
      </c>
      <c r="C93" s="8"/>
    </row>
    <row r="94" spans="1:3" ht="7" customHeight="1">
      <c r="A94" s="45"/>
      <c r="B94" s="8"/>
      <c r="C94" s="8"/>
    </row>
    <row r="95" spans="1:3">
      <c r="A95" s="45"/>
      <c r="B95" s="46" t="s">
        <v>38</v>
      </c>
      <c r="C95" s="46"/>
    </row>
  </sheetData>
  <mergeCells count="7">
    <mergeCell ref="C63:E63"/>
    <mergeCell ref="C64:E64"/>
    <mergeCell ref="D38:O38"/>
    <mergeCell ref="B38:B39"/>
    <mergeCell ref="C38:C39"/>
    <mergeCell ref="C61:E61"/>
    <mergeCell ref="C62:E62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0326D-CD57-4948-99FA-DC02DC48A131}">
  <dimension ref="B2"/>
  <sheetViews>
    <sheetView showGridLines="0" zoomScale="80" zoomScaleNormal="80" workbookViewId="0">
      <selection activeCell="B2" sqref="B2"/>
    </sheetView>
  </sheetViews>
  <sheetFormatPr baseColWidth="10" defaultRowHeight="12.5"/>
  <cols>
    <col min="1" max="1" width="5.08984375" style="9" customWidth="1"/>
    <col min="2" max="16384" width="10.90625" style="9"/>
  </cols>
  <sheetData>
    <row r="2" spans="2:2">
      <c r="B2" s="4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110.07</vt:lpstr>
      <vt:lpstr>Base kardex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2023-03-07T19:40:55Z</dcterms:created>
  <dcterms:modified xsi:type="dcterms:W3CDTF">2026-04-17T00:05:33Z</dcterms:modified>
</cp:coreProperties>
</file>