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choe\Downloads\Papeles Modelo Kreston-20260416T233239Z-3-001\Papeles Modelo Kreston\02. Pruebas sustantivas 2024\02. Pruebas sustantivas\1. Activo\3. Inventarios\"/>
    </mc:Choice>
  </mc:AlternateContent>
  <xr:revisionPtr revIDLastSave="0" documentId="13_ncr:1_{25B5597C-7F44-4484-B9F1-0E350859D8CC}" xr6:coauthVersionLast="47" xr6:coauthVersionMax="47" xr10:uidLastSave="{00000000-0000-0000-0000-000000000000}"/>
  <bookViews>
    <workbookView xWindow="-110" yWindow="-110" windowWidth="19420" windowHeight="10300" activeTab="1" xr2:uid="{8F990AD1-108E-4893-A167-C3C968CA5414}"/>
  </bookViews>
  <sheets>
    <sheet name="110.05.01" sheetId="1" r:id="rId1"/>
    <sheet name="110.05.02" sheetId="3" r:id="rId2"/>
  </sheets>
  <definedNames>
    <definedName name="_xlnm._FilterDatabase" localSheetId="0" hidden="1">'110.05.01'!$B$32:$N$47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9" i="3" l="1"/>
  <c r="U47" i="3"/>
  <c r="U46" i="3"/>
  <c r="U45" i="3"/>
  <c r="U44" i="3"/>
  <c r="U43" i="3"/>
  <c r="U42" i="3"/>
  <c r="U41" i="3"/>
  <c r="U40" i="3"/>
  <c r="U39" i="3"/>
  <c r="T47" i="3"/>
  <c r="T46" i="3"/>
  <c r="T45" i="3"/>
  <c r="T44" i="3"/>
  <c r="T43" i="3"/>
  <c r="T42" i="3"/>
  <c r="T41" i="3"/>
  <c r="T40" i="3"/>
  <c r="T39" i="3"/>
  <c r="AK47" i="3"/>
  <c r="AK46" i="3"/>
  <c r="AK45" i="3"/>
  <c r="AK44" i="3"/>
  <c r="AK43" i="3"/>
  <c r="AK42" i="3"/>
  <c r="AK41" i="3"/>
  <c r="AK40" i="3"/>
  <c r="AK39" i="3"/>
  <c r="AJ39" i="3"/>
  <c r="V47" i="3" l="1"/>
  <c r="V46" i="3"/>
  <c r="V45" i="3"/>
  <c r="V44" i="3"/>
  <c r="V43" i="3"/>
  <c r="V42" i="3"/>
  <c r="V41" i="3"/>
  <c r="V40" i="3"/>
  <c r="AJ47" i="3"/>
  <c r="AJ46" i="3"/>
  <c r="AJ45" i="3"/>
  <c r="AJ44" i="3"/>
  <c r="AJ43" i="3"/>
  <c r="AJ42" i="3"/>
  <c r="AJ41" i="3"/>
  <c r="AJ40" i="3"/>
  <c r="AK49" i="3" l="1"/>
  <c r="AJ49" i="3"/>
  <c r="AA47" i="3"/>
  <c r="AA46" i="3"/>
  <c r="AA45" i="3"/>
  <c r="AA44" i="3"/>
  <c r="AA43" i="3"/>
  <c r="AA42" i="3"/>
  <c r="AA41" i="3"/>
  <c r="AA40" i="3"/>
  <c r="AA39" i="3"/>
  <c r="AC39" i="3"/>
  <c r="AE39" i="3" l="1"/>
  <c r="V49" i="3" l="1"/>
  <c r="AF47" i="3"/>
  <c r="AF46" i="3"/>
  <c r="AF45" i="3"/>
  <c r="AF44" i="3"/>
  <c r="AF43" i="3"/>
  <c r="AF42" i="3"/>
  <c r="AF41" i="3"/>
  <c r="AF40" i="3"/>
  <c r="AC47" i="3"/>
  <c r="AR47" i="3" s="1"/>
  <c r="AC43" i="3"/>
  <c r="AR43" i="3" s="1"/>
  <c r="AC46" i="3" l="1"/>
  <c r="AC42" i="3"/>
  <c r="AC45" i="3"/>
  <c r="AC41" i="3"/>
  <c r="AS43" i="3"/>
  <c r="AE43" i="3"/>
  <c r="AC44" i="3"/>
  <c r="AE47" i="3"/>
  <c r="AC40" i="3"/>
  <c r="AS47" i="3"/>
  <c r="AE42" i="3"/>
  <c r="AE46" i="3"/>
  <c r="AE41" i="3" l="1"/>
  <c r="AR41" i="3"/>
  <c r="AR44" i="3"/>
  <c r="AS44" i="3" s="1"/>
  <c r="AE45" i="3"/>
  <c r="AR45" i="3"/>
  <c r="AS45" i="3" s="1"/>
  <c r="AR42" i="3"/>
  <c r="AS42" i="3" s="1"/>
  <c r="AE40" i="3"/>
  <c r="AR40" i="3"/>
  <c r="AR46" i="3"/>
  <c r="AS46" i="3" s="1"/>
  <c r="AS41" i="3"/>
  <c r="AE44" i="3"/>
  <c r="I49" i="3" l="1"/>
  <c r="AF39" i="3"/>
  <c r="AR39" i="3" l="1"/>
  <c r="AS39" i="3" s="1"/>
  <c r="AE49" i="3" l="1"/>
  <c r="AS40" i="3"/>
  <c r="AS49" i="3" s="1"/>
</calcChain>
</file>

<file path=xl/sharedStrings.xml><?xml version="1.0" encoding="utf-8"?>
<sst xmlns="http://schemas.openxmlformats.org/spreadsheetml/2006/main" count="163" uniqueCount="108">
  <si>
    <t>Preparado por:</t>
  </si>
  <si>
    <t>Revisado por:</t>
  </si>
  <si>
    <t>Objetivo:</t>
  </si>
  <si>
    <t>Procedimientos:</t>
  </si>
  <si>
    <t>Serie</t>
  </si>
  <si>
    <t>Neto</t>
  </si>
  <si>
    <t>Conclusión:</t>
  </si>
  <si>
    <t xml:space="preserve">Total </t>
  </si>
  <si>
    <t>Fecha</t>
  </si>
  <si>
    <t>Diferencia</t>
  </si>
  <si>
    <t>RUC</t>
  </si>
  <si>
    <t>% Renta</t>
  </si>
  <si>
    <t>% IVA</t>
  </si>
  <si>
    <t>Valor IVA</t>
  </si>
  <si>
    <t>4.-</t>
  </si>
  <si>
    <t>1.-</t>
  </si>
  <si>
    <t>2.-</t>
  </si>
  <si>
    <t>3.-</t>
  </si>
  <si>
    <t>COMPAÑÍA MODELO S.A.</t>
  </si>
  <si>
    <t>PRUEBA SUSTANTIVA COMPRAS DE INVENTARIO</t>
  </si>
  <si>
    <t>Base de decisión: Materialidad</t>
  </si>
  <si>
    <t>Desarrollo:</t>
  </si>
  <si>
    <t>Marcas de auditoría:</t>
  </si>
  <si>
    <t>Sumatoria</t>
  </si>
  <si>
    <t>Ref.</t>
  </si>
  <si>
    <t>General</t>
  </si>
  <si>
    <t>XXX.XXX</t>
  </si>
  <si>
    <t>Desempeño</t>
  </si>
  <si>
    <t>Errores Triviales</t>
  </si>
  <si>
    <t xml:space="preserve">Factura </t>
  </si>
  <si>
    <t xml:space="preserve">Diferencia </t>
  </si>
  <si>
    <t>XX</t>
  </si>
  <si>
    <t>AL 31 DE DICIEMBRE DE 20XX</t>
  </si>
  <si>
    <t>Notas aclaratorias:</t>
  </si>
  <si>
    <t>Observaciones:</t>
  </si>
  <si>
    <t>Preliminar</t>
  </si>
  <si>
    <t xml:space="preserve">Final </t>
  </si>
  <si>
    <t>a)</t>
  </si>
  <si>
    <t>b)</t>
  </si>
  <si>
    <t>c)</t>
  </si>
  <si>
    <t>Obs.1</t>
  </si>
  <si>
    <t>Obs.2</t>
  </si>
  <si>
    <t>Obs.3</t>
  </si>
  <si>
    <t>***Concluir en función al objetivo</t>
  </si>
  <si>
    <t xml:space="preserve">Muestreo </t>
  </si>
  <si>
    <t xml:space="preserve">Existencia </t>
  </si>
  <si>
    <t>Exactitud</t>
  </si>
  <si>
    <t xml:space="preserve">Bancarización </t>
  </si>
  <si>
    <t xml:space="preserve">Fecha de vencimiento </t>
  </si>
  <si>
    <t xml:space="preserve">Nro. transacción </t>
  </si>
  <si>
    <t>FECHA DE CORTE: _/_/20XX</t>
  </si>
  <si>
    <t>Documentar el papel de trabajo y concluir en base al objetivo.</t>
  </si>
  <si>
    <t>Cálculos de Auditoría</t>
  </si>
  <si>
    <t>Información proporcionada por el cliente</t>
  </si>
  <si>
    <t>A</t>
  </si>
  <si>
    <t>B</t>
  </si>
  <si>
    <t>C</t>
  </si>
  <si>
    <t xml:space="preserve">Desarrollo: </t>
  </si>
  <si>
    <t>Cantidad</t>
  </si>
  <si>
    <t>Valor renta</t>
  </si>
  <si>
    <t xml:space="preserve">Documentación de sustento </t>
  </si>
  <si>
    <t>D</t>
  </si>
  <si>
    <t>E</t>
  </si>
  <si>
    <t xml:space="preserve">Cumplimiento tributario </t>
  </si>
  <si>
    <t xml:space="preserve">Cálculo de retención </t>
  </si>
  <si>
    <t xml:space="preserve">IVA </t>
  </si>
  <si>
    <t xml:space="preserve">Según comprobante </t>
  </si>
  <si>
    <t xml:space="preserve">Pago según auditoría </t>
  </si>
  <si>
    <t xml:space="preserve">Forma de pago </t>
  </si>
  <si>
    <t xml:space="preserve">Fecha </t>
  </si>
  <si>
    <t>110.05.01</t>
  </si>
  <si>
    <t>Determinar la existencia y exactitud de la cuenta de inventario al _/_/20XX.</t>
  </si>
  <si>
    <t>Cotejar la exactitud de los documentos con los registros contables.</t>
  </si>
  <si>
    <t>Nro. documento</t>
  </si>
  <si>
    <t>p/t 110.05.01</t>
  </si>
  <si>
    <t xml:space="preserve">Nombre del proveedor </t>
  </si>
  <si>
    <t>Muestra seleccionada</t>
  </si>
  <si>
    <t xml:space="preserve">Nro. de operación </t>
  </si>
  <si>
    <t>Comprobante de egreso</t>
  </si>
  <si>
    <t>Nro. comprobante</t>
  </si>
  <si>
    <t>Código cuenta contable</t>
  </si>
  <si>
    <t>Documentar el juicio profesional aplicado para la selección de muestra.</t>
  </si>
  <si>
    <t xml:space="preserve">Determinar las partidas seleccionadas. </t>
  </si>
  <si>
    <t>110.05.02</t>
  </si>
  <si>
    <r>
      <t xml:space="preserve">Solicitar los documentos soporte de la muestra obtenida en </t>
    </r>
    <r>
      <rPr>
        <sz val="10"/>
        <color rgb="FFFF0000"/>
        <rFont val="Tahoma"/>
        <family val="2"/>
      </rPr>
      <t>p/t 110.05.01</t>
    </r>
  </si>
  <si>
    <t>Diferencia en cantidad</t>
  </si>
  <si>
    <t>Diferencia en valor</t>
  </si>
  <si>
    <t>Días de retraso</t>
  </si>
  <si>
    <t xml:space="preserve">Ítem </t>
  </si>
  <si>
    <t xml:space="preserve">Fecha de contabilización </t>
  </si>
  <si>
    <t>Kárdex</t>
  </si>
  <si>
    <t>Determinar una muestra para la verificación de compras locales de inventario al _/ _/ 20XX.</t>
  </si>
  <si>
    <t>*** El auditor dejará documentado cómo seleccionó la muestra</t>
  </si>
  <si>
    <t>Realizar los recálculos en los casos que aplique.</t>
  </si>
  <si>
    <t>MUESTRA DE COMPRAS LOCALES PARA PRUEBAS SUSTANTIVAS</t>
  </si>
  <si>
    <t>Verificaciones:</t>
  </si>
  <si>
    <t xml:space="preserve">Nro. comprobante </t>
  </si>
  <si>
    <t>Valor de kardex (entrada)</t>
  </si>
  <si>
    <t xml:space="preserve">Precio unitario </t>
  </si>
  <si>
    <t>Nombre del artículo</t>
  </si>
  <si>
    <t>Subtotal 0%</t>
  </si>
  <si>
    <t>Subtotal 12%</t>
  </si>
  <si>
    <t>Solicitar a la Compañía el detalle de las compras locales de inventario al _/ _/ 20XX.</t>
  </si>
  <si>
    <t>Solicitar el kardex al _/_/20XX</t>
  </si>
  <si>
    <t>5.-</t>
  </si>
  <si>
    <t>Verificar que el valor y cantidad de la compra corresponda al ingreso en el kardex</t>
  </si>
  <si>
    <t>6.-</t>
  </si>
  <si>
    <t xml:space="preserve">Valor según comprobante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</si>
</sst>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 * #,##0.0_ ;_ * \-#,##0.0_ ;_ * &quot;-&quot;??_ ;_ @_ "/>
    <numFmt numFmtId="165" formatCode="_ * #,##0_ ;_ * \-#,##0_ ;_ * &quot;-&quot;??_ ;_ @_ "/>
    <numFmt numFmtId="166" formatCode="_(* #,##0_);_(* \(#,##0\);_(* &quot;-&quot;??_);_(@_)"/>
    <numFmt numFmtId="167" formatCode="_(* #,##0_);_(* \(#,##0\);_(* &quot;-&quot;_);_(@_)"/>
  </numFmts>
  <fonts count="18" x14ac:knownFonts="1"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0"/>
      <color theme="1"/>
      <name val="Tahoma"/>
      <family val="2"/>
    </font>
    <font>
      <b/>
      <sz val="10"/>
      <name val="Tahoma"/>
      <family val="2"/>
    </font>
    <font>
      <b/>
      <sz val="10"/>
      <color theme="3"/>
      <name val="Tahoma"/>
      <family val="2"/>
    </font>
    <font>
      <b/>
      <sz val="10"/>
      <color rgb="FFFF0000"/>
      <name val="Tahoma"/>
      <family val="2"/>
    </font>
    <font>
      <b/>
      <sz val="10"/>
      <color theme="8" tint="-0.499984740745262"/>
      <name val="Tahoma"/>
      <family val="2"/>
    </font>
    <font>
      <sz val="11"/>
      <color indexed="8"/>
      <name val="Calibri"/>
      <family val="2"/>
    </font>
    <font>
      <b/>
      <sz val="10"/>
      <color rgb="FF002060"/>
      <name val="Tahoma"/>
      <family val="2"/>
    </font>
    <font>
      <sz val="10"/>
      <color rgb="FFFF0000"/>
      <name val="Tahoma"/>
      <family val="2"/>
    </font>
    <font>
      <b/>
      <u/>
      <sz val="10"/>
      <color rgb="FF0000FF"/>
      <name val="Tahoma"/>
      <family val="2"/>
    </font>
    <font>
      <b/>
      <sz val="10"/>
      <color theme="0"/>
      <name val="Tahoma"/>
      <family val="2"/>
    </font>
    <font>
      <sz val="11"/>
      <color theme="1"/>
      <name val="Calibri"/>
      <family val="2"/>
    </font>
    <font>
      <b/>
      <u/>
      <sz val="10"/>
      <color theme="1"/>
      <name val="Tahoma"/>
      <family val="2"/>
    </font>
    <font>
      <sz val="10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D9E2F3"/>
        <bgColor rgb="FFD9E2F3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ck">
        <color theme="4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3">
    <xf numFmtId="0" fontId="0" fillId="0" borderId="0"/>
    <xf numFmtId="43" fontId="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2" fillId="0" borderId="0" applyFont="0" applyFill="0" applyBorder="0" applyAlignment="0" applyProtection="0"/>
    <xf numFmtId="0" fontId="10" fillId="0" borderId="0"/>
    <xf numFmtId="0" fontId="15" fillId="0" borderId="0"/>
    <xf numFmtId="0" fontId="3" fillId="0" borderId="0"/>
    <xf numFmtId="0" fontId="3" fillId="0" borderId="0"/>
    <xf numFmtId="0" fontId="10" fillId="0" borderId="0"/>
  </cellStyleXfs>
  <cellXfs count="136">
    <xf numFmtId="0" fontId="0" fillId="0" borderId="0" xfId="0"/>
    <xf numFmtId="0" fontId="4" fillId="0" borderId="0" xfId="0" applyFont="1"/>
    <xf numFmtId="0" fontId="4" fillId="2" borderId="0" xfId="3" applyFont="1" applyFill="1" applyAlignment="1">
      <alignment horizontal="center" vertical="center"/>
    </xf>
    <xf numFmtId="0" fontId="4" fillId="2" borderId="0" xfId="3" applyFont="1" applyFill="1"/>
    <xf numFmtId="0" fontId="7" fillId="2" borderId="0" xfId="4" applyFont="1" applyFill="1" applyAlignment="1">
      <alignment vertical="center"/>
    </xf>
    <xf numFmtId="0" fontId="4" fillId="2" borderId="0" xfId="0" applyFont="1" applyFill="1" applyAlignment="1">
      <alignment horizontal="center"/>
    </xf>
    <xf numFmtId="0" fontId="5" fillId="2" borderId="0" xfId="0" applyFont="1" applyFill="1" applyAlignment="1" applyProtection="1">
      <alignment horizontal="left" vertical="center"/>
      <protection hidden="1"/>
    </xf>
    <xf numFmtId="0" fontId="9" fillId="2" borderId="0" xfId="0" applyFont="1" applyFill="1" applyAlignment="1" applyProtection="1">
      <alignment horizontal="left" vertical="center"/>
      <protection hidden="1"/>
    </xf>
    <xf numFmtId="14" fontId="9" fillId="2" borderId="0" xfId="0" applyNumberFormat="1" applyFont="1" applyFill="1" applyAlignment="1" applyProtection="1">
      <alignment horizontal="left" vertical="center"/>
      <protection hidden="1"/>
    </xf>
    <xf numFmtId="0" fontId="4" fillId="0" borderId="0" xfId="6" applyFont="1"/>
    <xf numFmtId="0" fontId="4" fillId="2" borderId="0" xfId="0" applyFont="1" applyFill="1"/>
    <xf numFmtId="0" fontId="8" fillId="0" borderId="2" xfId="0" applyFont="1" applyBorder="1" applyAlignment="1" applyProtection="1">
      <alignment horizontal="center" vertical="center"/>
      <protection hidden="1"/>
    </xf>
    <xf numFmtId="0" fontId="7" fillId="2" borderId="0" xfId="4" applyFont="1" applyFill="1" applyAlignment="1">
      <alignment horizontal="right" vertical="center" wrapText="1"/>
    </xf>
    <xf numFmtId="14" fontId="4" fillId="0" borderId="0" xfId="0" applyNumberFormat="1" applyFont="1"/>
    <xf numFmtId="0" fontId="5" fillId="0" borderId="0" xfId="0" applyFont="1"/>
    <xf numFmtId="0" fontId="8" fillId="0" borderId="0" xfId="0" applyFont="1"/>
    <xf numFmtId="0" fontId="11" fillId="0" borderId="0" xfId="0" applyFont="1"/>
    <xf numFmtId="0" fontId="8" fillId="0" borderId="0" xfId="0" applyFont="1" applyAlignment="1">
      <alignment horizontal="center" vertical="center"/>
    </xf>
    <xf numFmtId="0" fontId="1" fillId="2" borderId="0" xfId="2" applyFont="1" applyFill="1"/>
    <xf numFmtId="14" fontId="1" fillId="2" borderId="0" xfId="2" applyNumberFormat="1" applyFont="1" applyFill="1"/>
    <xf numFmtId="0" fontId="1" fillId="2" borderId="0" xfId="0" applyFont="1" applyFill="1"/>
    <xf numFmtId="0" fontId="1" fillId="0" borderId="0" xfId="0" applyFont="1"/>
    <xf numFmtId="164" fontId="8" fillId="0" borderId="2" xfId="1" applyNumberFormat="1" applyFont="1" applyBorder="1" applyAlignment="1" applyProtection="1">
      <alignment horizontal="center" vertical="center"/>
      <protection hidden="1"/>
    </xf>
    <xf numFmtId="14" fontId="7" fillId="2" borderId="0" xfId="4" applyNumberFormat="1" applyFont="1" applyFill="1" applyAlignment="1">
      <alignment horizontal="right" vertical="center" wrapText="1"/>
    </xf>
    <xf numFmtId="14" fontId="5" fillId="2" borderId="0" xfId="0" applyNumberFormat="1" applyFont="1" applyFill="1" applyAlignment="1" applyProtection="1">
      <alignment horizontal="left" vertical="center"/>
      <protection hidden="1"/>
    </xf>
    <xf numFmtId="14" fontId="1" fillId="2" borderId="0" xfId="0" applyNumberFormat="1" applyFont="1" applyFill="1"/>
    <xf numFmtId="165" fontId="1" fillId="0" borderId="0" xfId="1" applyNumberFormat="1" applyFont="1"/>
    <xf numFmtId="165" fontId="5" fillId="0" borderId="4" xfId="1" applyNumberFormat="1" applyFont="1" applyBorder="1"/>
    <xf numFmtId="0" fontId="5" fillId="2" borderId="0" xfId="0" applyFont="1" applyFill="1" applyBorder="1" applyAlignment="1" applyProtection="1">
      <alignment horizontal="left" vertical="center"/>
      <protection hidden="1"/>
    </xf>
    <xf numFmtId="0" fontId="11" fillId="2" borderId="0" xfId="0" applyFont="1" applyFill="1" applyBorder="1" applyAlignment="1" applyProtection="1">
      <alignment horizontal="left" vertical="center"/>
      <protection hidden="1"/>
    </xf>
    <xf numFmtId="0" fontId="11" fillId="2" borderId="0" xfId="0" applyFont="1" applyFill="1" applyAlignment="1" applyProtection="1">
      <alignment horizontal="left" vertical="center"/>
      <protection hidden="1"/>
    </xf>
    <xf numFmtId="0" fontId="9" fillId="2" borderId="0" xfId="0" applyFont="1" applyFill="1" applyBorder="1" applyAlignment="1" applyProtection="1">
      <alignment horizontal="left" vertical="center"/>
      <protection hidden="1"/>
    </xf>
    <xf numFmtId="14" fontId="9" fillId="2" borderId="0" xfId="0" applyNumberFormat="1" applyFont="1" applyFill="1" applyBorder="1" applyAlignment="1" applyProtection="1">
      <alignment horizontal="left" vertical="center"/>
      <protection hidden="1"/>
    </xf>
    <xf numFmtId="0" fontId="1" fillId="0" borderId="0" xfId="0" applyFont="1" applyBorder="1"/>
    <xf numFmtId="0" fontId="4" fillId="2" borderId="0" xfId="0" applyFont="1" applyFill="1" applyBorder="1"/>
    <xf numFmtId="0" fontId="13" fillId="0" borderId="0" xfId="0" applyFont="1" applyAlignment="1">
      <alignment horizontal="left"/>
    </xf>
    <xf numFmtId="0" fontId="13" fillId="0" borderId="0" xfId="0" applyFont="1"/>
    <xf numFmtId="0" fontId="8" fillId="0" borderId="0" xfId="0" applyFont="1" applyAlignment="1">
      <alignment horizontal="right"/>
    </xf>
    <xf numFmtId="0" fontId="1" fillId="0" borderId="5" xfId="0" applyFont="1" applyBorder="1"/>
    <xf numFmtId="0" fontId="6" fillId="2" borderId="0" xfId="6" applyFont="1" applyFill="1" applyAlignment="1">
      <alignment horizontal="left" vertical="center" indent="1"/>
    </xf>
    <xf numFmtId="0" fontId="11" fillId="3" borderId="1" xfId="0" applyFont="1" applyFill="1" applyBorder="1" applyAlignment="1" applyProtection="1">
      <alignment horizontal="center" vertical="center"/>
      <protection hidden="1"/>
    </xf>
    <xf numFmtId="0" fontId="11" fillId="3" borderId="2" xfId="0" applyFont="1" applyFill="1" applyBorder="1" applyAlignment="1" applyProtection="1">
      <alignment horizontal="center" vertical="center"/>
      <protection hidden="1"/>
    </xf>
    <xf numFmtId="0" fontId="11" fillId="2" borderId="0" xfId="0" applyFont="1" applyFill="1" applyAlignment="1">
      <alignment horizontal="left" vertical="top"/>
    </xf>
    <xf numFmtId="0" fontId="11" fillId="0" borderId="0" xfId="9" applyFont="1" applyAlignment="1" applyProtection="1">
      <alignment horizontal="left" vertical="center"/>
      <protection hidden="1"/>
    </xf>
    <xf numFmtId="165" fontId="1" fillId="2" borderId="3" xfId="1" applyNumberFormat="1" applyFont="1" applyFill="1" applyBorder="1" applyAlignment="1" applyProtection="1">
      <alignment horizontal="center" vertical="center" wrapText="1"/>
      <protection hidden="1"/>
    </xf>
    <xf numFmtId="165" fontId="1" fillId="0" borderId="3" xfId="1" applyNumberFormat="1" applyFont="1" applyBorder="1" applyAlignment="1" applyProtection="1">
      <alignment horizontal="center" vertical="center" wrapText="1"/>
      <protection hidden="1"/>
    </xf>
    <xf numFmtId="0" fontId="1" fillId="0" borderId="2" xfId="0" applyFont="1" applyBorder="1"/>
    <xf numFmtId="14" fontId="1" fillId="0" borderId="2" xfId="0" applyNumberFormat="1" applyFont="1" applyBorder="1"/>
    <xf numFmtId="165" fontId="1" fillId="0" borderId="2" xfId="1" applyNumberFormat="1" applyFont="1" applyBorder="1"/>
    <xf numFmtId="0" fontId="8" fillId="0" borderId="0" xfId="10" applyFont="1" applyAlignment="1">
      <alignment horizontal="center" vertical="center"/>
    </xf>
    <xf numFmtId="0" fontId="8" fillId="2" borderId="0" xfId="5" applyFont="1" applyFill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2" fillId="0" borderId="0" xfId="0" applyFont="1"/>
    <xf numFmtId="0" fontId="1" fillId="2" borderId="3" xfId="5" applyFont="1" applyFill="1" applyBorder="1" applyAlignment="1" applyProtection="1">
      <alignment horizontal="center" vertical="center" wrapText="1"/>
      <protection hidden="1"/>
    </xf>
    <xf numFmtId="0" fontId="1" fillId="2" borderId="3" xfId="0" applyFont="1" applyFill="1" applyBorder="1" applyAlignment="1" applyProtection="1">
      <alignment horizontal="center" vertical="center" wrapText="1"/>
      <protection hidden="1"/>
    </xf>
    <xf numFmtId="15" fontId="11" fillId="3" borderId="2" xfId="0" applyNumberFormat="1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166" fontId="11" fillId="3" borderId="2" xfId="1" applyNumberFormat="1" applyFont="1" applyFill="1" applyBorder="1" applyAlignment="1">
      <alignment horizontal="center" vertical="center" wrapText="1"/>
    </xf>
    <xf numFmtId="1" fontId="11" fillId="3" borderId="2" xfId="0" applyNumberFormat="1" applyFont="1" applyFill="1" applyBorder="1" applyAlignment="1">
      <alignment horizontal="center" vertical="center" wrapText="1"/>
    </xf>
    <xf numFmtId="14" fontId="11" fillId="3" borderId="2" xfId="0" applyNumberFormat="1" applyFont="1" applyFill="1" applyBorder="1" applyAlignment="1">
      <alignment horizontal="center" vertical="center" wrapText="1"/>
    </xf>
    <xf numFmtId="1" fontId="11" fillId="3" borderId="2" xfId="1" applyNumberFormat="1" applyFont="1" applyFill="1" applyBorder="1" applyAlignment="1">
      <alignment horizontal="center" vertical="center" wrapText="1"/>
    </xf>
    <xf numFmtId="43" fontId="11" fillId="3" borderId="2" xfId="1" applyFont="1" applyFill="1" applyBorder="1" applyAlignment="1">
      <alignment horizontal="center" vertical="center" wrapText="1"/>
    </xf>
    <xf numFmtId="0" fontId="11" fillId="3" borderId="2" xfId="3" applyFont="1" applyFill="1" applyBorder="1" applyAlignment="1">
      <alignment horizontal="center" vertical="center" wrapText="1"/>
    </xf>
    <xf numFmtId="49" fontId="11" fillId="3" borderId="2" xfId="3" applyNumberFormat="1" applyFont="1" applyFill="1" applyBorder="1" applyAlignment="1">
      <alignment horizontal="center" vertical="center" wrapText="1"/>
    </xf>
    <xf numFmtId="14" fontId="11" fillId="3" borderId="2" xfId="3" applyNumberFormat="1" applyFont="1" applyFill="1" applyBorder="1" applyAlignment="1">
      <alignment horizontal="center" vertical="center" wrapText="1"/>
    </xf>
    <xf numFmtId="10" fontId="11" fillId="3" borderId="2" xfId="7" applyNumberFormat="1" applyFont="1" applyFill="1" applyBorder="1" applyAlignment="1">
      <alignment horizontal="center" vertical="center" wrapText="1"/>
    </xf>
    <xf numFmtId="9" fontId="11" fillId="3" borderId="2" xfId="7" applyFont="1" applyFill="1" applyBorder="1" applyAlignment="1">
      <alignment horizontal="center" vertical="center" wrapText="1"/>
    </xf>
    <xf numFmtId="1" fontId="11" fillId="3" borderId="2" xfId="3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6" fillId="2" borderId="0" xfId="8" applyFont="1" applyFill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2" xfId="0" applyFont="1" applyFill="1" applyBorder="1"/>
    <xf numFmtId="0" fontId="1" fillId="0" borderId="2" xfId="5" applyFont="1" applyBorder="1" applyAlignment="1">
      <alignment horizontal="center"/>
    </xf>
    <xf numFmtId="0" fontId="4" fillId="0" borderId="0" xfId="3" applyFont="1"/>
    <xf numFmtId="0" fontId="4" fillId="0" borderId="0" xfId="11" applyFont="1" applyBorder="1"/>
    <xf numFmtId="0" fontId="1" fillId="2" borderId="0" xfId="0" applyFont="1" applyFill="1" applyAlignment="1">
      <alignment vertical="center"/>
    </xf>
    <xf numFmtId="0" fontId="13" fillId="0" borderId="0" xfId="12" applyFont="1"/>
    <xf numFmtId="1" fontId="1" fillId="0" borderId="2" xfId="0" applyNumberFormat="1" applyFont="1" applyBorder="1"/>
    <xf numFmtId="49" fontId="1" fillId="0" borderId="2" xfId="0" applyNumberFormat="1" applyFont="1" applyBorder="1"/>
    <xf numFmtId="10" fontId="1" fillId="0" borderId="2" xfId="0" applyNumberFormat="1" applyFont="1" applyBorder="1"/>
    <xf numFmtId="9" fontId="1" fillId="0" borderId="2" xfId="0" applyNumberFormat="1" applyFont="1" applyBorder="1"/>
    <xf numFmtId="165" fontId="1" fillId="0" borderId="2" xfId="0" applyNumberFormat="1" applyFont="1" applyBorder="1"/>
    <xf numFmtId="43" fontId="1" fillId="0" borderId="2" xfId="1" applyFont="1" applyBorder="1"/>
    <xf numFmtId="1" fontId="1" fillId="0" borderId="0" xfId="0" applyNumberFormat="1" applyFont="1" applyBorder="1"/>
    <xf numFmtId="49" fontId="1" fillId="0" borderId="0" xfId="0" applyNumberFormat="1" applyFont="1" applyBorder="1"/>
    <xf numFmtId="14" fontId="1" fillId="0" borderId="0" xfId="0" applyNumberFormat="1" applyFont="1" applyBorder="1"/>
    <xf numFmtId="165" fontId="1" fillId="0" borderId="0" xfId="1" applyNumberFormat="1" applyFont="1" applyBorder="1"/>
    <xf numFmtId="14" fontId="1" fillId="0" borderId="0" xfId="0" applyNumberFormat="1" applyFont="1"/>
    <xf numFmtId="10" fontId="1" fillId="0" borderId="0" xfId="0" applyNumberFormat="1" applyFont="1"/>
    <xf numFmtId="9" fontId="1" fillId="0" borderId="0" xfId="0" applyNumberFormat="1" applyFont="1"/>
    <xf numFmtId="43" fontId="1" fillId="0" borderId="0" xfId="1" applyFont="1"/>
    <xf numFmtId="165" fontId="1" fillId="0" borderId="0" xfId="0" applyNumberFormat="1" applyFont="1"/>
    <xf numFmtId="1" fontId="1" fillId="0" borderId="0" xfId="0" applyNumberFormat="1" applyFont="1"/>
    <xf numFmtId="49" fontId="1" fillId="0" borderId="0" xfId="0" applyNumberFormat="1" applyFont="1"/>
    <xf numFmtId="164" fontId="8" fillId="0" borderId="0" xfId="1" applyNumberFormat="1" applyFont="1" applyBorder="1" applyAlignment="1" applyProtection="1">
      <alignment horizontal="center" vertical="center"/>
      <protection hidden="1"/>
    </xf>
    <xf numFmtId="43" fontId="11" fillId="3" borderId="1" xfId="1" applyFont="1" applyFill="1" applyBorder="1" applyAlignment="1">
      <alignment horizontal="center" vertical="center" wrapText="1"/>
    </xf>
    <xf numFmtId="165" fontId="1" fillId="0" borderId="3" xfId="0" applyNumberFormat="1" applyFont="1" applyBorder="1"/>
    <xf numFmtId="0" fontId="1" fillId="0" borderId="0" xfId="0" applyFont="1" applyFill="1"/>
    <xf numFmtId="0" fontId="4" fillId="0" borderId="0" xfId="6" applyFont="1" applyFill="1"/>
    <xf numFmtId="0" fontId="4" fillId="0" borderId="0" xfId="0" applyFont="1" applyFill="1"/>
    <xf numFmtId="0" fontId="17" fillId="0" borderId="0" xfId="2" applyFont="1"/>
    <xf numFmtId="0" fontId="12" fillId="0" borderId="0" xfId="2" applyFont="1"/>
    <xf numFmtId="0" fontId="1" fillId="0" borderId="0" xfId="0" applyFont="1" applyFill="1" applyAlignment="1">
      <alignment horizontal="left"/>
    </xf>
    <xf numFmtId="0" fontId="1" fillId="0" borderId="0" xfId="0" applyFont="1" applyFill="1" applyBorder="1"/>
    <xf numFmtId="0" fontId="1" fillId="0" borderId="5" xfId="0" applyFont="1" applyFill="1" applyBorder="1"/>
    <xf numFmtId="0" fontId="6" fillId="0" borderId="0" xfId="6" applyFont="1" applyFill="1" applyAlignment="1">
      <alignment horizontal="left" vertical="center" indent="1"/>
    </xf>
    <xf numFmtId="165" fontId="4" fillId="0" borderId="2" xfId="1" applyNumberFormat="1" applyFont="1" applyFill="1" applyBorder="1" applyAlignment="1">
      <alignment horizontal="center"/>
    </xf>
    <xf numFmtId="0" fontId="12" fillId="0" borderId="0" xfId="0" applyFont="1" applyFill="1" applyAlignment="1">
      <alignment horizontal="center"/>
    </xf>
    <xf numFmtId="0" fontId="1" fillId="0" borderId="0" xfId="0" applyFont="1" applyAlignment="1">
      <alignment horizontal="right"/>
    </xf>
    <xf numFmtId="1" fontId="11" fillId="6" borderId="15" xfId="0" applyNumberFormat="1" applyFont="1" applyFill="1" applyBorder="1" applyAlignment="1">
      <alignment horizontal="center" vertical="center" wrapText="1"/>
    </xf>
    <xf numFmtId="43" fontId="11" fillId="6" borderId="15" xfId="0" applyNumberFormat="1" applyFont="1" applyFill="1" applyBorder="1" applyAlignment="1">
      <alignment horizontal="center" vertical="center" wrapText="1"/>
    </xf>
    <xf numFmtId="165" fontId="8" fillId="0" borderId="4" xfId="1" applyNumberFormat="1" applyFont="1" applyBorder="1"/>
    <xf numFmtId="0" fontId="14" fillId="4" borderId="2" xfId="0" applyFont="1" applyFill="1" applyBorder="1" applyAlignment="1">
      <alignment horizontal="center" vertical="center"/>
    </xf>
    <xf numFmtId="49" fontId="11" fillId="5" borderId="2" xfId="3" applyNumberFormat="1" applyFont="1" applyFill="1" applyBorder="1" applyAlignment="1">
      <alignment horizontal="center" vertical="center" wrapText="1"/>
    </xf>
    <xf numFmtId="167" fontId="11" fillId="5" borderId="2" xfId="3" applyNumberFormat="1" applyFont="1" applyFill="1" applyBorder="1" applyAlignment="1">
      <alignment horizontal="center" vertical="center" wrapText="1"/>
    </xf>
    <xf numFmtId="167" fontId="11" fillId="5" borderId="1" xfId="3" applyNumberFormat="1" applyFont="1" applyFill="1" applyBorder="1" applyAlignment="1">
      <alignment horizontal="center" vertical="center"/>
    </xf>
    <xf numFmtId="167" fontId="11" fillId="5" borderId="7" xfId="3" applyNumberFormat="1" applyFont="1" applyFill="1" applyBorder="1" applyAlignment="1">
      <alignment horizontal="center" vertical="center"/>
    </xf>
    <xf numFmtId="167" fontId="11" fillId="5" borderId="8" xfId="3" applyNumberFormat="1" applyFont="1" applyFill="1" applyBorder="1" applyAlignment="1">
      <alignment horizontal="center" vertical="center"/>
    </xf>
    <xf numFmtId="0" fontId="11" fillId="5" borderId="9" xfId="0" applyFont="1" applyFill="1" applyBorder="1" applyAlignment="1">
      <alignment horizontal="center" vertical="center"/>
    </xf>
    <xf numFmtId="0" fontId="11" fillId="5" borderId="10" xfId="0" applyFont="1" applyFill="1" applyBorder="1" applyAlignment="1">
      <alignment horizontal="center" vertical="center"/>
    </xf>
    <xf numFmtId="0" fontId="11" fillId="5" borderId="11" xfId="0" applyFont="1" applyFill="1" applyBorder="1" applyAlignment="1">
      <alignment horizontal="center" vertical="center"/>
    </xf>
    <xf numFmtId="0" fontId="11" fillId="5" borderId="12" xfId="0" applyFont="1" applyFill="1" applyBorder="1" applyAlignment="1">
      <alignment horizontal="center" vertical="center"/>
    </xf>
    <xf numFmtId="0" fontId="11" fillId="5" borderId="13" xfId="0" applyFont="1" applyFill="1" applyBorder="1" applyAlignment="1">
      <alignment horizontal="center" vertical="center"/>
    </xf>
    <xf numFmtId="0" fontId="11" fillId="5" borderId="14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 wrapText="1"/>
    </xf>
    <xf numFmtId="0" fontId="11" fillId="3" borderId="16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/>
    </xf>
    <xf numFmtId="0" fontId="11" fillId="5" borderId="7" xfId="0" applyFont="1" applyFill="1" applyBorder="1" applyAlignment="1">
      <alignment horizontal="center" vertical="center"/>
    </xf>
    <xf numFmtId="0" fontId="11" fillId="5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4" borderId="7" xfId="0" applyFont="1" applyFill="1" applyBorder="1" applyAlignment="1">
      <alignment horizontal="center" vertical="center"/>
    </xf>
    <xf numFmtId="0" fontId="14" fillId="4" borderId="8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</cellXfs>
  <cellStyles count="13">
    <cellStyle name="Millares" xfId="1" builtinId="3"/>
    <cellStyle name="Normal" xfId="0" builtinId="0"/>
    <cellStyle name="Normal 17 2" xfId="11" xr:uid="{AC428463-905B-47F7-BC67-E5ABDE7C040C}"/>
    <cellStyle name="Normal 2" xfId="2" xr:uid="{FE6A8C33-2A67-4206-8E6C-DBEE6796E29E}"/>
    <cellStyle name="Normal 2 10" xfId="5" xr:uid="{7C8B4D20-B729-4703-9F06-0ADA4FCE5365}"/>
    <cellStyle name="Normal 2 2 15" xfId="6" xr:uid="{BA04FBC1-5A50-4413-B335-4F7918732B93}"/>
    <cellStyle name="Normal 2 2 2 10" xfId="10" xr:uid="{44BD1E03-3D4D-459E-BBE2-776F614F4A8C}"/>
    <cellStyle name="Normal 2 3 2 5" xfId="3" xr:uid="{41866AE2-49C8-474A-BF76-0F36CDCE504E}"/>
    <cellStyle name="Normal 3 2" xfId="4" xr:uid="{DF8A5B9F-F053-43EE-B123-1D7901A049C0}"/>
    <cellStyle name="Normal 7" xfId="9" xr:uid="{DA0C6F99-C411-4519-8A70-C4EC79031841}"/>
    <cellStyle name="Normal_2102 Sumaria de Efectivo y Equivalentes" xfId="12" xr:uid="{A7A136E2-B101-4568-A86C-A6040D46FD38}"/>
    <cellStyle name="Normal_2102.1.1 Analisis de Partidas Conciliatorias" xfId="8" xr:uid="{A95E2B03-B94F-439E-A8B9-5330E429F01A}"/>
    <cellStyle name="Porcentaje" xfId="7" builtinId="5"/>
  </cellStyles>
  <dxfs count="0"/>
  <tableStyles count="0" defaultTableStyle="TableStyleMedium2" defaultPivotStyle="PivotStyleLight16"/>
  <colors>
    <mruColors>
      <color rgb="FF0721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396874</xdr:colOff>
      <xdr:row>30</xdr:row>
      <xdr:rowOff>1</xdr:rowOff>
    </xdr:from>
    <xdr:ext cx="523875" cy="3206750"/>
    <xdr:sp macro="" textlink="">
      <xdr:nvSpPr>
        <xdr:cNvPr id="42" name="Shape 3">
          <a:extLst>
            <a:ext uri="{FF2B5EF4-FFF2-40B4-BE49-F238E27FC236}">
              <a16:creationId xmlns:a16="http://schemas.microsoft.com/office/drawing/2014/main" id="{6EDA4AF0-7386-427B-BBAB-FAE4865D287B}"/>
            </a:ext>
          </a:extLst>
        </xdr:cNvPr>
        <xdr:cNvSpPr/>
      </xdr:nvSpPr>
      <xdr:spPr>
        <a:xfrm>
          <a:off x="396874" y="4532314"/>
          <a:ext cx="523875" cy="3206750"/>
        </a:xfrm>
        <a:prstGeom prst="leftBrace">
          <a:avLst>
            <a:gd name="adj1" fmla="val 8333"/>
            <a:gd name="adj2" fmla="val 50000"/>
          </a:avLst>
        </a:prstGeom>
        <a:noFill/>
        <a:ln w="9525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1365251</xdr:colOff>
      <xdr:row>48</xdr:row>
      <xdr:rowOff>17726</xdr:rowOff>
    </xdr:from>
    <xdr:ext cx="192088" cy="192088"/>
    <xdr:pic>
      <xdr:nvPicPr>
        <xdr:cNvPr id="3" name="Imagen 2">
          <a:extLst>
            <a:ext uri="{FF2B5EF4-FFF2-40B4-BE49-F238E27FC236}">
              <a16:creationId xmlns:a16="http://schemas.microsoft.com/office/drawing/2014/main" id="{7198EAA7-AB0B-41D8-B1A6-85B96419FD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01" y="8344164"/>
          <a:ext cx="192088" cy="192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317498</xdr:colOff>
      <xdr:row>55</xdr:row>
      <xdr:rowOff>21166</xdr:rowOff>
    </xdr:from>
    <xdr:ext cx="158750" cy="158750"/>
    <xdr:pic>
      <xdr:nvPicPr>
        <xdr:cNvPr id="4" name="Imagen 3">
          <a:extLst>
            <a:ext uri="{FF2B5EF4-FFF2-40B4-BE49-F238E27FC236}">
              <a16:creationId xmlns:a16="http://schemas.microsoft.com/office/drawing/2014/main" id="{9DE48D44-93A2-4B45-B7A6-91337C2C2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498" y="9355666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186266</xdr:colOff>
      <xdr:row>34</xdr:row>
      <xdr:rowOff>50272</xdr:rowOff>
    </xdr:from>
    <xdr:to>
      <xdr:col>8</xdr:col>
      <xdr:colOff>778933</xdr:colOff>
      <xdr:row>34</xdr:row>
      <xdr:rowOff>74083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DC8249BA-9A02-43C4-A68C-CE902A7A8D96}"/>
            </a:ext>
          </a:extLst>
        </xdr:cNvPr>
        <xdr:cNvCxnSpPr/>
      </xdr:nvCxnSpPr>
      <xdr:spPr>
        <a:xfrm>
          <a:off x="706966" y="4819122"/>
          <a:ext cx="8834967" cy="2381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300627</xdr:colOff>
      <xdr:row>51</xdr:row>
      <xdr:rowOff>71497</xdr:rowOff>
    </xdr:from>
    <xdr:to>
      <xdr:col>0</xdr:col>
      <xdr:colOff>492715</xdr:colOff>
      <xdr:row>53</xdr:row>
      <xdr:rowOff>17523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B7AC38A-1E05-4BC2-B4B4-0997783B0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627" y="8120122"/>
          <a:ext cx="192088" cy="192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142838</xdr:colOff>
      <xdr:row>33</xdr:row>
      <xdr:rowOff>81982</xdr:rowOff>
    </xdr:from>
    <xdr:to>
      <xdr:col>10</xdr:col>
      <xdr:colOff>226529</xdr:colOff>
      <xdr:row>35</xdr:row>
      <xdr:rowOff>20152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1FA507DF-1E52-4E16-BD5C-81B02A74D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18713" y="5042920"/>
          <a:ext cx="250379" cy="2556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190500</xdr:colOff>
      <xdr:row>34</xdr:row>
      <xdr:rowOff>37043</xdr:rowOff>
    </xdr:from>
    <xdr:to>
      <xdr:col>20</xdr:col>
      <xdr:colOff>730250</xdr:colOff>
      <xdr:row>34</xdr:row>
      <xdr:rowOff>39688</xdr:rowOff>
    </xdr:to>
    <xdr:cxnSp macro="">
      <xdr:nvCxnSpPr>
        <xdr:cNvPr id="12" name="Conector recto de flecha 11">
          <a:extLst>
            <a:ext uri="{FF2B5EF4-FFF2-40B4-BE49-F238E27FC236}">
              <a16:creationId xmlns:a16="http://schemas.microsoft.com/office/drawing/2014/main" id="{C6BB7F02-3E9D-4566-9FB0-E3A29816BEE9}"/>
            </a:ext>
          </a:extLst>
        </xdr:cNvPr>
        <xdr:cNvCxnSpPr/>
      </xdr:nvCxnSpPr>
      <xdr:spPr>
        <a:xfrm>
          <a:off x="9842500" y="4799543"/>
          <a:ext cx="10858500" cy="264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306956</xdr:colOff>
      <xdr:row>52</xdr:row>
      <xdr:rowOff>148209</xdr:rowOff>
    </xdr:from>
    <xdr:to>
      <xdr:col>0</xdr:col>
      <xdr:colOff>499044</xdr:colOff>
      <xdr:row>54</xdr:row>
      <xdr:rowOff>22797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F2338E26-265C-4396-8F8F-06F9A25B4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6956" y="8667792"/>
          <a:ext cx="192088" cy="192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33</xdr:row>
      <xdr:rowOff>111329</xdr:rowOff>
    </xdr:from>
    <xdr:to>
      <xdr:col>23</xdr:col>
      <xdr:colOff>227136</xdr:colOff>
      <xdr:row>35</xdr:row>
      <xdr:rowOff>26256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5EE72585-DB8F-4572-B494-D28389009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11266" y="5246892"/>
          <a:ext cx="227136" cy="2324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195589</xdr:colOff>
      <xdr:row>34</xdr:row>
      <xdr:rowOff>58211</xdr:rowOff>
    </xdr:from>
    <xdr:to>
      <xdr:col>28</xdr:col>
      <xdr:colOff>783167</xdr:colOff>
      <xdr:row>34</xdr:row>
      <xdr:rowOff>68793</xdr:rowOff>
    </xdr:to>
    <xdr:cxnSp macro="">
      <xdr:nvCxnSpPr>
        <xdr:cNvPr id="22" name="Conector recto de flecha 21">
          <a:extLst>
            <a:ext uri="{FF2B5EF4-FFF2-40B4-BE49-F238E27FC236}">
              <a16:creationId xmlns:a16="http://schemas.microsoft.com/office/drawing/2014/main" id="{4E842046-586A-4714-9A49-52A020E2600F}"/>
            </a:ext>
          </a:extLst>
        </xdr:cNvPr>
        <xdr:cNvCxnSpPr>
          <a:cxnSpLocks/>
          <a:stCxn id="21" idx="3"/>
        </xdr:cNvCxnSpPr>
      </xdr:nvCxnSpPr>
      <xdr:spPr>
        <a:xfrm flipV="1">
          <a:off x="25238402" y="5352524"/>
          <a:ext cx="5270703" cy="10582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158748</xdr:colOff>
      <xdr:row>34</xdr:row>
      <xdr:rowOff>31750</xdr:rowOff>
    </xdr:from>
    <xdr:to>
      <xdr:col>31</xdr:col>
      <xdr:colOff>730250</xdr:colOff>
      <xdr:row>34</xdr:row>
      <xdr:rowOff>31752</xdr:rowOff>
    </xdr:to>
    <xdr:cxnSp macro="">
      <xdr:nvCxnSpPr>
        <xdr:cNvPr id="24" name="Conector recto de flecha 23">
          <a:extLst>
            <a:ext uri="{FF2B5EF4-FFF2-40B4-BE49-F238E27FC236}">
              <a16:creationId xmlns:a16="http://schemas.microsoft.com/office/drawing/2014/main" id="{91C4DA91-9911-4E06-A0F9-F44241691AC7}"/>
            </a:ext>
          </a:extLst>
        </xdr:cNvPr>
        <xdr:cNvCxnSpPr>
          <a:cxnSpLocks/>
        </xdr:cNvCxnSpPr>
      </xdr:nvCxnSpPr>
      <xdr:spPr>
        <a:xfrm flipV="1">
          <a:off x="27114498" y="4833938"/>
          <a:ext cx="1373190" cy="2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29</xdr:col>
      <xdr:colOff>201041</xdr:colOff>
      <xdr:row>33</xdr:row>
      <xdr:rowOff>95210</xdr:rowOff>
    </xdr:from>
    <xdr:to>
      <xdr:col>29</xdr:col>
      <xdr:colOff>454065</xdr:colOff>
      <xdr:row>35</xdr:row>
      <xdr:rowOff>33380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A9611C6B-6A0A-42F5-AF8B-DF70E6DA7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355104" y="4738648"/>
          <a:ext cx="253024" cy="2556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37</xdr:col>
      <xdr:colOff>243380</xdr:colOff>
      <xdr:row>33</xdr:row>
      <xdr:rowOff>95207</xdr:rowOff>
    </xdr:from>
    <xdr:to>
      <xdr:col>38</xdr:col>
      <xdr:colOff>247696</xdr:colOff>
      <xdr:row>35</xdr:row>
      <xdr:rowOff>33377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FC15AB0B-6C4A-4E08-B21E-2ABD8742C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55630" y="4738645"/>
          <a:ext cx="250379" cy="2556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38</xdr:col>
      <xdr:colOff>208009</xdr:colOff>
      <xdr:row>34</xdr:row>
      <xdr:rowOff>39688</xdr:rowOff>
    </xdr:from>
    <xdr:to>
      <xdr:col>43</xdr:col>
      <xdr:colOff>5297</xdr:colOff>
      <xdr:row>34</xdr:row>
      <xdr:rowOff>40480</xdr:rowOff>
    </xdr:to>
    <xdr:cxnSp macro="">
      <xdr:nvCxnSpPr>
        <xdr:cNvPr id="27" name="Conector recto de flecha 26">
          <a:extLst>
            <a:ext uri="{FF2B5EF4-FFF2-40B4-BE49-F238E27FC236}">
              <a16:creationId xmlns:a16="http://schemas.microsoft.com/office/drawing/2014/main" id="{CA22D2FE-01D2-4AE3-9D11-B6D568763D7A}"/>
            </a:ext>
          </a:extLst>
        </xdr:cNvPr>
        <xdr:cNvCxnSpPr>
          <a:cxnSpLocks/>
        </xdr:cNvCxnSpPr>
      </xdr:nvCxnSpPr>
      <xdr:spPr>
        <a:xfrm flipV="1">
          <a:off x="34966322" y="5159376"/>
          <a:ext cx="4266100" cy="792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43</xdr:col>
      <xdr:colOff>16080</xdr:colOff>
      <xdr:row>33</xdr:row>
      <xdr:rowOff>90162</xdr:rowOff>
    </xdr:from>
    <xdr:to>
      <xdr:col>43</xdr:col>
      <xdr:colOff>248507</xdr:colOff>
      <xdr:row>35</xdr:row>
      <xdr:rowOff>5089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F738EF20-C344-4385-8779-16D09BA85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572163" y="4916162"/>
          <a:ext cx="232427" cy="2324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43</xdr:col>
      <xdr:colOff>248507</xdr:colOff>
      <xdr:row>34</xdr:row>
      <xdr:rowOff>47625</xdr:rowOff>
    </xdr:from>
    <xdr:to>
      <xdr:col>44</xdr:col>
      <xdr:colOff>1000125</xdr:colOff>
      <xdr:row>34</xdr:row>
      <xdr:rowOff>47626</xdr:rowOff>
    </xdr:to>
    <xdr:cxnSp macro="">
      <xdr:nvCxnSpPr>
        <xdr:cNvPr id="31" name="Conector recto de flecha 30">
          <a:extLst>
            <a:ext uri="{FF2B5EF4-FFF2-40B4-BE49-F238E27FC236}">
              <a16:creationId xmlns:a16="http://schemas.microsoft.com/office/drawing/2014/main" id="{4748808D-8C2A-4099-A841-F5D0F66469B0}"/>
            </a:ext>
          </a:extLst>
        </xdr:cNvPr>
        <xdr:cNvCxnSpPr>
          <a:stCxn id="29" idx="3"/>
        </xdr:cNvCxnSpPr>
      </xdr:nvCxnSpPr>
      <xdr:spPr>
        <a:xfrm flipV="1">
          <a:off x="39475632" y="5167313"/>
          <a:ext cx="1719993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328081</xdr:colOff>
      <xdr:row>54</xdr:row>
      <xdr:rowOff>0</xdr:rowOff>
    </xdr:from>
    <xdr:to>
      <xdr:col>0</xdr:col>
      <xdr:colOff>486831</xdr:colOff>
      <xdr:row>55</xdr:row>
      <xdr:rowOff>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4262E6C5-D1CB-4BC7-AE24-94A28FB1F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081" y="8837083"/>
          <a:ext cx="158750" cy="158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21</xdr:col>
      <xdr:colOff>325437</xdr:colOff>
      <xdr:row>33</xdr:row>
      <xdr:rowOff>119063</xdr:rowOff>
    </xdr:from>
    <xdr:to>
      <xdr:col>21</xdr:col>
      <xdr:colOff>552573</xdr:colOff>
      <xdr:row>35</xdr:row>
      <xdr:rowOff>33990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E9C2A09E-3E6E-4E7E-8CA3-ED7CD3C35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97875" y="4722813"/>
          <a:ext cx="227136" cy="2324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20</xdr:col>
      <xdr:colOff>569913</xdr:colOff>
      <xdr:row>48</xdr:row>
      <xdr:rowOff>17726</xdr:rowOff>
    </xdr:from>
    <xdr:ext cx="192088" cy="192088"/>
    <xdr:pic>
      <xdr:nvPicPr>
        <xdr:cNvPr id="23" name="Imagen 22">
          <a:extLst>
            <a:ext uri="{FF2B5EF4-FFF2-40B4-BE49-F238E27FC236}">
              <a16:creationId xmlns:a16="http://schemas.microsoft.com/office/drawing/2014/main" id="{FC2CE301-3C5A-4774-A8E7-F64977694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73851" y="7288476"/>
          <a:ext cx="192088" cy="192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29</xdr:col>
      <xdr:colOff>569913</xdr:colOff>
      <xdr:row>48</xdr:row>
      <xdr:rowOff>17726</xdr:rowOff>
    </xdr:from>
    <xdr:ext cx="192088" cy="192088"/>
    <xdr:pic>
      <xdr:nvPicPr>
        <xdr:cNvPr id="34" name="Imagen 33">
          <a:extLst>
            <a:ext uri="{FF2B5EF4-FFF2-40B4-BE49-F238E27FC236}">
              <a16:creationId xmlns:a16="http://schemas.microsoft.com/office/drawing/2014/main" id="{9293B765-394D-4F87-BBB7-031DD1781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73851" y="7288476"/>
          <a:ext cx="192088" cy="192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35</xdr:col>
      <xdr:colOff>7938</xdr:colOff>
      <xdr:row>33</xdr:row>
      <xdr:rowOff>79370</xdr:rowOff>
    </xdr:from>
    <xdr:to>
      <xdr:col>35</xdr:col>
      <xdr:colOff>240365</xdr:colOff>
      <xdr:row>34</xdr:row>
      <xdr:rowOff>153047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C14675E0-B58D-4D3D-BBA6-CB6224E6C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11938" y="5040308"/>
          <a:ext cx="232427" cy="2324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35</xdr:col>
      <xdr:colOff>240365</xdr:colOff>
      <xdr:row>34</xdr:row>
      <xdr:rowOff>31750</xdr:rowOff>
    </xdr:from>
    <xdr:to>
      <xdr:col>36</xdr:col>
      <xdr:colOff>1309687</xdr:colOff>
      <xdr:row>34</xdr:row>
      <xdr:rowOff>36834</xdr:rowOff>
    </xdr:to>
    <xdr:cxnSp macro="">
      <xdr:nvCxnSpPr>
        <xdr:cNvPr id="37" name="Conector recto de flecha 36">
          <a:extLst>
            <a:ext uri="{FF2B5EF4-FFF2-40B4-BE49-F238E27FC236}">
              <a16:creationId xmlns:a16="http://schemas.microsoft.com/office/drawing/2014/main" id="{484220C1-BB56-45C9-9A91-1C7482FFC7ED}"/>
            </a:ext>
          </a:extLst>
        </xdr:cNvPr>
        <xdr:cNvCxnSpPr>
          <a:stCxn id="35" idx="3"/>
        </xdr:cNvCxnSpPr>
      </xdr:nvCxnSpPr>
      <xdr:spPr>
        <a:xfrm flipV="1">
          <a:off x="32244365" y="5151438"/>
          <a:ext cx="2220260" cy="5084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32</xdr:col>
      <xdr:colOff>233831</xdr:colOff>
      <xdr:row>33</xdr:row>
      <xdr:rowOff>83015</xdr:rowOff>
    </xdr:from>
    <xdr:to>
      <xdr:col>33</xdr:col>
      <xdr:colOff>220196</xdr:colOff>
      <xdr:row>34</xdr:row>
      <xdr:rowOff>156692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B8A26A26-D872-4B2C-B903-974679DFE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94644" y="5043953"/>
          <a:ext cx="232427" cy="2324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33</xdr:col>
      <xdr:colOff>190499</xdr:colOff>
      <xdr:row>34</xdr:row>
      <xdr:rowOff>31750</xdr:rowOff>
    </xdr:from>
    <xdr:to>
      <xdr:col>34</xdr:col>
      <xdr:colOff>1032311</xdr:colOff>
      <xdr:row>34</xdr:row>
      <xdr:rowOff>31751</xdr:rowOff>
    </xdr:to>
    <xdr:cxnSp macro="">
      <xdr:nvCxnSpPr>
        <xdr:cNvPr id="39" name="Conector recto de flecha 38">
          <a:extLst>
            <a:ext uri="{FF2B5EF4-FFF2-40B4-BE49-F238E27FC236}">
              <a16:creationId xmlns:a16="http://schemas.microsoft.com/office/drawing/2014/main" id="{7BCF96E8-B6DD-4865-BC63-C169E9E499E0}"/>
            </a:ext>
          </a:extLst>
        </xdr:cNvPr>
        <xdr:cNvCxnSpPr>
          <a:cxnSpLocks/>
        </xdr:cNvCxnSpPr>
      </xdr:nvCxnSpPr>
      <xdr:spPr>
        <a:xfrm flipV="1">
          <a:off x="29797374" y="5151438"/>
          <a:ext cx="2088000" cy="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34</xdr:col>
      <xdr:colOff>871537</xdr:colOff>
      <xdr:row>48</xdr:row>
      <xdr:rowOff>41539</xdr:rowOff>
    </xdr:from>
    <xdr:ext cx="192088" cy="192088"/>
    <xdr:pic>
      <xdr:nvPicPr>
        <xdr:cNvPr id="40" name="Imagen 39">
          <a:extLst>
            <a:ext uri="{FF2B5EF4-FFF2-40B4-BE49-F238E27FC236}">
              <a16:creationId xmlns:a16="http://schemas.microsoft.com/office/drawing/2014/main" id="{4DA9D0B4-28AE-43F4-90D5-CCEC270A5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35600" y="7312289"/>
          <a:ext cx="192088" cy="192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43</xdr:col>
      <xdr:colOff>641350</xdr:colOff>
      <xdr:row>48</xdr:row>
      <xdr:rowOff>41539</xdr:rowOff>
    </xdr:from>
    <xdr:ext cx="192088" cy="192088"/>
    <xdr:pic>
      <xdr:nvPicPr>
        <xdr:cNvPr id="41" name="Imagen 40">
          <a:extLst>
            <a:ext uri="{FF2B5EF4-FFF2-40B4-BE49-F238E27FC236}">
              <a16:creationId xmlns:a16="http://schemas.microsoft.com/office/drawing/2014/main" id="{028AE126-3020-4CA7-827F-48BDA8C02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79475" y="7312289"/>
          <a:ext cx="192088" cy="192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29</xdr:col>
      <xdr:colOff>754265</xdr:colOff>
      <xdr:row>33</xdr:row>
      <xdr:rowOff>95454</xdr:rowOff>
    </xdr:from>
    <xdr:to>
      <xdr:col>30</xdr:col>
      <xdr:colOff>179713</xdr:colOff>
      <xdr:row>35</xdr:row>
      <xdr:rowOff>10381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D3C135B3-D1D1-4242-BCD9-4F999C2B6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908328" y="4738892"/>
          <a:ext cx="227136" cy="2324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513477</xdr:colOff>
      <xdr:row>33</xdr:row>
      <xdr:rowOff>140599</xdr:rowOff>
    </xdr:from>
    <xdr:to>
      <xdr:col>1</xdr:col>
      <xdr:colOff>200899</xdr:colOff>
      <xdr:row>35</xdr:row>
      <xdr:rowOff>32948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B9DF18FF-675C-4028-9EE2-688BB5885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3477" y="5101537"/>
          <a:ext cx="211297" cy="2098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943D1-D0FA-4EBA-A7FF-4830D6CE36B2}">
  <dimension ref="A1:W78"/>
  <sheetViews>
    <sheetView showGridLines="0" zoomScale="80" zoomScaleNormal="80" workbookViewId="0">
      <selection activeCell="B30" sqref="B30"/>
    </sheetView>
  </sheetViews>
  <sheetFormatPr baseColWidth="10" defaultColWidth="11.453125" defaultRowHeight="12.5" x14ac:dyDescent="0.25"/>
  <cols>
    <col min="1" max="1" width="7.08984375" style="21" customWidth="1"/>
    <col min="2" max="2" width="18.36328125" style="21" customWidth="1"/>
    <col min="3" max="3" width="14.81640625" style="21" customWidth="1"/>
    <col min="4" max="4" width="14.6328125" style="21" customWidth="1"/>
    <col min="5" max="5" width="13" style="21" customWidth="1"/>
    <col min="6" max="7" width="11.453125" style="21"/>
    <col min="8" max="8" width="11.453125" style="21" bestFit="1" customWidth="1"/>
    <col min="9" max="9" width="16.36328125" style="21" bestFit="1" customWidth="1"/>
    <col min="10" max="10" width="18.08984375" style="21" customWidth="1"/>
    <col min="11" max="11" width="11.453125" style="21"/>
    <col min="12" max="13" width="17.453125" style="21" customWidth="1"/>
    <col min="14" max="14" width="11.36328125" style="21" customWidth="1"/>
    <col min="15" max="15" width="16.36328125" style="21" customWidth="1"/>
    <col min="16" max="16" width="4.36328125" style="21" customWidth="1"/>
    <col min="17" max="22" width="11.453125" style="21" customWidth="1"/>
    <col min="23" max="23" width="11.453125" style="21" collapsed="1"/>
    <col min="24" max="16384" width="11.453125" style="21"/>
  </cols>
  <sheetData>
    <row r="1" spans="2:15" x14ac:dyDescent="0.25">
      <c r="B1" s="18"/>
      <c r="C1" s="18"/>
      <c r="D1" s="18"/>
      <c r="E1" s="19"/>
      <c r="F1" s="18"/>
      <c r="G1" s="20"/>
      <c r="H1" s="20"/>
      <c r="I1" s="20"/>
      <c r="J1" s="1"/>
      <c r="K1" s="1"/>
    </row>
    <row r="2" spans="2:15" x14ac:dyDescent="0.25">
      <c r="B2" s="2"/>
      <c r="C2" s="3"/>
      <c r="D2" s="3"/>
      <c r="E2" s="19"/>
      <c r="F2" s="18"/>
      <c r="G2" s="1"/>
      <c r="H2" s="1"/>
      <c r="I2" s="1"/>
      <c r="J2" s="1"/>
      <c r="K2" s="1"/>
      <c r="L2" s="40" t="s">
        <v>0</v>
      </c>
      <c r="M2" s="40" t="s">
        <v>1</v>
      </c>
      <c r="N2" s="41" t="s">
        <v>24</v>
      </c>
    </row>
    <row r="3" spans="2:15" x14ac:dyDescent="0.25">
      <c r="B3" s="4"/>
      <c r="C3" s="3"/>
      <c r="D3" s="3"/>
      <c r="E3" s="19"/>
      <c r="F3" s="18"/>
      <c r="G3" s="1"/>
      <c r="H3" s="1"/>
      <c r="I3" s="1"/>
      <c r="J3" s="1"/>
      <c r="K3" s="1"/>
      <c r="L3" s="44" t="s">
        <v>31</v>
      </c>
      <c r="M3" s="45" t="s">
        <v>31</v>
      </c>
      <c r="N3" s="22" t="s">
        <v>70</v>
      </c>
      <c r="O3" s="96"/>
    </row>
    <row r="4" spans="2:15" x14ac:dyDescent="0.25">
      <c r="B4" s="3"/>
      <c r="C4" s="3"/>
      <c r="D4" s="3"/>
      <c r="E4" s="23"/>
      <c r="F4" s="5"/>
      <c r="G4" s="20"/>
      <c r="H4" s="20"/>
      <c r="I4" s="20"/>
      <c r="J4" s="20"/>
      <c r="K4" s="1"/>
    </row>
    <row r="5" spans="2:15" s="33" customFormat="1" x14ac:dyDescent="0.25">
      <c r="B5" s="29" t="s">
        <v>18</v>
      </c>
      <c r="C5" s="29"/>
      <c r="D5" s="31"/>
      <c r="E5" s="32"/>
      <c r="F5" s="31"/>
      <c r="G5" s="31"/>
      <c r="H5" s="31"/>
      <c r="I5" s="31"/>
      <c r="J5" s="31"/>
      <c r="K5" s="31"/>
      <c r="L5" s="31"/>
      <c r="M5" s="31"/>
      <c r="N5" s="31"/>
      <c r="O5" s="31"/>
    </row>
    <row r="6" spans="2:15" x14ac:dyDescent="0.25">
      <c r="B6" s="29" t="s">
        <v>94</v>
      </c>
      <c r="C6" s="30"/>
      <c r="D6" s="7"/>
      <c r="E6" s="8"/>
      <c r="F6" s="7"/>
      <c r="G6" s="7"/>
      <c r="H6" s="7"/>
      <c r="I6" s="7"/>
      <c r="J6" s="1"/>
      <c r="K6" s="7"/>
      <c r="L6" s="7"/>
      <c r="M6" s="7"/>
      <c r="N6" s="7"/>
      <c r="O6" s="7"/>
    </row>
    <row r="7" spans="2:15" x14ac:dyDescent="0.25">
      <c r="B7" s="43" t="s">
        <v>32</v>
      </c>
      <c r="C7" s="30"/>
      <c r="D7" s="7"/>
      <c r="E7" s="8"/>
      <c r="F7" s="28"/>
      <c r="G7" s="7"/>
      <c r="H7" s="7"/>
      <c r="I7" s="7"/>
      <c r="J7" s="1"/>
      <c r="K7" s="7"/>
      <c r="L7" s="7"/>
      <c r="M7" s="7"/>
      <c r="N7" s="7"/>
      <c r="O7" s="7"/>
    </row>
    <row r="8" spans="2:15" x14ac:dyDescent="0.25">
      <c r="B8" s="42" t="s">
        <v>50</v>
      </c>
      <c r="C8" s="30"/>
      <c r="D8" s="7"/>
      <c r="E8" s="8"/>
      <c r="F8" s="28"/>
      <c r="G8" s="7"/>
      <c r="H8" s="7"/>
      <c r="I8" s="7"/>
      <c r="J8" s="1"/>
      <c r="K8" s="7"/>
      <c r="L8" s="7"/>
      <c r="M8" s="7"/>
      <c r="N8" s="7"/>
      <c r="O8" s="7"/>
    </row>
    <row r="9" spans="2:15" ht="7" customHeight="1" thickBot="1" x14ac:dyDescent="0.3"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3"/>
    </row>
    <row r="10" spans="2:15" ht="13" thickTop="1" x14ac:dyDescent="0.25"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</row>
    <row r="11" spans="2:15" x14ac:dyDescent="0.25">
      <c r="B11" s="36" t="s">
        <v>2</v>
      </c>
      <c r="C11" s="6"/>
      <c r="D11" s="6"/>
      <c r="E11" s="24"/>
      <c r="F11" s="6"/>
      <c r="G11" s="6"/>
      <c r="H11" s="6"/>
      <c r="I11" s="6"/>
      <c r="J11" s="1"/>
      <c r="K11" s="1"/>
    </row>
    <row r="12" spans="2:15" ht="7" customHeight="1" x14ac:dyDescent="0.25">
      <c r="B12" s="36"/>
      <c r="C12" s="6"/>
      <c r="D12" s="6"/>
      <c r="E12" s="24"/>
      <c r="F12" s="6"/>
      <c r="G12" s="6"/>
      <c r="H12" s="6"/>
      <c r="I12" s="6"/>
      <c r="J12" s="1"/>
      <c r="K12" s="1"/>
    </row>
    <row r="13" spans="2:15" x14ac:dyDescent="0.25">
      <c r="B13" s="102" t="s">
        <v>91</v>
      </c>
      <c r="C13" s="6"/>
      <c r="D13" s="6"/>
      <c r="E13" s="24"/>
      <c r="F13" s="6"/>
      <c r="G13" s="6"/>
      <c r="H13" s="6"/>
      <c r="I13" s="6"/>
      <c r="J13" s="1"/>
      <c r="K13" s="1"/>
    </row>
    <row r="14" spans="2:15" x14ac:dyDescent="0.25">
      <c r="B14" s="9"/>
      <c r="C14" s="6"/>
      <c r="D14" s="6"/>
      <c r="E14" s="24"/>
      <c r="F14" s="6"/>
      <c r="G14" s="6"/>
      <c r="H14" s="6"/>
      <c r="I14" s="6"/>
      <c r="J14" s="1"/>
      <c r="K14" s="1"/>
    </row>
    <row r="15" spans="2:15" x14ac:dyDescent="0.25">
      <c r="B15" s="36" t="s">
        <v>20</v>
      </c>
      <c r="D15" s="6"/>
      <c r="E15" s="24"/>
      <c r="F15" s="6"/>
      <c r="G15" s="6"/>
      <c r="H15" s="6"/>
      <c r="I15" s="6"/>
      <c r="J15" s="1"/>
      <c r="K15" s="1"/>
    </row>
    <row r="16" spans="2:15" x14ac:dyDescent="0.25">
      <c r="B16" s="36"/>
      <c r="D16" s="6"/>
      <c r="E16" s="24"/>
      <c r="F16" s="6"/>
      <c r="G16" s="6"/>
      <c r="H16" s="6"/>
      <c r="I16" s="6"/>
      <c r="J16" s="1"/>
      <c r="K16" s="1"/>
    </row>
    <row r="17" spans="1:22" x14ac:dyDescent="0.25">
      <c r="B17" s="71"/>
      <c r="C17" s="72" t="s">
        <v>35</v>
      </c>
      <c r="D17" s="72" t="s">
        <v>36</v>
      </c>
      <c r="E17" s="24"/>
      <c r="F17" s="6"/>
      <c r="G17" s="6"/>
      <c r="H17" s="6"/>
      <c r="I17" s="6"/>
      <c r="J17" s="1"/>
      <c r="K17" s="1"/>
    </row>
    <row r="18" spans="1:22" x14ac:dyDescent="0.25">
      <c r="B18" s="73" t="s">
        <v>25</v>
      </c>
      <c r="C18" s="74" t="s">
        <v>26</v>
      </c>
      <c r="D18" s="74" t="s">
        <v>26</v>
      </c>
      <c r="E18" s="24"/>
      <c r="F18" s="6"/>
      <c r="G18" s="6"/>
      <c r="H18" s="6"/>
      <c r="I18" s="6"/>
      <c r="J18" s="1"/>
      <c r="K18" s="1"/>
    </row>
    <row r="19" spans="1:22" x14ac:dyDescent="0.25">
      <c r="B19" s="73" t="s">
        <v>27</v>
      </c>
      <c r="C19" s="74" t="s">
        <v>26</v>
      </c>
      <c r="D19" s="74" t="s">
        <v>26</v>
      </c>
      <c r="E19" s="24"/>
      <c r="F19" s="6"/>
      <c r="G19" s="6"/>
      <c r="H19" s="6"/>
      <c r="I19" s="6"/>
      <c r="J19" s="1"/>
      <c r="K19" s="1"/>
    </row>
    <row r="20" spans="1:22" x14ac:dyDescent="0.25">
      <c r="B20" s="73" t="s">
        <v>28</v>
      </c>
      <c r="C20" s="74" t="s">
        <v>26</v>
      </c>
      <c r="D20" s="74" t="s">
        <v>26</v>
      </c>
      <c r="E20" s="24"/>
      <c r="F20" s="6"/>
      <c r="G20" s="6"/>
      <c r="H20" s="6"/>
      <c r="I20" s="6"/>
      <c r="J20" s="1"/>
      <c r="K20" s="1"/>
    </row>
    <row r="21" spans="1:22" x14ac:dyDescent="0.25">
      <c r="B21" s="20"/>
      <c r="C21" s="6"/>
      <c r="D21" s="6"/>
      <c r="E21" s="24"/>
      <c r="F21" s="6"/>
      <c r="G21" s="6"/>
      <c r="H21" s="6"/>
      <c r="I21" s="6"/>
      <c r="J21" s="1"/>
      <c r="K21" s="1"/>
    </row>
    <row r="22" spans="1:22" x14ac:dyDescent="0.25">
      <c r="B22" s="36" t="s">
        <v>3</v>
      </c>
      <c r="C22" s="20"/>
      <c r="D22" s="20"/>
      <c r="E22" s="25"/>
      <c r="F22" s="20"/>
      <c r="G22" s="20"/>
      <c r="H22" s="20"/>
      <c r="I22" s="20"/>
      <c r="J22" s="1"/>
      <c r="K22" s="1"/>
    </row>
    <row r="23" spans="1:22" ht="7" customHeight="1" x14ac:dyDescent="0.25">
      <c r="B23" s="36"/>
      <c r="C23" s="20"/>
      <c r="D23" s="20"/>
      <c r="E23" s="25"/>
      <c r="F23" s="20"/>
      <c r="G23" s="20"/>
      <c r="H23" s="20"/>
      <c r="I23" s="20"/>
      <c r="J23" s="1"/>
      <c r="K23" s="1"/>
    </row>
    <row r="24" spans="1:22" x14ac:dyDescent="0.25">
      <c r="A24" s="52" t="s">
        <v>15</v>
      </c>
      <c r="B24" s="77" t="s">
        <v>102</v>
      </c>
      <c r="C24" s="20"/>
      <c r="D24" s="20"/>
      <c r="E24" s="25"/>
      <c r="F24" s="20"/>
      <c r="G24" s="20"/>
      <c r="H24" s="20"/>
      <c r="I24" s="20"/>
      <c r="J24" s="1"/>
      <c r="K24" s="1"/>
    </row>
    <row r="25" spans="1:22" x14ac:dyDescent="0.25">
      <c r="A25" s="52" t="s">
        <v>16</v>
      </c>
      <c r="B25" s="77" t="s">
        <v>81</v>
      </c>
      <c r="C25" s="20"/>
      <c r="D25" s="20"/>
      <c r="E25" s="25"/>
      <c r="F25" s="20"/>
      <c r="G25" s="20"/>
      <c r="H25" s="20"/>
      <c r="I25" s="20"/>
      <c r="J25" s="1"/>
      <c r="K25" s="1"/>
    </row>
    <row r="26" spans="1:22" x14ac:dyDescent="0.25">
      <c r="A26" s="52" t="s">
        <v>17</v>
      </c>
      <c r="B26" s="77" t="s">
        <v>82</v>
      </c>
      <c r="C26" s="20"/>
      <c r="D26" s="20"/>
      <c r="E26" s="25"/>
      <c r="F26" s="20"/>
      <c r="G26" s="20"/>
      <c r="I26" s="20"/>
      <c r="J26" s="1"/>
      <c r="K26" s="1"/>
    </row>
    <row r="27" spans="1:22" x14ac:dyDescent="0.25">
      <c r="A27" s="52" t="s">
        <v>14</v>
      </c>
      <c r="B27" s="3" t="s">
        <v>51</v>
      </c>
      <c r="C27" s="20"/>
      <c r="D27" s="20"/>
      <c r="E27" s="25"/>
      <c r="F27" s="20"/>
      <c r="G27" s="20"/>
      <c r="H27" s="20"/>
      <c r="I27" s="20"/>
      <c r="J27" s="1"/>
      <c r="K27" s="1"/>
    </row>
    <row r="28" spans="1:22" x14ac:dyDescent="0.25">
      <c r="C28" s="20"/>
      <c r="D28" s="20"/>
      <c r="E28" s="25"/>
      <c r="F28" s="20"/>
      <c r="G28" s="20"/>
      <c r="H28" s="20"/>
      <c r="I28" s="20"/>
      <c r="J28" s="1"/>
      <c r="K28" s="1"/>
    </row>
    <row r="29" spans="1:22" x14ac:dyDescent="0.25">
      <c r="B29" s="36" t="s">
        <v>21</v>
      </c>
      <c r="C29" s="20"/>
      <c r="D29" s="20"/>
      <c r="E29" s="25"/>
      <c r="F29" s="20"/>
      <c r="G29" s="20"/>
      <c r="H29" s="20"/>
      <c r="J29" s="1"/>
      <c r="K29" s="1"/>
    </row>
    <row r="30" spans="1:22" x14ac:dyDescent="0.25">
      <c r="C30" s="20"/>
      <c r="D30" s="20"/>
      <c r="E30" s="25"/>
      <c r="F30" s="20"/>
      <c r="G30" s="20"/>
      <c r="H30" s="20"/>
      <c r="I30" s="20"/>
      <c r="J30" s="1"/>
      <c r="K30" s="1"/>
    </row>
    <row r="32" spans="1:22" ht="14.5" x14ac:dyDescent="0.35">
      <c r="P32"/>
      <c r="R32"/>
      <c r="S32"/>
      <c r="T32"/>
      <c r="U32"/>
      <c r="V32"/>
    </row>
    <row r="33" spans="3:22" ht="14.5" x14ac:dyDescent="0.35">
      <c r="P33"/>
      <c r="R33"/>
      <c r="S33"/>
      <c r="T33"/>
      <c r="U33"/>
      <c r="V33"/>
    </row>
    <row r="34" spans="3:22" ht="14.5" x14ac:dyDescent="0.35">
      <c r="P34"/>
      <c r="R34"/>
      <c r="S34"/>
      <c r="T34"/>
      <c r="U34"/>
      <c r="V34"/>
    </row>
    <row r="35" spans="3:22" ht="14.5" x14ac:dyDescent="0.35">
      <c r="P35"/>
      <c r="R35"/>
      <c r="S35"/>
      <c r="T35"/>
      <c r="U35"/>
      <c r="V35"/>
    </row>
    <row r="36" spans="3:22" ht="14.5" x14ac:dyDescent="0.35">
      <c r="P36"/>
      <c r="R36"/>
      <c r="S36"/>
      <c r="T36"/>
      <c r="U36"/>
      <c r="V36"/>
    </row>
    <row r="37" spans="3:22" ht="14.5" x14ac:dyDescent="0.35">
      <c r="P37"/>
      <c r="R37"/>
      <c r="S37"/>
      <c r="T37"/>
      <c r="U37"/>
      <c r="V37"/>
    </row>
    <row r="38" spans="3:22" ht="14.5" x14ac:dyDescent="0.35">
      <c r="P38"/>
      <c r="R38"/>
      <c r="S38"/>
      <c r="T38"/>
      <c r="U38"/>
      <c r="V38"/>
    </row>
    <row r="39" spans="3:22" ht="14.5" x14ac:dyDescent="0.35">
      <c r="C39" s="103" t="s">
        <v>92</v>
      </c>
      <c r="P39"/>
      <c r="R39"/>
      <c r="S39"/>
      <c r="T39"/>
      <c r="U39"/>
      <c r="V39"/>
    </row>
    <row r="40" spans="3:22" ht="14.5" x14ac:dyDescent="0.35">
      <c r="P40"/>
      <c r="R40"/>
      <c r="S40"/>
      <c r="T40"/>
      <c r="U40"/>
      <c r="V40"/>
    </row>
    <row r="41" spans="3:22" ht="14.5" x14ac:dyDescent="0.35">
      <c r="P41"/>
      <c r="R41"/>
      <c r="S41"/>
      <c r="T41"/>
      <c r="U41"/>
      <c r="V41"/>
    </row>
    <row r="42" spans="3:22" ht="14.5" x14ac:dyDescent="0.35">
      <c r="P42"/>
      <c r="R42"/>
      <c r="S42"/>
      <c r="T42"/>
      <c r="U42"/>
      <c r="V42"/>
    </row>
    <row r="43" spans="3:22" ht="14.5" x14ac:dyDescent="0.35">
      <c r="P43"/>
      <c r="R43"/>
      <c r="S43"/>
      <c r="T43"/>
      <c r="U43"/>
      <c r="V43"/>
    </row>
    <row r="44" spans="3:22" ht="14.5" x14ac:dyDescent="0.35">
      <c r="P44"/>
      <c r="R44"/>
      <c r="S44"/>
      <c r="T44"/>
      <c r="U44"/>
      <c r="V44"/>
    </row>
    <row r="45" spans="3:22" ht="14.5" x14ac:dyDescent="0.35">
      <c r="P45"/>
      <c r="R45"/>
      <c r="S45"/>
      <c r="T45"/>
      <c r="U45"/>
      <c r="V45"/>
    </row>
    <row r="46" spans="3:22" ht="14.5" x14ac:dyDescent="0.35">
      <c r="P46"/>
      <c r="R46"/>
      <c r="S46"/>
      <c r="T46"/>
      <c r="U46"/>
      <c r="V46"/>
    </row>
    <row r="47" spans="3:22" ht="14.5" x14ac:dyDescent="0.35">
      <c r="P47"/>
      <c r="R47"/>
      <c r="S47"/>
      <c r="T47"/>
      <c r="U47"/>
      <c r="V47"/>
    </row>
    <row r="48" spans="3:22" ht="6" customHeight="1" x14ac:dyDescent="0.25"/>
    <row r="52" spans="1:2" x14ac:dyDescent="0.25">
      <c r="B52" s="36" t="s">
        <v>22</v>
      </c>
    </row>
    <row r="53" spans="1:2" ht="7" customHeight="1" x14ac:dyDescent="0.25">
      <c r="B53" s="36"/>
    </row>
    <row r="54" spans="1:2" ht="7" customHeight="1" x14ac:dyDescent="0.25">
      <c r="B54" s="36"/>
    </row>
    <row r="55" spans="1:2" x14ac:dyDescent="0.25">
      <c r="A55" s="15"/>
      <c r="B55" s="76"/>
    </row>
    <row r="56" spans="1:2" x14ac:dyDescent="0.25">
      <c r="A56" s="15"/>
      <c r="B56" s="76"/>
    </row>
    <row r="57" spans="1:2" x14ac:dyDescent="0.25">
      <c r="A57" s="15"/>
      <c r="B57" s="33"/>
    </row>
    <row r="58" spans="1:2" x14ac:dyDescent="0.25">
      <c r="A58" s="77"/>
      <c r="B58" s="36" t="s">
        <v>95</v>
      </c>
    </row>
    <row r="59" spans="1:2" ht="7" customHeight="1" x14ac:dyDescent="0.25">
      <c r="A59" s="77"/>
    </row>
    <row r="60" spans="1:2" x14ac:dyDescent="0.25">
      <c r="A60" s="50" t="s">
        <v>54</v>
      </c>
    </row>
    <row r="61" spans="1:2" x14ac:dyDescent="0.25">
      <c r="A61" s="50" t="s">
        <v>55</v>
      </c>
    </row>
    <row r="62" spans="1:2" x14ac:dyDescent="0.25">
      <c r="A62" s="50" t="s">
        <v>56</v>
      </c>
    </row>
    <row r="63" spans="1:2" x14ac:dyDescent="0.25">
      <c r="A63" s="15"/>
    </row>
    <row r="64" spans="1:2" x14ac:dyDescent="0.25">
      <c r="A64" s="49"/>
      <c r="B64" s="36" t="s">
        <v>33</v>
      </c>
    </row>
    <row r="65" spans="1:2" ht="7" customHeight="1" x14ac:dyDescent="0.25">
      <c r="A65" s="49"/>
      <c r="B65" s="36"/>
    </row>
    <row r="66" spans="1:2" x14ac:dyDescent="0.25">
      <c r="A66" s="50" t="s">
        <v>37</v>
      </c>
      <c r="B66" s="36"/>
    </row>
    <row r="67" spans="1:2" x14ac:dyDescent="0.25">
      <c r="A67" s="50" t="s">
        <v>38</v>
      </c>
      <c r="B67" s="36"/>
    </row>
    <row r="68" spans="1:2" x14ac:dyDescent="0.25">
      <c r="A68" s="50" t="s">
        <v>39</v>
      </c>
    </row>
    <row r="69" spans="1:2" x14ac:dyDescent="0.25">
      <c r="A69" s="49"/>
      <c r="B69" s="37"/>
    </row>
    <row r="70" spans="1:2" x14ac:dyDescent="0.25">
      <c r="A70" s="49"/>
      <c r="B70" s="36" t="s">
        <v>34</v>
      </c>
    </row>
    <row r="71" spans="1:2" ht="7" customHeight="1" x14ac:dyDescent="0.25">
      <c r="A71" s="49"/>
      <c r="B71" s="36"/>
    </row>
    <row r="72" spans="1:2" x14ac:dyDescent="0.25">
      <c r="A72" s="50" t="s">
        <v>40</v>
      </c>
      <c r="B72" s="36"/>
    </row>
    <row r="73" spans="1:2" x14ac:dyDescent="0.25">
      <c r="A73" s="50" t="s">
        <v>41</v>
      </c>
    </row>
    <row r="74" spans="1:2" x14ac:dyDescent="0.25">
      <c r="A74" s="50" t="s">
        <v>42</v>
      </c>
      <c r="B74" s="51"/>
    </row>
    <row r="75" spans="1:2" x14ac:dyDescent="0.25">
      <c r="A75" s="50"/>
      <c r="B75" s="51"/>
    </row>
    <row r="76" spans="1:2" x14ac:dyDescent="0.25">
      <c r="A76" s="52"/>
      <c r="B76" s="36" t="s">
        <v>6</v>
      </c>
    </row>
    <row r="77" spans="1:2" ht="7" customHeight="1" x14ac:dyDescent="0.25">
      <c r="A77" s="52"/>
      <c r="B77" s="36"/>
    </row>
    <row r="78" spans="1:2" x14ac:dyDescent="0.25">
      <c r="A78" s="52"/>
      <c r="B78" s="53" t="s">
        <v>43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2024A-4ACF-4914-949E-747FD31659DC}">
  <dimension ref="A1:AT80"/>
  <sheetViews>
    <sheetView showGridLines="0" tabSelected="1" zoomScale="80" zoomScaleNormal="80" workbookViewId="0">
      <selection activeCell="T52" sqref="T52"/>
    </sheetView>
  </sheetViews>
  <sheetFormatPr baseColWidth="10" defaultColWidth="11.453125" defaultRowHeight="12.5" x14ac:dyDescent="0.25"/>
  <cols>
    <col min="1" max="1" width="7.453125" style="21" customWidth="1"/>
    <col min="2" max="2" width="20.08984375" style="21" customWidth="1"/>
    <col min="3" max="3" width="11.453125" style="21"/>
    <col min="4" max="4" width="18.54296875" style="21" customWidth="1"/>
    <col min="5" max="5" width="25.1796875" style="21" customWidth="1"/>
    <col min="6" max="6" width="11.453125" style="21"/>
    <col min="7" max="7" width="17.54296875" style="21" customWidth="1"/>
    <col min="8" max="8" width="22.36328125" style="21" customWidth="1"/>
    <col min="9" max="9" width="11.453125" style="21" bestFit="1" customWidth="1"/>
    <col min="10" max="10" width="2.36328125" style="21" customWidth="1"/>
    <col min="11" max="11" width="16.81640625" style="21" bestFit="1" customWidth="1"/>
    <col min="12" max="13" width="11.453125" style="21"/>
    <col min="14" max="14" width="17.1796875" style="21" bestFit="1" customWidth="1"/>
    <col min="15" max="16" width="17.1796875" style="21" customWidth="1"/>
    <col min="17" max="19" width="11.453125" style="21"/>
    <col min="20" max="20" width="8.1796875" style="21" customWidth="1"/>
    <col min="21" max="22" width="11.453125" style="21"/>
    <col min="23" max="23" width="2.453125" style="21" bestFit="1" customWidth="1"/>
    <col min="24" max="24" width="17.1796875" style="21" bestFit="1" customWidth="1"/>
    <col min="25" max="25" width="15.453125" style="21" customWidth="1"/>
    <col min="26" max="32" width="11.453125" style="21"/>
    <col min="33" max="33" width="3.54296875" style="21" customWidth="1"/>
    <col min="34" max="34" width="17.81640625" style="99" customWidth="1"/>
    <col min="35" max="36" width="16.453125" style="99" customWidth="1"/>
    <col min="37" max="37" width="19.453125" style="99" customWidth="1"/>
    <col min="38" max="38" width="3.54296875" style="21" customWidth="1"/>
    <col min="39" max="39" width="13.453125" style="21" customWidth="1"/>
    <col min="40" max="40" width="11.453125" style="21"/>
    <col min="41" max="41" width="14.453125" style="21" customWidth="1"/>
    <col min="42" max="42" width="11.453125" style="21"/>
    <col min="43" max="43" width="13.1796875" style="21" customWidth="1"/>
    <col min="44" max="44" width="13.81640625" style="21" customWidth="1"/>
    <col min="45" max="45" width="15" style="21" customWidth="1"/>
    <col min="46" max="16384" width="11.453125" style="21"/>
  </cols>
  <sheetData>
    <row r="1" spans="1:45" x14ac:dyDescent="0.25">
      <c r="A1" s="10"/>
      <c r="B1" s="18"/>
      <c r="C1" s="18"/>
      <c r="D1" s="18"/>
      <c r="E1" s="18"/>
      <c r="F1" s="18"/>
      <c r="G1" s="20"/>
      <c r="H1" s="25"/>
    </row>
    <row r="2" spans="1:45" x14ac:dyDescent="0.25">
      <c r="A2" s="10"/>
      <c r="B2" s="2"/>
      <c r="C2" s="3"/>
      <c r="D2" s="3"/>
      <c r="E2" s="18"/>
    </row>
    <row r="3" spans="1:45" x14ac:dyDescent="0.25">
      <c r="A3" s="10"/>
      <c r="B3" s="4"/>
      <c r="C3" s="3"/>
      <c r="D3" s="3"/>
      <c r="E3" s="18"/>
      <c r="AQ3" s="40" t="s">
        <v>0</v>
      </c>
      <c r="AR3" s="40" t="s">
        <v>1</v>
      </c>
      <c r="AS3" s="41" t="s">
        <v>24</v>
      </c>
    </row>
    <row r="4" spans="1:45" x14ac:dyDescent="0.25">
      <c r="A4" s="10"/>
      <c r="B4" s="3"/>
      <c r="C4" s="3"/>
      <c r="D4" s="3"/>
      <c r="E4" s="12"/>
      <c r="F4" s="5"/>
      <c r="G4" s="20"/>
      <c r="H4" s="25"/>
      <c r="AQ4" s="54" t="s">
        <v>31</v>
      </c>
      <c r="AR4" s="55" t="s">
        <v>31</v>
      </c>
      <c r="AS4" s="11" t="s">
        <v>83</v>
      </c>
    </row>
    <row r="5" spans="1:45" s="33" customFormat="1" x14ac:dyDescent="0.25">
      <c r="A5" s="34"/>
      <c r="B5" s="29" t="s">
        <v>18</v>
      </c>
      <c r="C5" s="31"/>
      <c r="D5" s="31"/>
      <c r="E5" s="31"/>
      <c r="F5" s="31"/>
      <c r="G5" s="31"/>
      <c r="H5" s="32"/>
      <c r="Z5" s="31"/>
      <c r="AA5" s="31"/>
      <c r="AB5" s="31"/>
      <c r="AH5" s="105"/>
      <c r="AI5" s="105"/>
      <c r="AJ5" s="105"/>
      <c r="AK5" s="105"/>
    </row>
    <row r="6" spans="1:45" x14ac:dyDescent="0.25">
      <c r="A6" s="10"/>
      <c r="B6" s="29" t="s">
        <v>19</v>
      </c>
      <c r="C6" s="7"/>
      <c r="D6" s="7"/>
      <c r="E6" s="7"/>
      <c r="F6" s="7"/>
      <c r="G6" s="7"/>
      <c r="H6" s="8"/>
      <c r="Z6" s="7"/>
      <c r="AA6" s="7"/>
      <c r="AB6" s="7"/>
    </row>
    <row r="7" spans="1:45" x14ac:dyDescent="0.25">
      <c r="A7" s="10"/>
      <c r="B7" s="43" t="s">
        <v>32</v>
      </c>
      <c r="C7" s="7"/>
      <c r="D7" s="7"/>
      <c r="E7" s="7"/>
      <c r="F7" s="7"/>
      <c r="G7" s="7"/>
      <c r="H7" s="8"/>
      <c r="Z7" s="7"/>
      <c r="AA7" s="7"/>
      <c r="AB7" s="7"/>
    </row>
    <row r="8" spans="1:45" x14ac:dyDescent="0.25">
      <c r="A8" s="10"/>
      <c r="B8" s="42" t="s">
        <v>50</v>
      </c>
      <c r="C8" s="7"/>
      <c r="D8" s="7"/>
      <c r="E8" s="7"/>
      <c r="F8" s="7"/>
      <c r="G8" s="7"/>
      <c r="H8" s="8"/>
      <c r="Z8" s="7"/>
      <c r="AA8" s="7"/>
      <c r="AB8" s="7"/>
    </row>
    <row r="9" spans="1:45" ht="7" customHeight="1" thickBot="1" x14ac:dyDescent="0.3">
      <c r="A9" s="10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106"/>
      <c r="AI9" s="106"/>
      <c r="AJ9" s="106"/>
      <c r="AK9" s="106"/>
      <c r="AL9" s="38"/>
      <c r="AM9" s="38"/>
      <c r="AN9" s="38"/>
      <c r="AO9" s="38"/>
      <c r="AP9" s="38"/>
      <c r="AQ9" s="38"/>
      <c r="AR9" s="38"/>
      <c r="AS9" s="38"/>
    </row>
    <row r="10" spans="1:45" ht="13" thickTop="1" x14ac:dyDescent="0.25">
      <c r="A10" s="1"/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107"/>
      <c r="AI10" s="107"/>
      <c r="AJ10" s="107"/>
      <c r="AK10" s="107"/>
      <c r="AL10" s="39"/>
      <c r="AM10" s="39"/>
      <c r="AN10" s="39"/>
      <c r="AO10" s="39"/>
      <c r="AP10" s="39"/>
      <c r="AQ10" s="39"/>
      <c r="AR10" s="39"/>
      <c r="AS10" s="39"/>
    </row>
    <row r="11" spans="1:45" x14ac:dyDescent="0.25">
      <c r="A11" s="1"/>
      <c r="B11" s="36" t="s">
        <v>2</v>
      </c>
      <c r="C11" s="1"/>
      <c r="D11" s="1"/>
      <c r="E11" s="1"/>
      <c r="F11" s="1"/>
      <c r="G11" s="1"/>
      <c r="H11" s="13"/>
    </row>
    <row r="12" spans="1:45" ht="7" customHeight="1" x14ac:dyDescent="0.25">
      <c r="A12" s="1"/>
      <c r="B12" s="36"/>
      <c r="C12" s="1"/>
      <c r="D12" s="1"/>
      <c r="E12" s="1"/>
      <c r="F12" s="1"/>
      <c r="G12" s="1"/>
      <c r="H12" s="13"/>
    </row>
    <row r="13" spans="1:45" x14ac:dyDescent="0.25">
      <c r="A13" s="1"/>
      <c r="B13" s="100" t="s">
        <v>71</v>
      </c>
      <c r="C13" s="101"/>
      <c r="D13" s="101"/>
      <c r="E13" s="101"/>
      <c r="F13" s="101"/>
      <c r="G13" s="101"/>
      <c r="H13" s="13"/>
    </row>
    <row r="14" spans="1:45" x14ac:dyDescent="0.25">
      <c r="A14" s="1"/>
      <c r="B14" s="9"/>
      <c r="C14" s="1"/>
      <c r="D14" s="1"/>
      <c r="E14" s="1"/>
      <c r="F14" s="1"/>
      <c r="G14" s="1"/>
      <c r="H14" s="13"/>
    </row>
    <row r="15" spans="1:45" x14ac:dyDescent="0.25">
      <c r="A15" s="1"/>
      <c r="B15" s="36" t="s">
        <v>20</v>
      </c>
      <c r="D15" s="1"/>
      <c r="E15" s="1"/>
      <c r="F15" s="1"/>
      <c r="G15" s="1"/>
      <c r="H15" s="13"/>
    </row>
    <row r="16" spans="1:45" ht="7" customHeight="1" x14ac:dyDescent="0.25">
      <c r="A16" s="1"/>
      <c r="B16" s="36"/>
      <c r="D16" s="1"/>
      <c r="E16" s="1"/>
      <c r="F16" s="1"/>
      <c r="G16" s="1"/>
      <c r="H16" s="13"/>
    </row>
    <row r="17" spans="1:8" x14ac:dyDescent="0.25">
      <c r="A17" s="1"/>
      <c r="B17" s="71"/>
      <c r="C17" s="72" t="s">
        <v>35</v>
      </c>
      <c r="D17" s="72" t="s">
        <v>36</v>
      </c>
      <c r="E17" s="1"/>
      <c r="F17" s="1"/>
      <c r="G17" s="1"/>
      <c r="H17" s="13"/>
    </row>
    <row r="18" spans="1:8" x14ac:dyDescent="0.25">
      <c r="A18" s="1"/>
      <c r="B18" s="73" t="s">
        <v>25</v>
      </c>
      <c r="C18" s="74" t="s">
        <v>26</v>
      </c>
      <c r="D18" s="74" t="s">
        <v>26</v>
      </c>
      <c r="E18" s="1"/>
      <c r="F18" s="1"/>
      <c r="G18" s="1"/>
      <c r="H18" s="13"/>
    </row>
    <row r="19" spans="1:8" x14ac:dyDescent="0.25">
      <c r="A19" s="1"/>
      <c r="B19" s="73" t="s">
        <v>27</v>
      </c>
      <c r="C19" s="74" t="s">
        <v>26</v>
      </c>
      <c r="D19" s="74" t="s">
        <v>26</v>
      </c>
      <c r="E19" s="1"/>
      <c r="F19" s="1"/>
      <c r="G19" s="1"/>
      <c r="H19" s="13"/>
    </row>
    <row r="20" spans="1:8" x14ac:dyDescent="0.25">
      <c r="A20" s="1"/>
      <c r="B20" s="73" t="s">
        <v>28</v>
      </c>
      <c r="C20" s="74" t="s">
        <v>26</v>
      </c>
      <c r="D20" s="74" t="s">
        <v>26</v>
      </c>
      <c r="E20" s="1"/>
      <c r="F20" s="1"/>
      <c r="G20" s="1"/>
      <c r="H20" s="13"/>
    </row>
    <row r="21" spans="1:8" x14ac:dyDescent="0.25">
      <c r="A21" s="1"/>
      <c r="B21" s="9"/>
      <c r="C21" s="1"/>
      <c r="D21" s="1"/>
      <c r="E21" s="1"/>
      <c r="F21" s="1"/>
      <c r="G21" s="1"/>
      <c r="H21" s="13"/>
    </row>
    <row r="22" spans="1:8" x14ac:dyDescent="0.25">
      <c r="A22" s="1"/>
      <c r="B22" s="1"/>
      <c r="C22" s="1"/>
      <c r="D22" s="1"/>
      <c r="E22" s="1"/>
      <c r="F22" s="1"/>
      <c r="G22" s="1"/>
      <c r="H22" s="13"/>
    </row>
    <row r="23" spans="1:8" x14ac:dyDescent="0.25">
      <c r="A23" s="1"/>
      <c r="B23" s="36" t="s">
        <v>3</v>
      </c>
      <c r="C23" s="1"/>
      <c r="D23" s="1"/>
      <c r="E23" s="1"/>
      <c r="F23" s="1"/>
      <c r="G23" s="1"/>
      <c r="H23" s="1"/>
    </row>
    <row r="24" spans="1:8" ht="7" customHeight="1" x14ac:dyDescent="0.25">
      <c r="A24" s="1"/>
      <c r="B24" s="36"/>
      <c r="C24" s="1"/>
      <c r="D24" s="1"/>
      <c r="E24" s="1"/>
      <c r="F24" s="1"/>
      <c r="G24" s="1"/>
      <c r="H24" s="1"/>
    </row>
    <row r="25" spans="1:8" x14ac:dyDescent="0.25">
      <c r="A25" s="110" t="s">
        <v>15</v>
      </c>
      <c r="B25" s="21" t="s">
        <v>84</v>
      </c>
    </row>
    <row r="26" spans="1:8" x14ac:dyDescent="0.25">
      <c r="A26" s="110" t="s">
        <v>16</v>
      </c>
      <c r="B26" s="99" t="s">
        <v>103</v>
      </c>
    </row>
    <row r="27" spans="1:8" x14ac:dyDescent="0.25">
      <c r="A27" s="110" t="s">
        <v>17</v>
      </c>
      <c r="B27" s="99" t="s">
        <v>105</v>
      </c>
    </row>
    <row r="28" spans="1:8" x14ac:dyDescent="0.25">
      <c r="A28" s="110" t="s">
        <v>14</v>
      </c>
      <c r="B28" s="21" t="s">
        <v>93</v>
      </c>
    </row>
    <row r="29" spans="1:8" x14ac:dyDescent="0.25">
      <c r="A29" s="110" t="s">
        <v>104</v>
      </c>
      <c r="B29" s="99" t="s">
        <v>72</v>
      </c>
    </row>
    <row r="30" spans="1:8" x14ac:dyDescent="0.25">
      <c r="A30" s="110" t="s">
        <v>106</v>
      </c>
      <c r="B30" s="75" t="s">
        <v>51</v>
      </c>
    </row>
    <row r="32" spans="1:8" x14ac:dyDescent="0.25">
      <c r="B32" s="78" t="s">
        <v>57</v>
      </c>
    </row>
    <row r="34" spans="1:46" x14ac:dyDescent="0.25">
      <c r="A34" s="1"/>
      <c r="B34" s="1"/>
      <c r="C34" s="1"/>
      <c r="D34" s="1"/>
      <c r="E34" s="1"/>
      <c r="F34" s="1"/>
      <c r="G34" s="1"/>
      <c r="H34" s="13"/>
    </row>
    <row r="35" spans="1:46" x14ac:dyDescent="0.25">
      <c r="A35" s="1"/>
      <c r="C35" s="1"/>
      <c r="D35" s="1"/>
      <c r="E35" s="1"/>
      <c r="F35" s="1"/>
      <c r="G35" s="1"/>
      <c r="H35" s="13"/>
    </row>
    <row r="36" spans="1:46" s="14" customFormat="1" ht="15.75" customHeight="1" x14ac:dyDescent="0.25">
      <c r="B36" s="132" t="s">
        <v>44</v>
      </c>
      <c r="C36" s="133"/>
      <c r="D36" s="133"/>
      <c r="E36" s="133"/>
      <c r="F36" s="133"/>
      <c r="G36" s="133"/>
      <c r="H36" s="133"/>
      <c r="I36" s="134"/>
      <c r="K36" s="114" t="s">
        <v>45</v>
      </c>
      <c r="L36" s="114"/>
      <c r="M36" s="114"/>
      <c r="N36" s="114"/>
      <c r="O36" s="114"/>
      <c r="P36" s="114"/>
      <c r="Q36" s="114"/>
      <c r="R36" s="132" t="s">
        <v>46</v>
      </c>
      <c r="S36" s="133"/>
      <c r="T36" s="133"/>
      <c r="U36" s="134"/>
      <c r="V36" s="126" t="s">
        <v>30</v>
      </c>
      <c r="X36" s="114" t="s">
        <v>63</v>
      </c>
      <c r="Y36" s="114"/>
      <c r="Z36" s="114"/>
      <c r="AA36" s="114"/>
      <c r="AB36" s="114"/>
      <c r="AC36" s="114"/>
      <c r="AD36" s="114"/>
      <c r="AE36" s="114"/>
      <c r="AF36" s="114"/>
      <c r="AG36" s="17"/>
      <c r="AH36" s="120" t="s">
        <v>90</v>
      </c>
      <c r="AI36" s="121"/>
      <c r="AJ36" s="121"/>
      <c r="AK36" s="122"/>
      <c r="AL36" s="15"/>
      <c r="AM36" s="114" t="s">
        <v>47</v>
      </c>
      <c r="AN36" s="114"/>
      <c r="AO36" s="114"/>
      <c r="AP36" s="114"/>
      <c r="AQ36" s="114"/>
      <c r="AR36" s="114"/>
      <c r="AS36" s="114"/>
    </row>
    <row r="37" spans="1:46" s="16" customFormat="1" x14ac:dyDescent="0.25">
      <c r="B37" s="129" t="s">
        <v>76</v>
      </c>
      <c r="C37" s="130"/>
      <c r="D37" s="130"/>
      <c r="E37" s="130"/>
      <c r="F37" s="130"/>
      <c r="G37" s="130"/>
      <c r="H37" s="130"/>
      <c r="I37" s="131"/>
      <c r="K37" s="135" t="s">
        <v>29</v>
      </c>
      <c r="L37" s="135"/>
      <c r="M37" s="135"/>
      <c r="N37" s="135"/>
      <c r="O37" s="135"/>
      <c r="P37" s="135"/>
      <c r="Q37" s="135"/>
      <c r="R37" s="135"/>
      <c r="S37" s="135"/>
      <c r="T37" s="135"/>
      <c r="U37" s="129"/>
      <c r="V37" s="127"/>
      <c r="X37" s="115" t="s">
        <v>64</v>
      </c>
      <c r="Y37" s="115"/>
      <c r="Z37" s="115"/>
      <c r="AA37" s="115"/>
      <c r="AB37" s="115"/>
      <c r="AC37" s="115"/>
      <c r="AD37" s="116" t="s">
        <v>66</v>
      </c>
      <c r="AE37" s="116"/>
      <c r="AF37" s="116"/>
      <c r="AG37" s="69"/>
      <c r="AH37" s="123"/>
      <c r="AI37" s="124"/>
      <c r="AJ37" s="124"/>
      <c r="AK37" s="125"/>
      <c r="AL37" s="69"/>
      <c r="AM37" s="117" t="s">
        <v>78</v>
      </c>
      <c r="AN37" s="118"/>
      <c r="AO37" s="118"/>
      <c r="AP37" s="118"/>
      <c r="AQ37" s="119"/>
      <c r="AR37" s="117"/>
      <c r="AS37" s="119"/>
    </row>
    <row r="38" spans="1:46" s="16" customFormat="1" ht="37.5" x14ac:dyDescent="0.25">
      <c r="B38" s="56" t="s">
        <v>80</v>
      </c>
      <c r="C38" s="57" t="s">
        <v>88</v>
      </c>
      <c r="D38" s="58" t="s">
        <v>89</v>
      </c>
      <c r="E38" s="58" t="s">
        <v>48</v>
      </c>
      <c r="F38" s="56" t="s">
        <v>4</v>
      </c>
      <c r="G38" s="56" t="s">
        <v>73</v>
      </c>
      <c r="H38" s="58" t="s">
        <v>49</v>
      </c>
      <c r="I38" s="56" t="s">
        <v>5</v>
      </c>
      <c r="K38" s="59" t="s">
        <v>10</v>
      </c>
      <c r="L38" s="57" t="s">
        <v>75</v>
      </c>
      <c r="M38" s="60" t="s">
        <v>8</v>
      </c>
      <c r="N38" s="60" t="s">
        <v>73</v>
      </c>
      <c r="O38" s="61" t="s">
        <v>58</v>
      </c>
      <c r="P38" s="61" t="s">
        <v>98</v>
      </c>
      <c r="Q38" s="111" t="s">
        <v>99</v>
      </c>
      <c r="R38" s="112" t="s">
        <v>100</v>
      </c>
      <c r="S38" s="112" t="s">
        <v>101</v>
      </c>
      <c r="T38" s="62" t="s">
        <v>65</v>
      </c>
      <c r="U38" s="97" t="s">
        <v>7</v>
      </c>
      <c r="V38" s="128"/>
      <c r="X38" s="64" t="s">
        <v>96</v>
      </c>
      <c r="Y38" s="65" t="s">
        <v>8</v>
      </c>
      <c r="Z38" s="66" t="s">
        <v>11</v>
      </c>
      <c r="AA38" s="62" t="s">
        <v>59</v>
      </c>
      <c r="AB38" s="67" t="s">
        <v>12</v>
      </c>
      <c r="AC38" s="62" t="s">
        <v>13</v>
      </c>
      <c r="AD38" s="62" t="s">
        <v>7</v>
      </c>
      <c r="AE38" s="62" t="s">
        <v>9</v>
      </c>
      <c r="AF38" s="63" t="s">
        <v>87</v>
      </c>
      <c r="AG38" s="70"/>
      <c r="AH38" s="63" t="s">
        <v>58</v>
      </c>
      <c r="AI38" s="63" t="s">
        <v>97</v>
      </c>
      <c r="AJ38" s="63" t="s">
        <v>85</v>
      </c>
      <c r="AK38" s="63" t="s">
        <v>86</v>
      </c>
      <c r="AL38" s="70"/>
      <c r="AM38" s="68" t="s">
        <v>79</v>
      </c>
      <c r="AN38" s="68" t="s">
        <v>77</v>
      </c>
      <c r="AO38" s="65" t="s">
        <v>68</v>
      </c>
      <c r="AP38" s="65" t="s">
        <v>69</v>
      </c>
      <c r="AQ38" s="112" t="s">
        <v>107</v>
      </c>
      <c r="AR38" s="62" t="s">
        <v>67</v>
      </c>
      <c r="AS38" s="62" t="s">
        <v>30</v>
      </c>
    </row>
    <row r="39" spans="1:46" x14ac:dyDescent="0.25">
      <c r="B39" s="79"/>
      <c r="C39" s="80"/>
      <c r="D39" s="47"/>
      <c r="E39" s="47"/>
      <c r="F39" s="80"/>
      <c r="G39" s="80"/>
      <c r="H39" s="79"/>
      <c r="I39" s="48"/>
      <c r="K39" s="79"/>
      <c r="L39" s="46"/>
      <c r="M39" s="47"/>
      <c r="N39" s="46"/>
      <c r="O39" s="46"/>
      <c r="P39" s="46"/>
      <c r="Q39" s="46"/>
      <c r="R39" s="48"/>
      <c r="S39" s="48"/>
      <c r="T39" s="48">
        <f>+S39*12%</f>
        <v>0</v>
      </c>
      <c r="U39" s="48">
        <f>+SUM(R39:T39)</f>
        <v>0</v>
      </c>
      <c r="V39" s="98">
        <f>+I39-R39-S39</f>
        <v>0</v>
      </c>
      <c r="X39" s="46"/>
      <c r="Y39" s="47"/>
      <c r="Z39" s="81"/>
      <c r="AA39" s="48">
        <f t="shared" ref="AA39:AA47" si="0">+Z39*R39</f>
        <v>0</v>
      </c>
      <c r="AB39" s="82"/>
      <c r="AC39" s="48">
        <f t="shared" ref="AC39:AC47" si="1">+AB39*T39</f>
        <v>0</v>
      </c>
      <c r="AD39" s="48"/>
      <c r="AE39" s="48">
        <f>+AA39+AC39-AD39</f>
        <v>0</v>
      </c>
      <c r="AF39" s="48">
        <f t="shared" ref="AF39:AF47" si="2">+Y39-M39</f>
        <v>0</v>
      </c>
      <c r="AH39" s="108">
        <v>0</v>
      </c>
      <c r="AI39" s="108">
        <v>0</v>
      </c>
      <c r="AJ39" s="108">
        <f>+O39-AH39</f>
        <v>0</v>
      </c>
      <c r="AK39" s="108">
        <f>+P39-(AI39*O39)</f>
        <v>0</v>
      </c>
      <c r="AM39" s="46"/>
      <c r="AN39" s="46"/>
      <c r="AO39" s="47"/>
      <c r="AP39" s="47"/>
      <c r="AQ39" s="46"/>
      <c r="AR39" s="83">
        <f>+U39-AA39-AC39</f>
        <v>0</v>
      </c>
      <c r="AS39" s="83">
        <f>+AQ39-AR39</f>
        <v>0</v>
      </c>
      <c r="AT39" s="15"/>
    </row>
    <row r="40" spans="1:46" x14ac:dyDescent="0.25">
      <c r="B40" s="79"/>
      <c r="C40" s="80"/>
      <c r="D40" s="47"/>
      <c r="E40" s="47"/>
      <c r="F40" s="80"/>
      <c r="G40" s="80"/>
      <c r="H40" s="79"/>
      <c r="I40" s="48"/>
      <c r="K40" s="79"/>
      <c r="L40" s="46"/>
      <c r="M40" s="47"/>
      <c r="N40" s="46"/>
      <c r="O40" s="46"/>
      <c r="P40" s="46"/>
      <c r="Q40" s="46"/>
      <c r="R40" s="48"/>
      <c r="S40" s="48"/>
      <c r="T40" s="48">
        <f t="shared" ref="T40:T47" si="3">+S40*12%</f>
        <v>0</v>
      </c>
      <c r="U40" s="48">
        <f t="shared" ref="U40:U47" si="4">+SUM(R40:T40)</f>
        <v>0</v>
      </c>
      <c r="V40" s="98">
        <f t="shared" ref="V40:V47" si="5">+I40-R40-S40</f>
        <v>0</v>
      </c>
      <c r="W40" s="15"/>
      <c r="X40" s="46"/>
      <c r="Y40" s="47"/>
      <c r="Z40" s="81"/>
      <c r="AA40" s="48">
        <f t="shared" si="0"/>
        <v>0</v>
      </c>
      <c r="AB40" s="82"/>
      <c r="AC40" s="48">
        <f t="shared" si="1"/>
        <v>0</v>
      </c>
      <c r="AD40" s="48"/>
      <c r="AE40" s="48">
        <f t="shared" ref="AE40:AE47" si="6">+AA40+AC40-AD40</f>
        <v>0</v>
      </c>
      <c r="AF40" s="48">
        <f t="shared" si="2"/>
        <v>0</v>
      </c>
      <c r="AH40" s="108">
        <v>0</v>
      </c>
      <c r="AI40" s="108">
        <v>0</v>
      </c>
      <c r="AJ40" s="108">
        <f t="shared" ref="AJ40:AJ47" si="7">+O40-AH40</f>
        <v>0</v>
      </c>
      <c r="AK40" s="108">
        <f t="shared" ref="AK40:AK47" si="8">+P40-(AI40*O40)</f>
        <v>0</v>
      </c>
      <c r="AM40" s="46"/>
      <c r="AN40" s="46"/>
      <c r="AO40" s="47"/>
      <c r="AP40" s="47"/>
      <c r="AQ40" s="84"/>
      <c r="AR40" s="83">
        <f t="shared" ref="AR40:AR47" si="9">+U40-AA40-AC40</f>
        <v>0</v>
      </c>
      <c r="AS40" s="83">
        <f>+AQ40-AR40</f>
        <v>0</v>
      </c>
      <c r="AT40" s="15"/>
    </row>
    <row r="41" spans="1:46" x14ac:dyDescent="0.25">
      <c r="B41" s="79"/>
      <c r="C41" s="80"/>
      <c r="D41" s="47"/>
      <c r="E41" s="47"/>
      <c r="F41" s="80"/>
      <c r="G41" s="80"/>
      <c r="H41" s="79"/>
      <c r="I41" s="48"/>
      <c r="K41" s="46"/>
      <c r="L41" s="46"/>
      <c r="M41" s="46"/>
      <c r="N41" s="46"/>
      <c r="O41" s="46"/>
      <c r="P41" s="46"/>
      <c r="Q41" s="46"/>
      <c r="R41" s="48"/>
      <c r="S41" s="48"/>
      <c r="T41" s="48">
        <f t="shared" si="3"/>
        <v>0</v>
      </c>
      <c r="U41" s="48">
        <f t="shared" si="4"/>
        <v>0</v>
      </c>
      <c r="V41" s="98">
        <f t="shared" si="5"/>
        <v>0</v>
      </c>
      <c r="W41" s="15"/>
      <c r="X41" s="46"/>
      <c r="Y41" s="47"/>
      <c r="Z41" s="81"/>
      <c r="AA41" s="48">
        <f t="shared" si="0"/>
        <v>0</v>
      </c>
      <c r="AB41" s="82"/>
      <c r="AC41" s="48">
        <f t="shared" si="1"/>
        <v>0</v>
      </c>
      <c r="AD41" s="48"/>
      <c r="AE41" s="48">
        <f t="shared" si="6"/>
        <v>0</v>
      </c>
      <c r="AF41" s="48">
        <f t="shared" si="2"/>
        <v>0</v>
      </c>
      <c r="AH41" s="108">
        <v>0</v>
      </c>
      <c r="AI41" s="108">
        <v>0</v>
      </c>
      <c r="AJ41" s="108">
        <f t="shared" si="7"/>
        <v>0</v>
      </c>
      <c r="AK41" s="108">
        <f t="shared" si="8"/>
        <v>0</v>
      </c>
      <c r="AM41" s="46"/>
      <c r="AN41" s="46"/>
      <c r="AO41" s="47"/>
      <c r="AP41" s="47"/>
      <c r="AQ41" s="84"/>
      <c r="AR41" s="83">
        <f t="shared" si="9"/>
        <v>0</v>
      </c>
      <c r="AS41" s="83">
        <f t="shared" ref="AS41:AS47" si="10">+AQ41-AR41</f>
        <v>0</v>
      </c>
      <c r="AT41" s="15"/>
    </row>
    <row r="42" spans="1:46" x14ac:dyDescent="0.25">
      <c r="B42" s="79"/>
      <c r="C42" s="80"/>
      <c r="D42" s="47"/>
      <c r="E42" s="47"/>
      <c r="F42" s="80"/>
      <c r="G42" s="80"/>
      <c r="H42" s="79"/>
      <c r="I42" s="48"/>
      <c r="K42" s="46"/>
      <c r="L42" s="46"/>
      <c r="M42" s="46"/>
      <c r="N42" s="46"/>
      <c r="O42" s="46"/>
      <c r="P42" s="46"/>
      <c r="Q42" s="46"/>
      <c r="R42" s="48"/>
      <c r="S42" s="48"/>
      <c r="T42" s="48">
        <f t="shared" si="3"/>
        <v>0</v>
      </c>
      <c r="U42" s="48">
        <f t="shared" si="4"/>
        <v>0</v>
      </c>
      <c r="V42" s="98">
        <f t="shared" si="5"/>
        <v>0</v>
      </c>
      <c r="W42" s="15"/>
      <c r="X42" s="46"/>
      <c r="Y42" s="47"/>
      <c r="Z42" s="81"/>
      <c r="AA42" s="48">
        <f t="shared" si="0"/>
        <v>0</v>
      </c>
      <c r="AB42" s="82"/>
      <c r="AC42" s="48">
        <f t="shared" si="1"/>
        <v>0</v>
      </c>
      <c r="AD42" s="48"/>
      <c r="AE42" s="48">
        <f t="shared" si="6"/>
        <v>0</v>
      </c>
      <c r="AF42" s="48">
        <f t="shared" si="2"/>
        <v>0</v>
      </c>
      <c r="AH42" s="108">
        <v>0</v>
      </c>
      <c r="AI42" s="108">
        <v>0</v>
      </c>
      <c r="AJ42" s="108">
        <f t="shared" si="7"/>
        <v>0</v>
      </c>
      <c r="AK42" s="108">
        <f t="shared" si="8"/>
        <v>0</v>
      </c>
      <c r="AM42" s="46"/>
      <c r="AN42" s="46"/>
      <c r="AO42" s="47"/>
      <c r="AP42" s="47"/>
      <c r="AQ42" s="84"/>
      <c r="AR42" s="83">
        <f t="shared" si="9"/>
        <v>0</v>
      </c>
      <c r="AS42" s="83">
        <f t="shared" si="10"/>
        <v>0</v>
      </c>
      <c r="AT42" s="15"/>
    </row>
    <row r="43" spans="1:46" x14ac:dyDescent="0.25">
      <c r="B43" s="79"/>
      <c r="C43" s="80"/>
      <c r="D43" s="47"/>
      <c r="E43" s="47"/>
      <c r="F43" s="80"/>
      <c r="G43" s="80"/>
      <c r="H43" s="79"/>
      <c r="I43" s="48"/>
      <c r="K43" s="46"/>
      <c r="L43" s="46"/>
      <c r="M43" s="46"/>
      <c r="N43" s="46"/>
      <c r="O43" s="46"/>
      <c r="P43" s="46"/>
      <c r="Q43" s="46"/>
      <c r="R43" s="48"/>
      <c r="S43" s="48"/>
      <c r="T43" s="48">
        <f t="shared" si="3"/>
        <v>0</v>
      </c>
      <c r="U43" s="48">
        <f t="shared" si="4"/>
        <v>0</v>
      </c>
      <c r="V43" s="98">
        <f t="shared" si="5"/>
        <v>0</v>
      </c>
      <c r="W43" s="15"/>
      <c r="X43" s="46"/>
      <c r="Y43" s="47"/>
      <c r="Z43" s="81"/>
      <c r="AA43" s="48">
        <f t="shared" si="0"/>
        <v>0</v>
      </c>
      <c r="AB43" s="82"/>
      <c r="AC43" s="48">
        <f t="shared" si="1"/>
        <v>0</v>
      </c>
      <c r="AD43" s="48"/>
      <c r="AE43" s="48">
        <f t="shared" si="6"/>
        <v>0</v>
      </c>
      <c r="AF43" s="48">
        <f t="shared" si="2"/>
        <v>0</v>
      </c>
      <c r="AH43" s="108">
        <v>0</v>
      </c>
      <c r="AI43" s="108">
        <v>0</v>
      </c>
      <c r="AJ43" s="108">
        <f t="shared" si="7"/>
        <v>0</v>
      </c>
      <c r="AK43" s="108">
        <f t="shared" si="8"/>
        <v>0</v>
      </c>
      <c r="AM43" s="46"/>
      <c r="AN43" s="46"/>
      <c r="AO43" s="47"/>
      <c r="AP43" s="47"/>
      <c r="AQ43" s="84"/>
      <c r="AR43" s="83">
        <f t="shared" si="9"/>
        <v>0</v>
      </c>
      <c r="AS43" s="83">
        <f t="shared" si="10"/>
        <v>0</v>
      </c>
      <c r="AT43" s="15"/>
    </row>
    <row r="44" spans="1:46" x14ac:dyDescent="0.25">
      <c r="B44" s="79"/>
      <c r="C44" s="80"/>
      <c r="D44" s="47"/>
      <c r="E44" s="47"/>
      <c r="F44" s="80"/>
      <c r="G44" s="80"/>
      <c r="H44" s="79"/>
      <c r="I44" s="48"/>
      <c r="K44" s="46"/>
      <c r="L44" s="46"/>
      <c r="M44" s="46"/>
      <c r="N44" s="46"/>
      <c r="O44" s="46"/>
      <c r="P44" s="46"/>
      <c r="Q44" s="46"/>
      <c r="R44" s="48"/>
      <c r="S44" s="48"/>
      <c r="T44" s="48">
        <f t="shared" si="3"/>
        <v>0</v>
      </c>
      <c r="U44" s="48">
        <f t="shared" si="4"/>
        <v>0</v>
      </c>
      <c r="V44" s="98">
        <f t="shared" si="5"/>
        <v>0</v>
      </c>
      <c r="W44" s="15"/>
      <c r="X44" s="46"/>
      <c r="Y44" s="47"/>
      <c r="Z44" s="81"/>
      <c r="AA44" s="48">
        <f t="shared" si="0"/>
        <v>0</v>
      </c>
      <c r="AB44" s="82"/>
      <c r="AC44" s="48">
        <f t="shared" si="1"/>
        <v>0</v>
      </c>
      <c r="AD44" s="48"/>
      <c r="AE44" s="48">
        <f t="shared" si="6"/>
        <v>0</v>
      </c>
      <c r="AF44" s="48">
        <f t="shared" si="2"/>
        <v>0</v>
      </c>
      <c r="AH44" s="108">
        <v>0</v>
      </c>
      <c r="AI44" s="108">
        <v>0</v>
      </c>
      <c r="AJ44" s="108">
        <f t="shared" si="7"/>
        <v>0</v>
      </c>
      <c r="AK44" s="108">
        <f t="shared" si="8"/>
        <v>0</v>
      </c>
      <c r="AM44" s="46"/>
      <c r="AN44" s="46"/>
      <c r="AO44" s="47"/>
      <c r="AP44" s="47"/>
      <c r="AQ44" s="84"/>
      <c r="AR44" s="83">
        <f t="shared" si="9"/>
        <v>0</v>
      </c>
      <c r="AS44" s="83">
        <f t="shared" si="10"/>
        <v>0</v>
      </c>
      <c r="AT44" s="15"/>
    </row>
    <row r="45" spans="1:46" x14ac:dyDescent="0.25">
      <c r="B45" s="79"/>
      <c r="C45" s="80"/>
      <c r="D45" s="47"/>
      <c r="E45" s="47"/>
      <c r="F45" s="80"/>
      <c r="G45" s="80"/>
      <c r="H45" s="79"/>
      <c r="I45" s="48"/>
      <c r="K45" s="46"/>
      <c r="L45" s="46"/>
      <c r="M45" s="46"/>
      <c r="N45" s="46"/>
      <c r="O45" s="46"/>
      <c r="P45" s="46"/>
      <c r="Q45" s="46"/>
      <c r="R45" s="48"/>
      <c r="S45" s="48"/>
      <c r="T45" s="48">
        <f t="shared" si="3"/>
        <v>0</v>
      </c>
      <c r="U45" s="48">
        <f t="shared" si="4"/>
        <v>0</v>
      </c>
      <c r="V45" s="98">
        <f t="shared" si="5"/>
        <v>0</v>
      </c>
      <c r="W45" s="15"/>
      <c r="X45" s="46"/>
      <c r="Y45" s="47"/>
      <c r="Z45" s="81"/>
      <c r="AA45" s="48">
        <f t="shared" si="0"/>
        <v>0</v>
      </c>
      <c r="AB45" s="82"/>
      <c r="AC45" s="48">
        <f t="shared" si="1"/>
        <v>0</v>
      </c>
      <c r="AD45" s="48"/>
      <c r="AE45" s="48">
        <f t="shared" si="6"/>
        <v>0</v>
      </c>
      <c r="AF45" s="48">
        <f t="shared" si="2"/>
        <v>0</v>
      </c>
      <c r="AH45" s="108">
        <v>0</v>
      </c>
      <c r="AI45" s="108">
        <v>0</v>
      </c>
      <c r="AJ45" s="108">
        <f t="shared" si="7"/>
        <v>0</v>
      </c>
      <c r="AK45" s="108">
        <f t="shared" si="8"/>
        <v>0</v>
      </c>
      <c r="AM45" s="46"/>
      <c r="AN45" s="46"/>
      <c r="AO45" s="47"/>
      <c r="AP45" s="47"/>
      <c r="AQ45" s="84"/>
      <c r="AR45" s="83">
        <f t="shared" si="9"/>
        <v>0</v>
      </c>
      <c r="AS45" s="83">
        <f t="shared" si="10"/>
        <v>0</v>
      </c>
      <c r="AT45" s="15"/>
    </row>
    <row r="46" spans="1:46" x14ac:dyDescent="0.25">
      <c r="B46" s="79"/>
      <c r="C46" s="80"/>
      <c r="D46" s="47"/>
      <c r="E46" s="47"/>
      <c r="F46" s="80"/>
      <c r="G46" s="80"/>
      <c r="H46" s="79"/>
      <c r="I46" s="48"/>
      <c r="K46" s="46"/>
      <c r="L46" s="46"/>
      <c r="M46" s="46"/>
      <c r="N46" s="46"/>
      <c r="O46" s="46"/>
      <c r="P46" s="46"/>
      <c r="Q46" s="46"/>
      <c r="R46" s="48"/>
      <c r="S46" s="48"/>
      <c r="T46" s="48">
        <f t="shared" si="3"/>
        <v>0</v>
      </c>
      <c r="U46" s="48">
        <f t="shared" si="4"/>
        <v>0</v>
      </c>
      <c r="V46" s="98">
        <f t="shared" si="5"/>
        <v>0</v>
      </c>
      <c r="W46" s="15"/>
      <c r="X46" s="46"/>
      <c r="Y46" s="47"/>
      <c r="Z46" s="81"/>
      <c r="AA46" s="48">
        <f t="shared" si="0"/>
        <v>0</v>
      </c>
      <c r="AB46" s="82"/>
      <c r="AC46" s="48">
        <f t="shared" si="1"/>
        <v>0</v>
      </c>
      <c r="AD46" s="48"/>
      <c r="AE46" s="48">
        <f t="shared" si="6"/>
        <v>0</v>
      </c>
      <c r="AF46" s="48">
        <f t="shared" si="2"/>
        <v>0</v>
      </c>
      <c r="AH46" s="108">
        <v>0</v>
      </c>
      <c r="AI46" s="108">
        <v>0</v>
      </c>
      <c r="AJ46" s="108">
        <f t="shared" si="7"/>
        <v>0</v>
      </c>
      <c r="AK46" s="108">
        <f t="shared" si="8"/>
        <v>0</v>
      </c>
      <c r="AM46" s="46"/>
      <c r="AN46" s="46"/>
      <c r="AO46" s="47"/>
      <c r="AP46" s="47"/>
      <c r="AQ46" s="84"/>
      <c r="AR46" s="83">
        <f t="shared" si="9"/>
        <v>0</v>
      </c>
      <c r="AS46" s="83">
        <f t="shared" si="10"/>
        <v>0</v>
      </c>
      <c r="AT46" s="15"/>
    </row>
    <row r="47" spans="1:46" x14ac:dyDescent="0.25">
      <c r="B47" s="79"/>
      <c r="C47" s="80"/>
      <c r="D47" s="47"/>
      <c r="E47" s="47"/>
      <c r="F47" s="80"/>
      <c r="G47" s="80"/>
      <c r="H47" s="79"/>
      <c r="I47" s="48"/>
      <c r="K47" s="46"/>
      <c r="L47" s="46"/>
      <c r="M47" s="46"/>
      <c r="N47" s="46"/>
      <c r="O47" s="46"/>
      <c r="P47" s="46"/>
      <c r="Q47" s="46"/>
      <c r="R47" s="48"/>
      <c r="S47" s="48"/>
      <c r="T47" s="48">
        <f t="shared" si="3"/>
        <v>0</v>
      </c>
      <c r="U47" s="48">
        <f t="shared" si="4"/>
        <v>0</v>
      </c>
      <c r="V47" s="98">
        <f t="shared" si="5"/>
        <v>0</v>
      </c>
      <c r="W47" s="15"/>
      <c r="X47" s="46"/>
      <c r="Y47" s="47"/>
      <c r="Z47" s="81"/>
      <c r="AA47" s="48">
        <f t="shared" si="0"/>
        <v>0</v>
      </c>
      <c r="AB47" s="82"/>
      <c r="AC47" s="48">
        <f t="shared" si="1"/>
        <v>0</v>
      </c>
      <c r="AD47" s="48"/>
      <c r="AE47" s="48">
        <f t="shared" si="6"/>
        <v>0</v>
      </c>
      <c r="AF47" s="48">
        <f t="shared" si="2"/>
        <v>0</v>
      </c>
      <c r="AH47" s="108">
        <v>0</v>
      </c>
      <c r="AI47" s="108">
        <v>0</v>
      </c>
      <c r="AJ47" s="108">
        <f t="shared" si="7"/>
        <v>0</v>
      </c>
      <c r="AK47" s="108">
        <f t="shared" si="8"/>
        <v>0</v>
      </c>
      <c r="AL47" s="33"/>
      <c r="AM47" s="46"/>
      <c r="AN47" s="46"/>
      <c r="AO47" s="47"/>
      <c r="AP47" s="47"/>
      <c r="AQ47" s="84"/>
      <c r="AR47" s="83">
        <f t="shared" si="9"/>
        <v>0</v>
      </c>
      <c r="AS47" s="83">
        <f t="shared" si="10"/>
        <v>0</v>
      </c>
      <c r="AT47" s="15"/>
    </row>
    <row r="48" spans="1:46" ht="7" customHeight="1" x14ac:dyDescent="0.25">
      <c r="B48" s="85"/>
      <c r="C48" s="86"/>
      <c r="D48" s="87"/>
      <c r="E48" s="87"/>
      <c r="F48" s="86"/>
      <c r="G48" s="86"/>
      <c r="H48" s="85"/>
      <c r="I48" s="88"/>
      <c r="R48" s="26"/>
      <c r="S48" s="26"/>
      <c r="T48" s="26"/>
      <c r="U48" s="26"/>
      <c r="V48" s="93"/>
      <c r="W48" s="15"/>
      <c r="Y48" s="89"/>
      <c r="Z48" s="90"/>
      <c r="AA48" s="26"/>
      <c r="AB48" s="91"/>
      <c r="AC48" s="26"/>
      <c r="AD48" s="26"/>
      <c r="AE48" s="26"/>
      <c r="AF48" s="26"/>
      <c r="AH48" s="109"/>
      <c r="AI48" s="109"/>
      <c r="AJ48" s="109"/>
      <c r="AK48" s="109"/>
      <c r="AO48" s="89"/>
      <c r="AP48" s="89"/>
      <c r="AQ48" s="92"/>
      <c r="AR48" s="93"/>
      <c r="AS48" s="93"/>
      <c r="AT48" s="15"/>
    </row>
    <row r="49" spans="1:46" ht="13" thickBot="1" x14ac:dyDescent="0.3">
      <c r="B49" s="94"/>
      <c r="C49" s="95"/>
      <c r="D49" s="89"/>
      <c r="E49" s="89"/>
      <c r="F49" s="95"/>
      <c r="G49" s="95"/>
      <c r="H49" s="94"/>
      <c r="I49" s="27">
        <f>+SUM(I39:I47)</f>
        <v>0</v>
      </c>
      <c r="K49" s="94"/>
      <c r="M49" s="89"/>
      <c r="R49" s="26"/>
      <c r="S49" s="26"/>
      <c r="T49" s="26"/>
      <c r="U49" s="94"/>
      <c r="V49" s="113">
        <f>+SUM(V39:V47)</f>
        <v>0</v>
      </c>
      <c r="W49" s="15"/>
      <c r="Y49" s="89"/>
      <c r="Z49" s="90"/>
      <c r="AA49" s="26"/>
      <c r="AB49" s="91"/>
      <c r="AC49" s="26"/>
      <c r="AD49" s="94"/>
      <c r="AE49" s="113">
        <f>+SUM(AE39:AE47)</f>
        <v>0</v>
      </c>
      <c r="AF49" s="15"/>
      <c r="AH49" s="109"/>
      <c r="AI49" s="94"/>
      <c r="AJ49" s="113">
        <f>+SUM(AJ39:AJ47)</f>
        <v>0</v>
      </c>
      <c r="AK49" s="113">
        <f>+SUM(AK39:AK47)</f>
        <v>0</v>
      </c>
      <c r="AO49" s="89"/>
      <c r="AP49" s="89"/>
      <c r="AQ49" s="92"/>
      <c r="AR49" s="94"/>
      <c r="AS49" s="113">
        <f>+SUM(AS39:AS47)</f>
        <v>0</v>
      </c>
      <c r="AT49" s="15"/>
    </row>
    <row r="50" spans="1:46" ht="13" thickTop="1" x14ac:dyDescent="0.25">
      <c r="B50" s="14"/>
      <c r="I50" s="15" t="s">
        <v>74</v>
      </c>
      <c r="V50" s="15" t="s">
        <v>74</v>
      </c>
      <c r="AA50" s="26"/>
      <c r="AC50" s="26"/>
      <c r="AE50" s="15" t="s">
        <v>74</v>
      </c>
      <c r="AI50" s="21"/>
      <c r="AJ50" s="15"/>
      <c r="AK50" s="15"/>
    </row>
    <row r="51" spans="1:46" x14ac:dyDescent="0.25">
      <c r="B51" s="35" t="s">
        <v>22</v>
      </c>
      <c r="C51" s="51"/>
      <c r="AA51" s="26"/>
      <c r="AC51" s="26"/>
      <c r="AD51" s="26"/>
      <c r="AE51" s="26"/>
      <c r="AF51" s="26"/>
    </row>
    <row r="52" spans="1:46" ht="7" customHeight="1" x14ac:dyDescent="0.25">
      <c r="B52" s="35"/>
      <c r="C52" s="51"/>
      <c r="AA52" s="26"/>
      <c r="AC52" s="26"/>
      <c r="AD52" s="26"/>
      <c r="AE52" s="26"/>
      <c r="AF52" s="26"/>
    </row>
    <row r="53" spans="1:46" x14ac:dyDescent="0.25">
      <c r="A53" s="37"/>
      <c r="B53" s="104" t="s">
        <v>53</v>
      </c>
      <c r="C53" s="99"/>
      <c r="D53" s="99"/>
      <c r="AA53" s="26"/>
      <c r="AF53" s="26"/>
    </row>
    <row r="54" spans="1:46" x14ac:dyDescent="0.25">
      <c r="A54" s="37"/>
      <c r="B54" s="51" t="s">
        <v>60</v>
      </c>
      <c r="AF54" s="26"/>
    </row>
    <row r="55" spans="1:46" x14ac:dyDescent="0.25">
      <c r="A55" s="37"/>
      <c r="B55" s="51" t="s">
        <v>52</v>
      </c>
    </row>
    <row r="56" spans="1:46" x14ac:dyDescent="0.25">
      <c r="A56" s="37"/>
      <c r="B56" s="21" t="s">
        <v>23</v>
      </c>
    </row>
    <row r="57" spans="1:46" x14ac:dyDescent="0.25">
      <c r="A57" s="37"/>
    </row>
    <row r="58" spans="1:46" x14ac:dyDescent="0.25">
      <c r="A58" s="77"/>
      <c r="B58" s="36" t="s">
        <v>95</v>
      </c>
    </row>
    <row r="59" spans="1:46" ht="7" customHeight="1" x14ac:dyDescent="0.25">
      <c r="A59" s="77"/>
    </row>
    <row r="60" spans="1:46" x14ac:dyDescent="0.25">
      <c r="A60" s="50" t="s">
        <v>54</v>
      </c>
    </row>
    <row r="61" spans="1:46" x14ac:dyDescent="0.25">
      <c r="A61" s="50" t="s">
        <v>55</v>
      </c>
    </row>
    <row r="62" spans="1:46" x14ac:dyDescent="0.25">
      <c r="A62" s="50" t="s">
        <v>56</v>
      </c>
    </row>
    <row r="63" spans="1:46" x14ac:dyDescent="0.25">
      <c r="A63" s="50" t="s">
        <v>61</v>
      </c>
    </row>
    <row r="64" spans="1:46" x14ac:dyDescent="0.25">
      <c r="A64" s="50" t="s">
        <v>62</v>
      </c>
    </row>
    <row r="65" spans="1:2" x14ac:dyDescent="0.25">
      <c r="A65" s="50"/>
    </row>
    <row r="66" spans="1:2" x14ac:dyDescent="0.25">
      <c r="A66" s="49"/>
      <c r="B66" s="36" t="s">
        <v>33</v>
      </c>
    </row>
    <row r="67" spans="1:2" ht="7" customHeight="1" x14ac:dyDescent="0.25">
      <c r="A67" s="49"/>
      <c r="B67" s="36"/>
    </row>
    <row r="68" spans="1:2" x14ac:dyDescent="0.25">
      <c r="A68" s="50" t="s">
        <v>37</v>
      </c>
      <c r="B68" s="36"/>
    </row>
    <row r="69" spans="1:2" x14ac:dyDescent="0.25">
      <c r="A69" s="50" t="s">
        <v>38</v>
      </c>
      <c r="B69" s="36"/>
    </row>
    <row r="70" spans="1:2" x14ac:dyDescent="0.25">
      <c r="A70" s="50" t="s">
        <v>39</v>
      </c>
    </row>
    <row r="71" spans="1:2" x14ac:dyDescent="0.25">
      <c r="A71" s="49"/>
      <c r="B71" s="37"/>
    </row>
    <row r="72" spans="1:2" x14ac:dyDescent="0.25">
      <c r="A72" s="49"/>
      <c r="B72" s="36" t="s">
        <v>34</v>
      </c>
    </row>
    <row r="73" spans="1:2" ht="7" customHeight="1" x14ac:dyDescent="0.25">
      <c r="A73" s="49"/>
      <c r="B73" s="36"/>
    </row>
    <row r="74" spans="1:2" x14ac:dyDescent="0.25">
      <c r="A74" s="50" t="s">
        <v>40</v>
      </c>
      <c r="B74" s="36"/>
    </row>
    <row r="75" spans="1:2" x14ac:dyDescent="0.25">
      <c r="A75" s="50" t="s">
        <v>41</v>
      </c>
    </row>
    <row r="76" spans="1:2" x14ac:dyDescent="0.25">
      <c r="A76" s="50" t="s">
        <v>42</v>
      </c>
      <c r="B76" s="51"/>
    </row>
    <row r="77" spans="1:2" x14ac:dyDescent="0.25">
      <c r="A77" s="50"/>
      <c r="B77" s="51"/>
    </row>
    <row r="78" spans="1:2" x14ac:dyDescent="0.25">
      <c r="A78" s="52"/>
      <c r="B78" s="36" t="s">
        <v>6</v>
      </c>
    </row>
    <row r="79" spans="1:2" ht="7" customHeight="1" x14ac:dyDescent="0.25">
      <c r="A79" s="52"/>
      <c r="B79" s="36"/>
    </row>
    <row r="80" spans="1:2" x14ac:dyDescent="0.25">
      <c r="A80" s="52"/>
      <c r="B80" s="53" t="s">
        <v>43</v>
      </c>
    </row>
  </sheetData>
  <mergeCells count="13">
    <mergeCell ref="V36:V38"/>
    <mergeCell ref="B37:I37"/>
    <mergeCell ref="B36:I36"/>
    <mergeCell ref="K36:Q36"/>
    <mergeCell ref="K37:U37"/>
    <mergeCell ref="R36:U36"/>
    <mergeCell ref="AM36:AS36"/>
    <mergeCell ref="X37:AC37"/>
    <mergeCell ref="AD37:AF37"/>
    <mergeCell ref="X36:AF36"/>
    <mergeCell ref="AM37:AQ37"/>
    <mergeCell ref="AR37:AS37"/>
    <mergeCell ref="AH36:AK3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110.05.01</vt:lpstr>
      <vt:lpstr>110.05.02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Kreston</dc:creator>
  <cp:lastModifiedBy>Admin</cp:lastModifiedBy>
  <dcterms:created xsi:type="dcterms:W3CDTF">2023-03-07T14:30:39Z</dcterms:created>
  <dcterms:modified xsi:type="dcterms:W3CDTF">2026-04-17T00:04:28Z</dcterms:modified>
</cp:coreProperties>
</file>