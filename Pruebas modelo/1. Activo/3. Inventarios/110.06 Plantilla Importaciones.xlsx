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094229FC-C09E-4E1F-8056-EB7613F199BD}" xr6:coauthVersionLast="47" xr6:coauthVersionMax="47" xr10:uidLastSave="{00000000-0000-0000-0000-000000000000}"/>
  <bookViews>
    <workbookView xWindow="-110" yWindow="-110" windowWidth="19420" windowHeight="10300" xr2:uid="{529508EB-61AE-4106-B4AB-8DDB1CF3D37B}"/>
  </bookViews>
  <sheets>
    <sheet name="110.06.01" sheetId="1" r:id="rId1"/>
    <sheet name="110.06.02" sheetId="2" r:id="rId2"/>
  </sheets>
  <definedNames>
    <definedName name="_xlnm._FilterDatabase" localSheetId="0" hidden="1">'110.06.01'!#REF!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8" i="2" l="1"/>
  <c r="AR38" i="2"/>
  <c r="AN45" i="2"/>
  <c r="AN44" i="2"/>
  <c r="AN43" i="2"/>
  <c r="AN42" i="2"/>
  <c r="AN41" i="2"/>
  <c r="AN40" i="2"/>
  <c r="AN39" i="2"/>
  <c r="AN38" i="2"/>
  <c r="AN37" i="2"/>
  <c r="AS45" i="2"/>
  <c r="AS44" i="2"/>
  <c r="AS43" i="2"/>
  <c r="AS42" i="2"/>
  <c r="AS41" i="2"/>
  <c r="AS40" i="2"/>
  <c r="AS39" i="2"/>
  <c r="AS37" i="2"/>
  <c r="AR37" i="2" l="1"/>
  <c r="AF37" i="2"/>
  <c r="S42" i="2" l="1"/>
  <c r="S38" i="2"/>
  <c r="R45" i="2"/>
  <c r="S45" i="2" s="1"/>
  <c r="R44" i="2"/>
  <c r="S44" i="2" s="1"/>
  <c r="R43" i="2"/>
  <c r="S43" i="2" s="1"/>
  <c r="R42" i="2"/>
  <c r="R41" i="2"/>
  <c r="S41" i="2" s="1"/>
  <c r="R40" i="2"/>
  <c r="S40" i="2" s="1"/>
  <c r="R39" i="2"/>
  <c r="S39" i="2" s="1"/>
  <c r="R38" i="2"/>
  <c r="R37" i="2"/>
  <c r="S37" i="2" s="1"/>
  <c r="AN47" i="2"/>
  <c r="AR45" i="2"/>
  <c r="AR44" i="2"/>
  <c r="AR43" i="2"/>
  <c r="AR42" i="2"/>
  <c r="AR41" i="2"/>
  <c r="AR40" i="2"/>
  <c r="AR39" i="2"/>
  <c r="AR47" i="2" l="1"/>
  <c r="AS47" i="2"/>
  <c r="AF45" i="2" l="1"/>
  <c r="AF44" i="2"/>
  <c r="AF43" i="2"/>
  <c r="AF42" i="2"/>
  <c r="AF41" i="2"/>
  <c r="AF40" i="2"/>
  <c r="AF39" i="2"/>
  <c r="AF38" i="2"/>
  <c r="AF47" i="2" l="1"/>
  <c r="T45" i="2"/>
  <c r="T44" i="2"/>
  <c r="T43" i="2"/>
  <c r="T42" i="2"/>
  <c r="T41" i="2"/>
  <c r="T40" i="2"/>
  <c r="T39" i="2"/>
  <c r="T38" i="2"/>
  <c r="T37" i="2"/>
  <c r="T47" i="2" l="1"/>
  <c r="H47" i="2"/>
</calcChain>
</file>

<file path=xl/sharedStrings.xml><?xml version="1.0" encoding="utf-8"?>
<sst xmlns="http://schemas.openxmlformats.org/spreadsheetml/2006/main" count="153" uniqueCount="104">
  <si>
    <t>No.</t>
  </si>
  <si>
    <t xml:space="preserve">Proveedor </t>
  </si>
  <si>
    <t>#PI</t>
  </si>
  <si>
    <t xml:space="preserve">Precio FOB </t>
  </si>
  <si>
    <t xml:space="preserve">Gastos </t>
  </si>
  <si>
    <t>Detalle</t>
  </si>
  <si>
    <t>Preparado por:</t>
  </si>
  <si>
    <t>Revisado por:</t>
  </si>
  <si>
    <t>Objetivo:</t>
  </si>
  <si>
    <t>Procedimiento:</t>
  </si>
  <si>
    <t>Desarrollo:</t>
  </si>
  <si>
    <t>Procedimientos:</t>
  </si>
  <si>
    <t>1.-</t>
  </si>
  <si>
    <t>2.-</t>
  </si>
  <si>
    <t>3.-</t>
  </si>
  <si>
    <t>4.-</t>
  </si>
  <si>
    <t xml:space="preserve">Fecha </t>
  </si>
  <si>
    <t>Proveedor</t>
  </si>
  <si>
    <t>Concepto</t>
  </si>
  <si>
    <t xml:space="preserve">Valor </t>
  </si>
  <si>
    <t>DAI</t>
  </si>
  <si>
    <t xml:space="preserve">Fecha de aceptación </t>
  </si>
  <si>
    <t>Declarante</t>
  </si>
  <si>
    <t>FOB</t>
  </si>
  <si>
    <t>Flete</t>
  </si>
  <si>
    <t xml:space="preserve">Seguro </t>
  </si>
  <si>
    <t>Valor en aduana</t>
  </si>
  <si>
    <t>Arancel Ad Valorem</t>
  </si>
  <si>
    <t>FODINFA</t>
  </si>
  <si>
    <t>Fecha</t>
  </si>
  <si>
    <t xml:space="preserve">No. de comprobante </t>
  </si>
  <si>
    <t>COMPAÑÍA MODELO S.A.</t>
  </si>
  <si>
    <t>Ref.</t>
  </si>
  <si>
    <t>Base de decisión: Materialidad</t>
  </si>
  <si>
    <t>General</t>
  </si>
  <si>
    <t>XXX.XXX</t>
  </si>
  <si>
    <t>Desempeño</t>
  </si>
  <si>
    <t>Errores Triviales</t>
  </si>
  <si>
    <t>Marcas de auditoría:</t>
  </si>
  <si>
    <t xml:space="preserve">PRUEBA SUSTANTIVA - IMPORTACIÓN DE INVENTARIOS </t>
  </si>
  <si>
    <t xml:space="preserve">Factura </t>
  </si>
  <si>
    <t xml:space="preserve">Comprobante de pago </t>
  </si>
  <si>
    <t xml:space="preserve">Diferencia </t>
  </si>
  <si>
    <t xml:space="preserve">Total en tributos </t>
  </si>
  <si>
    <t>IVA</t>
  </si>
  <si>
    <t xml:space="preserve">IVA </t>
  </si>
  <si>
    <t xml:space="preserve">Total </t>
  </si>
  <si>
    <t>Diferencia</t>
  </si>
  <si>
    <t>Conclusión:</t>
  </si>
  <si>
    <t>AL 31 DE DICIEMBRE DE 20XX</t>
  </si>
  <si>
    <t>XX</t>
  </si>
  <si>
    <t>Sumatoria</t>
  </si>
  <si>
    <t>Notas aclaratorias:</t>
  </si>
  <si>
    <t>Observaciones:</t>
  </si>
  <si>
    <t>Preliminar</t>
  </si>
  <si>
    <t xml:space="preserve">Final </t>
  </si>
  <si>
    <t>a)</t>
  </si>
  <si>
    <t>b)</t>
  </si>
  <si>
    <t>c)</t>
  </si>
  <si>
    <t>Obs.1</t>
  </si>
  <si>
    <t>Obs.2</t>
  </si>
  <si>
    <t>Obs.3</t>
  </si>
  <si>
    <t>***Concluir en función al objetivo</t>
  </si>
  <si>
    <t xml:space="preserve">Muestra seleccionada de base de importaciones </t>
  </si>
  <si>
    <t xml:space="preserve">Muestra </t>
  </si>
  <si>
    <t xml:space="preserve">Existencia </t>
  </si>
  <si>
    <t>Exactitud</t>
  </si>
  <si>
    <t>Documentar el papel de trabajo y concluir en base al objetivo.</t>
  </si>
  <si>
    <t>Información proporcionada por el cliente</t>
  </si>
  <si>
    <t>Cálculos de Auditoría</t>
  </si>
  <si>
    <t>A</t>
  </si>
  <si>
    <t>B</t>
  </si>
  <si>
    <t>C</t>
  </si>
  <si>
    <t>FECHA DE CORTE: _/_/20XX</t>
  </si>
  <si>
    <t xml:space="preserve">Costo total </t>
  </si>
  <si>
    <t>Invoice/ factura</t>
  </si>
  <si>
    <t>Fecha de liquidación aduanera</t>
  </si>
  <si>
    <t>Saldo de liquidación aduanera</t>
  </si>
  <si>
    <t xml:space="preserve">Documentación de sustento </t>
  </si>
  <si>
    <t xml:space="preserve">Cumplimiento tributario </t>
  </si>
  <si>
    <t xml:space="preserve">Declaración aduanera </t>
  </si>
  <si>
    <t>Determinar la existencia y exactitud de las importaciones que componen la cuenta de inventario al _/_/20XX.</t>
  </si>
  <si>
    <t>110.06.01</t>
  </si>
  <si>
    <t>Determinar una muestra para la verificación de importaciones al _/ _/ 20XX.</t>
  </si>
  <si>
    <t>Documentar el juicio profesional aplicado para la selección de muestra.</t>
  </si>
  <si>
    <t xml:space="preserve">Determinar las partidas seleccionadas. </t>
  </si>
  <si>
    <t>Solicitar a la Compañía el detalle de importaciones al _/ _/ 20XX.</t>
  </si>
  <si>
    <t>MUESTRA IMPORTACIONES PARA PRUEBAS SUSTANTIVAS</t>
  </si>
  <si>
    <t>Realizar los recálculos en los casos que aplique.</t>
  </si>
  <si>
    <t>Cotejar la exactitud de los documentos con los registros contables.</t>
  </si>
  <si>
    <t xml:space="preserve">Fecha entrega  </t>
  </si>
  <si>
    <t>Kárdex</t>
  </si>
  <si>
    <t>Cantidad</t>
  </si>
  <si>
    <t>Diferencia en cantidad</t>
  </si>
  <si>
    <t>p/t 110.06.01</t>
  </si>
  <si>
    <t>110.06.02</t>
  </si>
  <si>
    <t>*** El auditor dejará documentado cómo seleccionó la muestra.</t>
  </si>
  <si>
    <r>
      <t xml:space="preserve">Solicitar los documentos soporte de la muestra obtenida en </t>
    </r>
    <r>
      <rPr>
        <b/>
        <sz val="10"/>
        <color rgb="FFFF0000"/>
        <rFont val="Tahoma"/>
        <family val="2"/>
      </rPr>
      <t>p/t 110.06.01</t>
    </r>
  </si>
  <si>
    <t>Verificaciones:</t>
  </si>
  <si>
    <t>Diferencia en valor de compra</t>
  </si>
  <si>
    <t>Subtotal 0%</t>
  </si>
  <si>
    <t>Subtotal 12%</t>
  </si>
  <si>
    <t>Valor de kardex (entrada)</t>
  </si>
  <si>
    <t xml:space="preserve">Valor unitario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</si>
</sst>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\-yy;@"/>
    <numFmt numFmtId="165" formatCode="_ * #,##0_ ;_ * \-#,##0_ ;_ * &quot;-&quot;??_ ;_ @_ "/>
  </numFmts>
  <fonts count="24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206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8"/>
      <color theme="1"/>
      <name val="Futura-Book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rgb="FF00206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b/>
      <sz val="10"/>
      <color theme="3"/>
      <name val="Tahoma"/>
      <family val="2"/>
    </font>
    <font>
      <sz val="10"/>
      <name val="Courier"/>
      <family val="3"/>
    </font>
    <font>
      <b/>
      <sz val="10"/>
      <color theme="0"/>
      <name val="Tahoma"/>
      <family val="2"/>
    </font>
    <font>
      <b/>
      <sz val="10"/>
      <color rgb="FF0000FF"/>
      <name val="Tahoma"/>
      <family val="2"/>
    </font>
    <font>
      <b/>
      <u/>
      <sz val="10"/>
      <color rgb="FF0000FF"/>
      <name val="Tahoma"/>
      <family val="2"/>
    </font>
    <font>
      <sz val="10"/>
      <color rgb="FFFF0000"/>
      <name val="Tahoma"/>
      <family val="2"/>
    </font>
    <font>
      <sz val="11"/>
      <color theme="1"/>
      <name val="Calibri"/>
      <family val="2"/>
    </font>
    <font>
      <b/>
      <u/>
      <sz val="10"/>
      <color theme="1"/>
      <name val="Tahoma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top"/>
    </xf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6" fillId="0" borderId="0"/>
    <xf numFmtId="0" fontId="9" fillId="0" borderId="0"/>
    <xf numFmtId="0" fontId="21" fillId="0" borderId="0"/>
    <xf numFmtId="0" fontId="2" fillId="0" borderId="0"/>
  </cellStyleXfs>
  <cellXfs count="113">
    <xf numFmtId="0" fontId="0" fillId="0" borderId="0" xfId="0">
      <alignment vertical="top"/>
    </xf>
    <xf numFmtId="0" fontId="3" fillId="0" borderId="0" xfId="2" applyFont="1"/>
    <xf numFmtId="0" fontId="4" fillId="0" borderId="0" xfId="0" applyFont="1" applyAlignment="1"/>
    <xf numFmtId="0" fontId="4" fillId="2" borderId="2" xfId="0" applyFont="1" applyFill="1" applyBorder="1" applyAlignment="1"/>
    <xf numFmtId="0" fontId="10" fillId="0" borderId="0" xfId="0" applyFont="1">
      <alignment vertical="top"/>
    </xf>
    <xf numFmtId="0" fontId="12" fillId="0" borderId="0" xfId="0" applyFont="1">
      <alignment vertical="top"/>
    </xf>
    <xf numFmtId="0" fontId="7" fillId="0" borderId="0" xfId="5" applyFont="1"/>
    <xf numFmtId="0" fontId="4" fillId="2" borderId="0" xfId="0" applyFont="1" applyFill="1" applyAlignment="1"/>
    <xf numFmtId="165" fontId="14" fillId="0" borderId="0" xfId="1" applyNumberFormat="1" applyFont="1" applyFill="1" applyBorder="1"/>
    <xf numFmtId="0" fontId="13" fillId="0" borderId="0" xfId="0" applyFont="1" applyFill="1" applyBorder="1" applyAlignment="1"/>
    <xf numFmtId="0" fontId="11" fillId="0" borderId="0" xfId="0" applyFont="1">
      <alignment vertical="top"/>
    </xf>
    <xf numFmtId="0" fontId="10" fillId="0" borderId="0" xfId="0" applyFont="1" applyBorder="1">
      <alignment vertical="top"/>
    </xf>
    <xf numFmtId="14" fontId="10" fillId="0" borderId="0" xfId="0" applyNumberFormat="1" applyFont="1" applyBorder="1">
      <alignment vertical="top"/>
    </xf>
    <xf numFmtId="165" fontId="10" fillId="0" borderId="0" xfId="0" applyNumberFormat="1" applyFont="1" applyBorder="1">
      <alignment vertical="top"/>
    </xf>
    <xf numFmtId="0" fontId="7" fillId="2" borderId="0" xfId="0" applyFont="1" applyFill="1" applyAlignment="1"/>
    <xf numFmtId="0" fontId="4" fillId="2" borderId="0" xfId="2" applyFont="1" applyFill="1"/>
    <xf numFmtId="14" fontId="4" fillId="2" borderId="0" xfId="0" applyNumberFormat="1" applyFont="1" applyFill="1" applyAlignment="1"/>
    <xf numFmtId="0" fontId="4" fillId="2" borderId="0" xfId="0" applyFont="1" applyFill="1" applyAlignment="1">
      <alignment horizontal="center"/>
    </xf>
    <xf numFmtId="0" fontId="7" fillId="0" borderId="0" xfId="0" applyFont="1" applyAlignment="1"/>
    <xf numFmtId="0" fontId="7" fillId="2" borderId="0" xfId="6" applyFont="1" applyFill="1" applyAlignment="1">
      <alignment horizontal="center" vertical="center"/>
    </xf>
    <xf numFmtId="0" fontId="7" fillId="2" borderId="0" xfId="6" applyFont="1" applyFill="1"/>
    <xf numFmtId="0" fontId="7" fillId="2" borderId="0" xfId="0" applyFont="1" applyFill="1" applyAlignment="1">
      <alignment horizontal="center"/>
    </xf>
    <xf numFmtId="0" fontId="15" fillId="2" borderId="0" xfId="7" applyFont="1" applyFill="1" applyAlignment="1">
      <alignment vertical="center"/>
    </xf>
    <xf numFmtId="0" fontId="7" fillId="2" borderId="3" xfId="8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vertical="center" wrapText="1"/>
      <protection hidden="1"/>
    </xf>
    <xf numFmtId="0" fontId="15" fillId="2" borderId="0" xfId="7" applyFont="1" applyFill="1" applyAlignment="1">
      <alignment horizontal="right" vertical="center" wrapText="1"/>
    </xf>
    <xf numFmtId="14" fontId="7" fillId="0" borderId="0" xfId="0" applyNumberFormat="1" applyFont="1" applyAlignme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Border="1">
      <alignment vertical="top"/>
    </xf>
    <xf numFmtId="0" fontId="8" fillId="0" borderId="0" xfId="0" applyFont="1" applyAlignment="1">
      <alignment horizontal="center" vertical="top"/>
    </xf>
    <xf numFmtId="0" fontId="18" fillId="0" borderId="0" xfId="0" applyFont="1" applyAlignment="1">
      <alignment horizontal="right"/>
    </xf>
    <xf numFmtId="0" fontId="8" fillId="0" borderId="0" xfId="0" applyFont="1" applyBorder="1" applyAlignment="1">
      <alignment horizontal="right" vertical="top"/>
    </xf>
    <xf numFmtId="0" fontId="12" fillId="0" borderId="0" xfId="0" applyFont="1" applyAlignment="1" applyProtection="1">
      <alignment horizontal="left" vertical="center"/>
      <protection hidden="1"/>
    </xf>
    <xf numFmtId="0" fontId="4" fillId="0" borderId="4" xfId="0" applyFont="1" applyBorder="1" applyAlignment="1"/>
    <xf numFmtId="0" fontId="5" fillId="2" borderId="0" xfId="5" applyFont="1" applyFill="1" applyAlignment="1">
      <alignment horizontal="left" vertical="center" indent="1"/>
    </xf>
    <xf numFmtId="14" fontId="7" fillId="2" borderId="0" xfId="3" applyNumberFormat="1" applyFont="1" applyFill="1" applyBorder="1" applyAlignment="1">
      <alignment horizontal="center" vertical="center"/>
    </xf>
    <xf numFmtId="0" fontId="8" fillId="0" borderId="0" xfId="4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/>
    <xf numFmtId="0" fontId="4" fillId="0" borderId="0" xfId="0" applyFont="1" applyBorder="1" applyAlignment="1"/>
    <xf numFmtId="0" fontId="5" fillId="2" borderId="0" xfId="5" applyFont="1" applyFill="1" applyBorder="1" applyAlignment="1">
      <alignment horizontal="left" vertical="center" indent="1"/>
    </xf>
    <xf numFmtId="0" fontId="20" fillId="0" borderId="0" xfId="0" applyFont="1" applyAlignment="1"/>
    <xf numFmtId="0" fontId="4" fillId="2" borderId="0" xfId="0" applyFont="1" applyFill="1" applyBorder="1" applyAlignment="1"/>
    <xf numFmtId="0" fontId="12" fillId="0" borderId="0" xfId="11" applyFont="1" applyAlignment="1" applyProtection="1">
      <alignment horizontal="left" vertical="center"/>
      <protection hidden="1"/>
    </xf>
    <xf numFmtId="0" fontId="12" fillId="2" borderId="0" xfId="0" applyFont="1" applyFill="1" applyAlignment="1">
      <alignment horizontal="left" vertical="top"/>
    </xf>
    <xf numFmtId="0" fontId="7" fillId="2" borderId="5" xfId="3" applyFont="1" applyFill="1" applyBorder="1" applyAlignment="1">
      <alignment horizontal="center" vertical="center"/>
    </xf>
    <xf numFmtId="0" fontId="12" fillId="2" borderId="0" xfId="0" applyFont="1" applyFill="1" applyAlignment="1"/>
    <xf numFmtId="0" fontId="10" fillId="0" borderId="1" xfId="0" applyFont="1" applyBorder="1">
      <alignment vertical="top"/>
    </xf>
    <xf numFmtId="0" fontId="8" fillId="0" borderId="0" xfId="3" applyFont="1" applyAlignment="1">
      <alignment horizontal="center" vertical="center"/>
    </xf>
    <xf numFmtId="0" fontId="8" fillId="2" borderId="0" xfId="8" applyFont="1" applyFill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4" fontId="10" fillId="0" borderId="1" xfId="0" applyNumberFormat="1" applyFont="1" applyBorder="1">
      <alignment vertical="top"/>
    </xf>
    <xf numFmtId="165" fontId="10" fillId="0" borderId="1" xfId="0" applyNumberFormat="1" applyFont="1" applyBorder="1">
      <alignment vertical="top"/>
    </xf>
    <xf numFmtId="164" fontId="10" fillId="0" borderId="1" xfId="0" applyNumberFormat="1" applyFont="1" applyBorder="1">
      <alignment vertical="top"/>
    </xf>
    <xf numFmtId="165" fontId="0" fillId="0" borderId="1" xfId="1" applyNumberFormat="1" applyFont="1" applyBorder="1"/>
    <xf numFmtId="165" fontId="0" fillId="0" borderId="1" xfId="0" applyNumberFormat="1" applyBorder="1" applyAlignment="1"/>
    <xf numFmtId="37" fontId="12" fillId="0" borderId="0" xfId="9" applyFont="1" applyAlignment="1">
      <alignment horizontal="center" vertical="center" wrapText="1"/>
    </xf>
    <xf numFmtId="4" fontId="12" fillId="0" borderId="0" xfId="3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/>
    <xf numFmtId="1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1" fontId="12" fillId="3" borderId="1" xfId="1" applyNumberFormat="1" applyFont="1" applyFill="1" applyBorder="1" applyAlignment="1">
      <alignment horizontal="center" vertical="center" wrapText="1"/>
    </xf>
    <xf numFmtId="43" fontId="12" fillId="3" borderId="1" xfId="1" applyFont="1" applyFill="1" applyBorder="1" applyAlignment="1">
      <alignment horizontal="center" vertical="center" wrapText="1"/>
    </xf>
    <xf numFmtId="43" fontId="10" fillId="0" borderId="1" xfId="1" applyFont="1" applyBorder="1" applyAlignment="1">
      <alignment vertical="top"/>
    </xf>
    <xf numFmtId="0" fontId="12" fillId="2" borderId="0" xfId="0" applyFont="1" applyFill="1" applyAlignment="1" applyProtection="1">
      <alignment horizontal="left" vertical="center"/>
      <protection hidden="1"/>
    </xf>
    <xf numFmtId="0" fontId="22" fillId="2" borderId="0" xfId="1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0" borderId="1" xfId="8" applyFont="1" applyBorder="1" applyAlignment="1">
      <alignment horizontal="center"/>
    </xf>
    <xf numFmtId="0" fontId="7" fillId="0" borderId="0" xfId="6" applyFont="1"/>
    <xf numFmtId="0" fontId="4" fillId="0" borderId="0" xfId="0" applyFont="1" applyAlignment="1">
      <alignment horizontal="right"/>
    </xf>
    <xf numFmtId="0" fontId="7" fillId="0" borderId="0" xfId="12" applyFont="1"/>
    <xf numFmtId="0" fontId="4" fillId="2" borderId="0" xfId="0" applyFont="1" applyFill="1" applyAlignment="1">
      <alignment vertical="center"/>
    </xf>
    <xf numFmtId="0" fontId="8" fillId="0" borderId="0" xfId="0" applyFont="1" applyAlignment="1"/>
    <xf numFmtId="0" fontId="12" fillId="3" borderId="1" xfId="6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left" vertical="center"/>
    </xf>
    <xf numFmtId="0" fontId="7" fillId="0" borderId="0" xfId="5" applyFont="1" applyFill="1"/>
    <xf numFmtId="0" fontId="7" fillId="0" borderId="0" xfId="0" applyFont="1" applyFill="1" applyAlignment="1"/>
    <xf numFmtId="14" fontId="7" fillId="0" borderId="0" xfId="0" applyNumberFormat="1" applyFont="1" applyFill="1" applyAlignment="1"/>
    <xf numFmtId="0" fontId="7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 vertical="top"/>
    </xf>
    <xf numFmtId="0" fontId="7" fillId="2" borderId="0" xfId="3" applyFont="1" applyFill="1" applyBorder="1" applyAlignment="1">
      <alignment horizontal="center" vertical="center"/>
    </xf>
    <xf numFmtId="0" fontId="23" fillId="0" borderId="0" xfId="2" applyFont="1"/>
    <xf numFmtId="165" fontId="7" fillId="0" borderId="1" xfId="1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" fontId="4" fillId="0" borderId="0" xfId="0" applyNumberFormat="1" applyFont="1" applyAlignment="1"/>
    <xf numFmtId="165" fontId="10" fillId="0" borderId="6" xfId="0" applyNumberFormat="1" applyFont="1" applyBorder="1">
      <alignment vertical="top"/>
    </xf>
    <xf numFmtId="165" fontId="20" fillId="0" borderId="6" xfId="1" applyNumberFormat="1" applyFont="1" applyBorder="1"/>
    <xf numFmtId="165" fontId="8" fillId="0" borderId="6" xfId="0" applyNumberFormat="1" applyFont="1" applyBorder="1">
      <alignment vertical="top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43" fontId="12" fillId="3" borderId="17" xfId="1" applyFont="1" applyFill="1" applyBorder="1" applyAlignment="1">
      <alignment horizontal="center" vertical="center" wrapText="1"/>
    </xf>
    <xf numFmtId="43" fontId="12" fillId="3" borderId="18" xfId="1" applyFont="1" applyFill="1" applyBorder="1" applyAlignment="1">
      <alignment horizontal="center" vertical="center" wrapText="1"/>
    </xf>
    <xf numFmtId="43" fontId="12" fillId="3" borderId="3" xfId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</cellXfs>
  <cellStyles count="13">
    <cellStyle name="Millares" xfId="1" builtinId="3"/>
    <cellStyle name="Normal" xfId="0" builtinId="0"/>
    <cellStyle name="Normal 17 2" xfId="12" xr:uid="{E51873CA-3C41-46A9-9C0B-04DE8402432C}"/>
    <cellStyle name="Normal 2" xfId="2" xr:uid="{C26DC16F-4B20-4CE5-8883-DF0C0B201D02}"/>
    <cellStyle name="Normal 2 10" xfId="8" xr:uid="{AE546FD6-EF5C-4797-BF11-44B9EAD0A340}"/>
    <cellStyle name="Normal 2 2 15" xfId="5" xr:uid="{CD66EFBF-2B81-4C18-86D8-74E9D9D7BEB4}"/>
    <cellStyle name="Normal 2 2 2 10" xfId="3" xr:uid="{FBAFCBBE-13CF-4A2B-AA7C-7524E3057C30}"/>
    <cellStyle name="Normal 2 3 2 5" xfId="6" xr:uid="{C4927963-DA2F-4B72-B334-981BC445A086}"/>
    <cellStyle name="Normal 3 2" xfId="7" xr:uid="{725F50BC-6AD3-4538-A67D-14B8F3934ACC}"/>
    <cellStyle name="Normal 50" xfId="4" xr:uid="{ACDC18B4-3DF5-43B2-8C22-D41C8E1998FE}"/>
    <cellStyle name="Normal 7" xfId="11" xr:uid="{C0119A08-03C5-46F5-AC4E-6F8028BEBC79}"/>
    <cellStyle name="Normal_2102.1.1 Analisis de Partidas Conciliatorias" xfId="10" xr:uid="{D337E57A-75B0-41A7-A83E-898D11B6E6CF}"/>
    <cellStyle name="Normal_CMA Worksheet 2" xfId="9" xr:uid="{B86FF1CF-C937-4AC8-9D81-801253AA0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373063</xdr:colOff>
      <xdr:row>31</xdr:row>
      <xdr:rowOff>119063</xdr:rowOff>
    </xdr:from>
    <xdr:to>
      <xdr:col>1</xdr:col>
      <xdr:colOff>119063</xdr:colOff>
      <xdr:row>49</xdr:row>
      <xdr:rowOff>63500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A89E130D-E80C-47CB-9AE5-F4D5F97B8B27}"/>
            </a:ext>
          </a:extLst>
        </xdr:cNvPr>
        <xdr:cNvSpPr/>
      </xdr:nvSpPr>
      <xdr:spPr>
        <a:xfrm>
          <a:off x="373063" y="4587876"/>
          <a:ext cx="174625" cy="2801937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589302</xdr:colOff>
      <xdr:row>46</xdr:row>
      <xdr:rowOff>6916</xdr:rowOff>
    </xdr:from>
    <xdr:ext cx="192088" cy="192088"/>
    <xdr:pic>
      <xdr:nvPicPr>
        <xdr:cNvPr id="3" name="Imagen 2">
          <a:extLst>
            <a:ext uri="{FF2B5EF4-FFF2-40B4-BE49-F238E27FC236}">
              <a16:creationId xmlns:a16="http://schemas.microsoft.com/office/drawing/2014/main" id="{03527276-3CF2-4303-A443-3B23277F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302" y="7427345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11581</xdr:colOff>
      <xdr:row>31</xdr:row>
      <xdr:rowOff>83547</xdr:rowOff>
    </xdr:from>
    <xdr:to>
      <xdr:col>1</xdr:col>
      <xdr:colOff>246125</xdr:colOff>
      <xdr:row>32</xdr:row>
      <xdr:rowOff>157224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73ABA4-0D10-429C-A35A-F87ED51D5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381" y="4744447"/>
          <a:ext cx="234544" cy="238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32</xdr:row>
      <xdr:rowOff>25400</xdr:rowOff>
    </xdr:from>
    <xdr:to>
      <xdr:col>7</xdr:col>
      <xdr:colOff>736600</xdr:colOff>
      <xdr:row>32</xdr:row>
      <xdr:rowOff>25400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59103E73-D4AF-457D-99E1-A8FB42945560}"/>
            </a:ext>
          </a:extLst>
        </xdr:cNvPr>
        <xdr:cNvCxnSpPr/>
      </xdr:nvCxnSpPr>
      <xdr:spPr>
        <a:xfrm>
          <a:off x="622300" y="4851400"/>
          <a:ext cx="53467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31</xdr:row>
      <xdr:rowOff>76200</xdr:rowOff>
    </xdr:from>
    <xdr:to>
      <xdr:col>9</xdr:col>
      <xdr:colOff>255670</xdr:colOff>
      <xdr:row>33</xdr:row>
      <xdr:rowOff>1670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B75A72-609A-4450-9C39-CBE721A6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1400" y="4737100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254396</xdr:colOff>
      <xdr:row>50</xdr:row>
      <xdr:rowOff>156793</xdr:rowOff>
    </xdr:from>
    <xdr:to>
      <xdr:col>1</xdr:col>
      <xdr:colOff>5549</xdr:colOff>
      <xdr:row>52</xdr:row>
      <xdr:rowOff>26650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57D488C-0F98-4261-A991-CF903B69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96" y="8230364"/>
          <a:ext cx="204724" cy="193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238087</xdr:colOff>
      <xdr:row>51</xdr:row>
      <xdr:rowOff>161887</xdr:rowOff>
    </xdr:from>
    <xdr:to>
      <xdr:col>1</xdr:col>
      <xdr:colOff>2033</xdr:colOff>
      <xdr:row>53</xdr:row>
      <xdr:rowOff>42984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1CC326C-47D5-436C-ABF4-907CACB6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87" y="8327987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239165</xdr:colOff>
      <xdr:row>53</xdr:row>
      <xdr:rowOff>10565</xdr:rowOff>
    </xdr:from>
    <xdr:to>
      <xdr:col>1</xdr:col>
      <xdr:colOff>520</xdr:colOff>
      <xdr:row>54</xdr:row>
      <xdr:rowOff>56762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BDAC2D1-5DA8-42EE-AAC5-81962E42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5" y="850686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217715</xdr:colOff>
      <xdr:row>32</xdr:row>
      <xdr:rowOff>27214</xdr:rowOff>
    </xdr:from>
    <xdr:to>
      <xdr:col>18</xdr:col>
      <xdr:colOff>734786</xdr:colOff>
      <xdr:row>32</xdr:row>
      <xdr:rowOff>36286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EAD8FE33-D44D-451E-B4C6-92F628DFF2B6}"/>
            </a:ext>
          </a:extLst>
        </xdr:cNvPr>
        <xdr:cNvCxnSpPr/>
      </xdr:nvCxnSpPr>
      <xdr:spPr>
        <a:xfrm>
          <a:off x="7102929" y="4744357"/>
          <a:ext cx="6295571" cy="907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260786</xdr:colOff>
      <xdr:row>31</xdr:row>
      <xdr:rowOff>60950</xdr:rowOff>
    </xdr:from>
    <xdr:to>
      <xdr:col>19</xdr:col>
      <xdr:colOff>510636</xdr:colOff>
      <xdr:row>32</xdr:row>
      <xdr:rowOff>153334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01B851-C8E3-496F-93B4-D7FAE026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2786" y="4614807"/>
          <a:ext cx="24985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248313</xdr:colOff>
      <xdr:row>31</xdr:row>
      <xdr:rowOff>71154</xdr:rowOff>
    </xdr:from>
    <xdr:to>
      <xdr:col>31</xdr:col>
      <xdr:colOff>498163</xdr:colOff>
      <xdr:row>33</xdr:row>
      <xdr:rowOff>252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7A56D33-0A77-4DDD-A39F-7D198DA0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376" y="4508217"/>
          <a:ext cx="249850" cy="246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9071</xdr:colOff>
      <xdr:row>31</xdr:row>
      <xdr:rowOff>81642</xdr:rowOff>
    </xdr:from>
    <xdr:to>
      <xdr:col>21</xdr:col>
      <xdr:colOff>262095</xdr:colOff>
      <xdr:row>33</xdr:row>
      <xdr:rowOff>10740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5A539D8-5443-471C-A487-CFB89043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0" y="4635499"/>
          <a:ext cx="253024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235856</xdr:colOff>
      <xdr:row>32</xdr:row>
      <xdr:rowOff>0</xdr:rowOff>
    </xdr:from>
    <xdr:to>
      <xdr:col>30</xdr:col>
      <xdr:colOff>698500</xdr:colOff>
      <xdr:row>32</xdr:row>
      <xdr:rowOff>9074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5AD79C76-3948-4E37-99F8-4CC09B69394F}"/>
            </a:ext>
          </a:extLst>
        </xdr:cNvPr>
        <xdr:cNvCxnSpPr>
          <a:cxnSpLocks/>
        </xdr:cNvCxnSpPr>
      </xdr:nvCxnSpPr>
      <xdr:spPr>
        <a:xfrm flipV="1">
          <a:off x="14577785" y="4717143"/>
          <a:ext cx="7647215" cy="90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163284</xdr:colOff>
      <xdr:row>31</xdr:row>
      <xdr:rowOff>79375</xdr:rowOff>
    </xdr:from>
    <xdr:to>
      <xdr:col>35</xdr:col>
      <xdr:colOff>241683</xdr:colOff>
      <xdr:row>33</xdr:row>
      <xdr:rowOff>13009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EF7041C-3CB1-4521-B581-110FBD33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57097" y="4516438"/>
          <a:ext cx="253024" cy="25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244248</xdr:colOff>
      <xdr:row>32</xdr:row>
      <xdr:rowOff>48083</xdr:rowOff>
    </xdr:from>
    <xdr:to>
      <xdr:col>39</xdr:col>
      <xdr:colOff>0</xdr:colOff>
      <xdr:row>32</xdr:row>
      <xdr:rowOff>49894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5B5CEDAC-2DA7-4C7A-BED4-0D4E9E9C6513}"/>
            </a:ext>
          </a:extLst>
        </xdr:cNvPr>
        <xdr:cNvCxnSpPr>
          <a:cxnSpLocks/>
        </xdr:cNvCxnSpPr>
      </xdr:nvCxnSpPr>
      <xdr:spPr>
        <a:xfrm>
          <a:off x="27112686" y="4643896"/>
          <a:ext cx="6849608" cy="18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208636</xdr:colOff>
      <xdr:row>31</xdr:row>
      <xdr:rowOff>72574</xdr:rowOff>
    </xdr:from>
    <xdr:to>
      <xdr:col>39</xdr:col>
      <xdr:colOff>458486</xdr:colOff>
      <xdr:row>33</xdr:row>
      <xdr:rowOff>1672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5A4C831-609F-474E-9D9E-4F9CCC3E2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6065" y="4626431"/>
          <a:ext cx="24985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46492</xdr:colOff>
      <xdr:row>31</xdr:row>
      <xdr:rowOff>91848</xdr:rowOff>
    </xdr:from>
    <xdr:to>
      <xdr:col>32</xdr:col>
      <xdr:colOff>299516</xdr:colOff>
      <xdr:row>33</xdr:row>
      <xdr:rowOff>25482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83EF24-46EB-4DE2-A6C2-12247D8E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6242" y="4528911"/>
          <a:ext cx="253024" cy="25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259827</xdr:colOff>
      <xdr:row>32</xdr:row>
      <xdr:rowOff>27214</xdr:rowOff>
    </xdr:from>
    <xdr:to>
      <xdr:col>33</xdr:col>
      <xdr:colOff>659945</xdr:colOff>
      <xdr:row>32</xdr:row>
      <xdr:rowOff>32585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F63B26AF-ED68-4A57-9DEF-BCC9710D5BB8}"/>
            </a:ext>
          </a:extLst>
        </xdr:cNvPr>
        <xdr:cNvCxnSpPr/>
      </xdr:nvCxnSpPr>
      <xdr:spPr>
        <a:xfrm flipV="1">
          <a:off x="25921765" y="4781777"/>
          <a:ext cx="1201805" cy="537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239257</xdr:colOff>
      <xdr:row>54</xdr:row>
      <xdr:rowOff>54429</xdr:rowOff>
    </xdr:from>
    <xdr:ext cx="192088" cy="192088"/>
    <xdr:pic>
      <xdr:nvPicPr>
        <xdr:cNvPr id="27" name="Imagen 26">
          <a:extLst>
            <a:ext uri="{FF2B5EF4-FFF2-40B4-BE49-F238E27FC236}">
              <a16:creationId xmlns:a16="http://schemas.microsoft.com/office/drawing/2014/main" id="{F9F7F408-6F28-4EAA-A2E2-68E12C0A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257" y="851580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43</xdr:col>
      <xdr:colOff>55563</xdr:colOff>
      <xdr:row>31</xdr:row>
      <xdr:rowOff>119058</xdr:rowOff>
    </xdr:from>
    <xdr:to>
      <xdr:col>43</xdr:col>
      <xdr:colOff>287990</xdr:colOff>
      <xdr:row>33</xdr:row>
      <xdr:rowOff>33985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86E1A22-089B-4F07-A7C1-F057AE0E0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79313" y="4556121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293689</xdr:colOff>
      <xdr:row>32</xdr:row>
      <xdr:rowOff>63500</xdr:rowOff>
    </xdr:from>
    <xdr:to>
      <xdr:col>44</xdr:col>
      <xdr:colOff>1042251</xdr:colOff>
      <xdr:row>32</xdr:row>
      <xdr:rowOff>71438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10C8DEC2-180B-4398-9FA8-ACB4329E3C51}"/>
            </a:ext>
          </a:extLst>
        </xdr:cNvPr>
        <xdr:cNvCxnSpPr/>
      </xdr:nvCxnSpPr>
      <xdr:spPr>
        <a:xfrm flipV="1">
          <a:off x="37917439" y="4659313"/>
          <a:ext cx="1836000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165021</xdr:colOff>
      <xdr:row>31</xdr:row>
      <xdr:rowOff>117394</xdr:rowOff>
    </xdr:from>
    <xdr:to>
      <xdr:col>41</xdr:col>
      <xdr:colOff>201693</xdr:colOff>
      <xdr:row>33</xdr:row>
      <xdr:rowOff>11191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F5824E4-7C3C-42F1-9223-07520A2A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9771" y="4713207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214312</xdr:colOff>
      <xdr:row>32</xdr:row>
      <xdr:rowOff>79375</xdr:rowOff>
    </xdr:from>
    <xdr:to>
      <xdr:col>42</xdr:col>
      <xdr:colOff>1056124</xdr:colOff>
      <xdr:row>32</xdr:row>
      <xdr:rowOff>79376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4924DF66-93EC-4637-ADF7-92B1EA202BD5}"/>
            </a:ext>
          </a:extLst>
        </xdr:cNvPr>
        <xdr:cNvCxnSpPr>
          <a:cxnSpLocks/>
        </xdr:cNvCxnSpPr>
      </xdr:nvCxnSpPr>
      <xdr:spPr>
        <a:xfrm flipV="1">
          <a:off x="28992512" y="4886325"/>
          <a:ext cx="208641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871537</xdr:colOff>
      <xdr:row>46</xdr:row>
      <xdr:rowOff>41539</xdr:rowOff>
    </xdr:from>
    <xdr:ext cx="192088" cy="192088"/>
    <xdr:pic>
      <xdr:nvPicPr>
        <xdr:cNvPr id="41" name="Imagen 40">
          <a:extLst>
            <a:ext uri="{FF2B5EF4-FFF2-40B4-BE49-F238E27FC236}">
              <a16:creationId xmlns:a16="http://schemas.microsoft.com/office/drawing/2014/main" id="{923C712D-D528-4DD4-A52A-9A896674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94337" y="735673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515937</xdr:colOff>
      <xdr:row>46</xdr:row>
      <xdr:rowOff>23812</xdr:rowOff>
    </xdr:from>
    <xdr:ext cx="192088" cy="192088"/>
    <xdr:pic>
      <xdr:nvPicPr>
        <xdr:cNvPr id="42" name="Imagen 41">
          <a:extLst>
            <a:ext uri="{FF2B5EF4-FFF2-40B4-BE49-F238E27FC236}">
              <a16:creationId xmlns:a16="http://schemas.microsoft.com/office/drawing/2014/main" id="{C2D0CF9E-DE70-456F-9FF1-2A6565AF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0" y="742950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563562</xdr:colOff>
      <xdr:row>46</xdr:row>
      <xdr:rowOff>55562</xdr:rowOff>
    </xdr:from>
    <xdr:ext cx="192088" cy="192088"/>
    <xdr:pic>
      <xdr:nvPicPr>
        <xdr:cNvPr id="43" name="Imagen 42">
          <a:extLst>
            <a:ext uri="{FF2B5EF4-FFF2-40B4-BE49-F238E27FC236}">
              <a16:creationId xmlns:a16="http://schemas.microsoft.com/office/drawing/2014/main" id="{89E5C124-288B-4F73-ADAB-8F44C5BC5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22875" y="730250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571500</xdr:colOff>
      <xdr:row>45</xdr:row>
      <xdr:rowOff>39688</xdr:rowOff>
    </xdr:from>
    <xdr:ext cx="192088" cy="192088"/>
    <xdr:pic>
      <xdr:nvPicPr>
        <xdr:cNvPr id="44" name="Imagen 43">
          <a:extLst>
            <a:ext uri="{FF2B5EF4-FFF2-40B4-BE49-F238E27FC236}">
              <a16:creationId xmlns:a16="http://schemas.microsoft.com/office/drawing/2014/main" id="{E73F46F9-D006-45D7-9013-23906A3E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37875" y="7231063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5043-84A4-44F2-AFBF-E9BBFB9805F8}">
  <sheetPr>
    <outlinePr summaryBelow="0"/>
    <pageSetUpPr autoPageBreaks="0"/>
  </sheetPr>
  <dimension ref="A1:R78"/>
  <sheetViews>
    <sheetView showGridLines="0" tabSelected="1" zoomScale="80" zoomScaleNormal="80" workbookViewId="0">
      <selection activeCell="I7" sqref="I7"/>
    </sheetView>
  </sheetViews>
  <sheetFormatPr baseColWidth="10" defaultColWidth="6.81640625" defaultRowHeight="12.75" customHeight="1"/>
  <cols>
    <col min="1" max="1" width="6.1796875" style="4" bestFit="1" customWidth="1"/>
    <col min="2" max="2" width="15.453125" style="4" customWidth="1"/>
    <col min="3" max="3" width="18.453125" style="4" customWidth="1"/>
    <col min="4" max="4" width="15.1796875" style="4" bestFit="1" customWidth="1"/>
    <col min="5" max="5" width="14" style="4" customWidth="1"/>
    <col min="6" max="6" width="12.08984375" style="4" bestFit="1" customWidth="1"/>
    <col min="7" max="7" width="10.1796875" style="4" bestFit="1" customWidth="1"/>
    <col min="8" max="8" width="12.1796875" style="4" bestFit="1" customWidth="1"/>
    <col min="9" max="9" width="22" style="4" customWidth="1"/>
    <col min="10" max="10" width="15" bestFit="1" customWidth="1"/>
    <col min="11" max="11" width="13.7265625" style="4" bestFit="1" customWidth="1"/>
    <col min="12" max="12" width="13.1796875" style="4" customWidth="1"/>
    <col min="13" max="14" width="9.1796875" style="4" bestFit="1" customWidth="1"/>
    <col min="15" max="15" width="7.81640625" style="4" bestFit="1" customWidth="1"/>
    <col min="16" max="16" width="14.453125" style="4" customWidth="1"/>
    <col min="17" max="19" width="12" style="4" customWidth="1"/>
    <col min="20" max="256" width="6.81640625" style="4"/>
    <col min="257" max="257" width="11.54296875" style="4" bestFit="1" customWidth="1"/>
    <col min="258" max="258" width="59.81640625" style="4" bestFit="1" customWidth="1"/>
    <col min="259" max="259" width="15.1796875" style="4" bestFit="1" customWidth="1"/>
    <col min="260" max="260" width="8.453125" style="4" bestFit="1" customWidth="1"/>
    <col min="261" max="261" width="11.81640625" style="4" bestFit="1" customWidth="1"/>
    <col min="262" max="262" width="8.81640625" style="4" bestFit="1" customWidth="1"/>
    <col min="263" max="263" width="11.81640625" style="4" bestFit="1" customWidth="1"/>
    <col min="264" max="265" width="17.1796875" style="4" customWidth="1"/>
    <col min="266" max="266" width="8.81640625" style="4" bestFit="1" customWidth="1"/>
    <col min="267" max="267" width="13.1796875" style="4" customWidth="1"/>
    <col min="268" max="270" width="6.81640625" style="4"/>
    <col min="271" max="274" width="12" style="4" customWidth="1"/>
    <col min="275" max="512" width="6.81640625" style="4"/>
    <col min="513" max="513" width="11.54296875" style="4" bestFit="1" customWidth="1"/>
    <col min="514" max="514" width="59.81640625" style="4" bestFit="1" customWidth="1"/>
    <col min="515" max="515" width="15.1796875" style="4" bestFit="1" customWidth="1"/>
    <col min="516" max="516" width="8.453125" style="4" bestFit="1" customWidth="1"/>
    <col min="517" max="517" width="11.81640625" style="4" bestFit="1" customWidth="1"/>
    <col min="518" max="518" width="8.81640625" style="4" bestFit="1" customWidth="1"/>
    <col min="519" max="519" width="11.81640625" style="4" bestFit="1" customWidth="1"/>
    <col min="520" max="521" width="17.1796875" style="4" customWidth="1"/>
    <col min="522" max="522" width="8.81640625" style="4" bestFit="1" customWidth="1"/>
    <col min="523" max="523" width="13.1796875" style="4" customWidth="1"/>
    <col min="524" max="526" width="6.81640625" style="4"/>
    <col min="527" max="530" width="12" style="4" customWidth="1"/>
    <col min="531" max="768" width="6.81640625" style="4"/>
    <col min="769" max="769" width="11.54296875" style="4" bestFit="1" customWidth="1"/>
    <col min="770" max="770" width="59.81640625" style="4" bestFit="1" customWidth="1"/>
    <col min="771" max="771" width="15.1796875" style="4" bestFit="1" customWidth="1"/>
    <col min="772" max="772" width="8.453125" style="4" bestFit="1" customWidth="1"/>
    <col min="773" max="773" width="11.81640625" style="4" bestFit="1" customWidth="1"/>
    <col min="774" max="774" width="8.81640625" style="4" bestFit="1" customWidth="1"/>
    <col min="775" max="775" width="11.81640625" style="4" bestFit="1" customWidth="1"/>
    <col min="776" max="777" width="17.1796875" style="4" customWidth="1"/>
    <col min="778" max="778" width="8.81640625" style="4" bestFit="1" customWidth="1"/>
    <col min="779" max="779" width="13.1796875" style="4" customWidth="1"/>
    <col min="780" max="782" width="6.81640625" style="4"/>
    <col min="783" max="786" width="12" style="4" customWidth="1"/>
    <col min="787" max="1024" width="6.81640625" style="4"/>
    <col min="1025" max="1025" width="11.54296875" style="4" bestFit="1" customWidth="1"/>
    <col min="1026" max="1026" width="59.81640625" style="4" bestFit="1" customWidth="1"/>
    <col min="1027" max="1027" width="15.1796875" style="4" bestFit="1" customWidth="1"/>
    <col min="1028" max="1028" width="8.453125" style="4" bestFit="1" customWidth="1"/>
    <col min="1029" max="1029" width="11.81640625" style="4" bestFit="1" customWidth="1"/>
    <col min="1030" max="1030" width="8.81640625" style="4" bestFit="1" customWidth="1"/>
    <col min="1031" max="1031" width="11.81640625" style="4" bestFit="1" customWidth="1"/>
    <col min="1032" max="1033" width="17.1796875" style="4" customWidth="1"/>
    <col min="1034" max="1034" width="8.81640625" style="4" bestFit="1" customWidth="1"/>
    <col min="1035" max="1035" width="13.1796875" style="4" customWidth="1"/>
    <col min="1036" max="1038" width="6.81640625" style="4"/>
    <col min="1039" max="1042" width="12" style="4" customWidth="1"/>
    <col min="1043" max="1280" width="6.81640625" style="4"/>
    <col min="1281" max="1281" width="11.54296875" style="4" bestFit="1" customWidth="1"/>
    <col min="1282" max="1282" width="59.81640625" style="4" bestFit="1" customWidth="1"/>
    <col min="1283" max="1283" width="15.1796875" style="4" bestFit="1" customWidth="1"/>
    <col min="1284" max="1284" width="8.453125" style="4" bestFit="1" customWidth="1"/>
    <col min="1285" max="1285" width="11.81640625" style="4" bestFit="1" customWidth="1"/>
    <col min="1286" max="1286" width="8.81640625" style="4" bestFit="1" customWidth="1"/>
    <col min="1287" max="1287" width="11.81640625" style="4" bestFit="1" customWidth="1"/>
    <col min="1288" max="1289" width="17.1796875" style="4" customWidth="1"/>
    <col min="1290" max="1290" width="8.81640625" style="4" bestFit="1" customWidth="1"/>
    <col min="1291" max="1291" width="13.1796875" style="4" customWidth="1"/>
    <col min="1292" max="1294" width="6.81640625" style="4"/>
    <col min="1295" max="1298" width="12" style="4" customWidth="1"/>
    <col min="1299" max="1536" width="6.81640625" style="4"/>
    <col min="1537" max="1537" width="11.54296875" style="4" bestFit="1" customWidth="1"/>
    <col min="1538" max="1538" width="59.81640625" style="4" bestFit="1" customWidth="1"/>
    <col min="1539" max="1539" width="15.1796875" style="4" bestFit="1" customWidth="1"/>
    <col min="1540" max="1540" width="8.453125" style="4" bestFit="1" customWidth="1"/>
    <col min="1541" max="1541" width="11.81640625" style="4" bestFit="1" customWidth="1"/>
    <col min="1542" max="1542" width="8.81640625" style="4" bestFit="1" customWidth="1"/>
    <col min="1543" max="1543" width="11.81640625" style="4" bestFit="1" customWidth="1"/>
    <col min="1544" max="1545" width="17.1796875" style="4" customWidth="1"/>
    <col min="1546" max="1546" width="8.81640625" style="4" bestFit="1" customWidth="1"/>
    <col min="1547" max="1547" width="13.1796875" style="4" customWidth="1"/>
    <col min="1548" max="1550" width="6.81640625" style="4"/>
    <col min="1551" max="1554" width="12" style="4" customWidth="1"/>
    <col min="1555" max="1792" width="6.81640625" style="4"/>
    <col min="1793" max="1793" width="11.54296875" style="4" bestFit="1" customWidth="1"/>
    <col min="1794" max="1794" width="59.81640625" style="4" bestFit="1" customWidth="1"/>
    <col min="1795" max="1795" width="15.1796875" style="4" bestFit="1" customWidth="1"/>
    <col min="1796" max="1796" width="8.453125" style="4" bestFit="1" customWidth="1"/>
    <col min="1797" max="1797" width="11.81640625" style="4" bestFit="1" customWidth="1"/>
    <col min="1798" max="1798" width="8.81640625" style="4" bestFit="1" customWidth="1"/>
    <col min="1799" max="1799" width="11.81640625" style="4" bestFit="1" customWidth="1"/>
    <col min="1800" max="1801" width="17.1796875" style="4" customWidth="1"/>
    <col min="1802" max="1802" width="8.81640625" style="4" bestFit="1" customWidth="1"/>
    <col min="1803" max="1803" width="13.1796875" style="4" customWidth="1"/>
    <col min="1804" max="1806" width="6.81640625" style="4"/>
    <col min="1807" max="1810" width="12" style="4" customWidth="1"/>
    <col min="1811" max="2048" width="6.81640625" style="4"/>
    <col min="2049" max="2049" width="11.54296875" style="4" bestFit="1" customWidth="1"/>
    <col min="2050" max="2050" width="59.81640625" style="4" bestFit="1" customWidth="1"/>
    <col min="2051" max="2051" width="15.1796875" style="4" bestFit="1" customWidth="1"/>
    <col min="2052" max="2052" width="8.453125" style="4" bestFit="1" customWidth="1"/>
    <col min="2053" max="2053" width="11.81640625" style="4" bestFit="1" customWidth="1"/>
    <col min="2054" max="2054" width="8.81640625" style="4" bestFit="1" customWidth="1"/>
    <col min="2055" max="2055" width="11.81640625" style="4" bestFit="1" customWidth="1"/>
    <col min="2056" max="2057" width="17.1796875" style="4" customWidth="1"/>
    <col min="2058" max="2058" width="8.81640625" style="4" bestFit="1" customWidth="1"/>
    <col min="2059" max="2059" width="13.1796875" style="4" customWidth="1"/>
    <col min="2060" max="2062" width="6.81640625" style="4"/>
    <col min="2063" max="2066" width="12" style="4" customWidth="1"/>
    <col min="2067" max="2304" width="6.81640625" style="4"/>
    <col min="2305" max="2305" width="11.54296875" style="4" bestFit="1" customWidth="1"/>
    <col min="2306" max="2306" width="59.81640625" style="4" bestFit="1" customWidth="1"/>
    <col min="2307" max="2307" width="15.1796875" style="4" bestFit="1" customWidth="1"/>
    <col min="2308" max="2308" width="8.453125" style="4" bestFit="1" customWidth="1"/>
    <col min="2309" max="2309" width="11.81640625" style="4" bestFit="1" customWidth="1"/>
    <col min="2310" max="2310" width="8.81640625" style="4" bestFit="1" customWidth="1"/>
    <col min="2311" max="2311" width="11.81640625" style="4" bestFit="1" customWidth="1"/>
    <col min="2312" max="2313" width="17.1796875" style="4" customWidth="1"/>
    <col min="2314" max="2314" width="8.81640625" style="4" bestFit="1" customWidth="1"/>
    <col min="2315" max="2315" width="13.1796875" style="4" customWidth="1"/>
    <col min="2316" max="2318" width="6.81640625" style="4"/>
    <col min="2319" max="2322" width="12" style="4" customWidth="1"/>
    <col min="2323" max="2560" width="6.81640625" style="4"/>
    <col min="2561" max="2561" width="11.54296875" style="4" bestFit="1" customWidth="1"/>
    <col min="2562" max="2562" width="59.81640625" style="4" bestFit="1" customWidth="1"/>
    <col min="2563" max="2563" width="15.1796875" style="4" bestFit="1" customWidth="1"/>
    <col min="2564" max="2564" width="8.453125" style="4" bestFit="1" customWidth="1"/>
    <col min="2565" max="2565" width="11.81640625" style="4" bestFit="1" customWidth="1"/>
    <col min="2566" max="2566" width="8.81640625" style="4" bestFit="1" customWidth="1"/>
    <col min="2567" max="2567" width="11.81640625" style="4" bestFit="1" customWidth="1"/>
    <col min="2568" max="2569" width="17.1796875" style="4" customWidth="1"/>
    <col min="2570" max="2570" width="8.81640625" style="4" bestFit="1" customWidth="1"/>
    <col min="2571" max="2571" width="13.1796875" style="4" customWidth="1"/>
    <col min="2572" max="2574" width="6.81640625" style="4"/>
    <col min="2575" max="2578" width="12" style="4" customWidth="1"/>
    <col min="2579" max="2816" width="6.81640625" style="4"/>
    <col min="2817" max="2817" width="11.54296875" style="4" bestFit="1" customWidth="1"/>
    <col min="2818" max="2818" width="59.81640625" style="4" bestFit="1" customWidth="1"/>
    <col min="2819" max="2819" width="15.1796875" style="4" bestFit="1" customWidth="1"/>
    <col min="2820" max="2820" width="8.453125" style="4" bestFit="1" customWidth="1"/>
    <col min="2821" max="2821" width="11.81640625" style="4" bestFit="1" customWidth="1"/>
    <col min="2822" max="2822" width="8.81640625" style="4" bestFit="1" customWidth="1"/>
    <col min="2823" max="2823" width="11.81640625" style="4" bestFit="1" customWidth="1"/>
    <col min="2824" max="2825" width="17.1796875" style="4" customWidth="1"/>
    <col min="2826" max="2826" width="8.81640625" style="4" bestFit="1" customWidth="1"/>
    <col min="2827" max="2827" width="13.1796875" style="4" customWidth="1"/>
    <col min="2828" max="2830" width="6.81640625" style="4"/>
    <col min="2831" max="2834" width="12" style="4" customWidth="1"/>
    <col min="2835" max="3072" width="6.81640625" style="4"/>
    <col min="3073" max="3073" width="11.54296875" style="4" bestFit="1" customWidth="1"/>
    <col min="3074" max="3074" width="59.81640625" style="4" bestFit="1" customWidth="1"/>
    <col min="3075" max="3075" width="15.1796875" style="4" bestFit="1" customWidth="1"/>
    <col min="3076" max="3076" width="8.453125" style="4" bestFit="1" customWidth="1"/>
    <col min="3077" max="3077" width="11.81640625" style="4" bestFit="1" customWidth="1"/>
    <col min="3078" max="3078" width="8.81640625" style="4" bestFit="1" customWidth="1"/>
    <col min="3079" max="3079" width="11.81640625" style="4" bestFit="1" customWidth="1"/>
    <col min="3080" max="3081" width="17.1796875" style="4" customWidth="1"/>
    <col min="3082" max="3082" width="8.81640625" style="4" bestFit="1" customWidth="1"/>
    <col min="3083" max="3083" width="13.1796875" style="4" customWidth="1"/>
    <col min="3084" max="3086" width="6.81640625" style="4"/>
    <col min="3087" max="3090" width="12" style="4" customWidth="1"/>
    <col min="3091" max="3328" width="6.81640625" style="4"/>
    <col min="3329" max="3329" width="11.54296875" style="4" bestFit="1" customWidth="1"/>
    <col min="3330" max="3330" width="59.81640625" style="4" bestFit="1" customWidth="1"/>
    <col min="3331" max="3331" width="15.1796875" style="4" bestFit="1" customWidth="1"/>
    <col min="3332" max="3332" width="8.453125" style="4" bestFit="1" customWidth="1"/>
    <col min="3333" max="3333" width="11.81640625" style="4" bestFit="1" customWidth="1"/>
    <col min="3334" max="3334" width="8.81640625" style="4" bestFit="1" customWidth="1"/>
    <col min="3335" max="3335" width="11.81640625" style="4" bestFit="1" customWidth="1"/>
    <col min="3336" max="3337" width="17.1796875" style="4" customWidth="1"/>
    <col min="3338" max="3338" width="8.81640625" style="4" bestFit="1" customWidth="1"/>
    <col min="3339" max="3339" width="13.1796875" style="4" customWidth="1"/>
    <col min="3340" max="3342" width="6.81640625" style="4"/>
    <col min="3343" max="3346" width="12" style="4" customWidth="1"/>
    <col min="3347" max="3584" width="6.81640625" style="4"/>
    <col min="3585" max="3585" width="11.54296875" style="4" bestFit="1" customWidth="1"/>
    <col min="3586" max="3586" width="59.81640625" style="4" bestFit="1" customWidth="1"/>
    <col min="3587" max="3587" width="15.1796875" style="4" bestFit="1" customWidth="1"/>
    <col min="3588" max="3588" width="8.453125" style="4" bestFit="1" customWidth="1"/>
    <col min="3589" max="3589" width="11.81640625" style="4" bestFit="1" customWidth="1"/>
    <col min="3590" max="3590" width="8.81640625" style="4" bestFit="1" customWidth="1"/>
    <col min="3591" max="3591" width="11.81640625" style="4" bestFit="1" customWidth="1"/>
    <col min="3592" max="3593" width="17.1796875" style="4" customWidth="1"/>
    <col min="3594" max="3594" width="8.81640625" style="4" bestFit="1" customWidth="1"/>
    <col min="3595" max="3595" width="13.1796875" style="4" customWidth="1"/>
    <col min="3596" max="3598" width="6.81640625" style="4"/>
    <col min="3599" max="3602" width="12" style="4" customWidth="1"/>
    <col min="3603" max="3840" width="6.81640625" style="4"/>
    <col min="3841" max="3841" width="11.54296875" style="4" bestFit="1" customWidth="1"/>
    <col min="3842" max="3842" width="59.81640625" style="4" bestFit="1" customWidth="1"/>
    <col min="3843" max="3843" width="15.1796875" style="4" bestFit="1" customWidth="1"/>
    <col min="3844" max="3844" width="8.453125" style="4" bestFit="1" customWidth="1"/>
    <col min="3845" max="3845" width="11.81640625" style="4" bestFit="1" customWidth="1"/>
    <col min="3846" max="3846" width="8.81640625" style="4" bestFit="1" customWidth="1"/>
    <col min="3847" max="3847" width="11.81640625" style="4" bestFit="1" customWidth="1"/>
    <col min="3848" max="3849" width="17.1796875" style="4" customWidth="1"/>
    <col min="3850" max="3850" width="8.81640625" style="4" bestFit="1" customWidth="1"/>
    <col min="3851" max="3851" width="13.1796875" style="4" customWidth="1"/>
    <col min="3852" max="3854" width="6.81640625" style="4"/>
    <col min="3855" max="3858" width="12" style="4" customWidth="1"/>
    <col min="3859" max="4096" width="6.81640625" style="4"/>
    <col min="4097" max="4097" width="11.54296875" style="4" bestFit="1" customWidth="1"/>
    <col min="4098" max="4098" width="59.81640625" style="4" bestFit="1" customWidth="1"/>
    <col min="4099" max="4099" width="15.1796875" style="4" bestFit="1" customWidth="1"/>
    <col min="4100" max="4100" width="8.453125" style="4" bestFit="1" customWidth="1"/>
    <col min="4101" max="4101" width="11.81640625" style="4" bestFit="1" customWidth="1"/>
    <col min="4102" max="4102" width="8.81640625" style="4" bestFit="1" customWidth="1"/>
    <col min="4103" max="4103" width="11.81640625" style="4" bestFit="1" customWidth="1"/>
    <col min="4104" max="4105" width="17.1796875" style="4" customWidth="1"/>
    <col min="4106" max="4106" width="8.81640625" style="4" bestFit="1" customWidth="1"/>
    <col min="4107" max="4107" width="13.1796875" style="4" customWidth="1"/>
    <col min="4108" max="4110" width="6.81640625" style="4"/>
    <col min="4111" max="4114" width="12" style="4" customWidth="1"/>
    <col min="4115" max="4352" width="6.81640625" style="4"/>
    <col min="4353" max="4353" width="11.54296875" style="4" bestFit="1" customWidth="1"/>
    <col min="4354" max="4354" width="59.81640625" style="4" bestFit="1" customWidth="1"/>
    <col min="4355" max="4355" width="15.1796875" style="4" bestFit="1" customWidth="1"/>
    <col min="4356" max="4356" width="8.453125" style="4" bestFit="1" customWidth="1"/>
    <col min="4357" max="4357" width="11.81640625" style="4" bestFit="1" customWidth="1"/>
    <col min="4358" max="4358" width="8.81640625" style="4" bestFit="1" customWidth="1"/>
    <col min="4359" max="4359" width="11.81640625" style="4" bestFit="1" customWidth="1"/>
    <col min="4360" max="4361" width="17.1796875" style="4" customWidth="1"/>
    <col min="4362" max="4362" width="8.81640625" style="4" bestFit="1" customWidth="1"/>
    <col min="4363" max="4363" width="13.1796875" style="4" customWidth="1"/>
    <col min="4364" max="4366" width="6.81640625" style="4"/>
    <col min="4367" max="4370" width="12" style="4" customWidth="1"/>
    <col min="4371" max="4608" width="6.81640625" style="4"/>
    <col min="4609" max="4609" width="11.54296875" style="4" bestFit="1" customWidth="1"/>
    <col min="4610" max="4610" width="59.81640625" style="4" bestFit="1" customWidth="1"/>
    <col min="4611" max="4611" width="15.1796875" style="4" bestFit="1" customWidth="1"/>
    <col min="4612" max="4612" width="8.453125" style="4" bestFit="1" customWidth="1"/>
    <col min="4613" max="4613" width="11.81640625" style="4" bestFit="1" customWidth="1"/>
    <col min="4614" max="4614" width="8.81640625" style="4" bestFit="1" customWidth="1"/>
    <col min="4615" max="4615" width="11.81640625" style="4" bestFit="1" customWidth="1"/>
    <col min="4616" max="4617" width="17.1796875" style="4" customWidth="1"/>
    <col min="4618" max="4618" width="8.81640625" style="4" bestFit="1" customWidth="1"/>
    <col min="4619" max="4619" width="13.1796875" style="4" customWidth="1"/>
    <col min="4620" max="4622" width="6.81640625" style="4"/>
    <col min="4623" max="4626" width="12" style="4" customWidth="1"/>
    <col min="4627" max="4864" width="6.81640625" style="4"/>
    <col min="4865" max="4865" width="11.54296875" style="4" bestFit="1" customWidth="1"/>
    <col min="4866" max="4866" width="59.81640625" style="4" bestFit="1" customWidth="1"/>
    <col min="4867" max="4867" width="15.1796875" style="4" bestFit="1" customWidth="1"/>
    <col min="4868" max="4868" width="8.453125" style="4" bestFit="1" customWidth="1"/>
    <col min="4869" max="4869" width="11.81640625" style="4" bestFit="1" customWidth="1"/>
    <col min="4870" max="4870" width="8.81640625" style="4" bestFit="1" customWidth="1"/>
    <col min="4871" max="4871" width="11.81640625" style="4" bestFit="1" customWidth="1"/>
    <col min="4872" max="4873" width="17.1796875" style="4" customWidth="1"/>
    <col min="4874" max="4874" width="8.81640625" style="4" bestFit="1" customWidth="1"/>
    <col min="4875" max="4875" width="13.1796875" style="4" customWidth="1"/>
    <col min="4876" max="4878" width="6.81640625" style="4"/>
    <col min="4879" max="4882" width="12" style="4" customWidth="1"/>
    <col min="4883" max="5120" width="6.81640625" style="4"/>
    <col min="5121" max="5121" width="11.54296875" style="4" bestFit="1" customWidth="1"/>
    <col min="5122" max="5122" width="59.81640625" style="4" bestFit="1" customWidth="1"/>
    <col min="5123" max="5123" width="15.1796875" style="4" bestFit="1" customWidth="1"/>
    <col min="5124" max="5124" width="8.453125" style="4" bestFit="1" customWidth="1"/>
    <col min="5125" max="5125" width="11.81640625" style="4" bestFit="1" customWidth="1"/>
    <col min="5126" max="5126" width="8.81640625" style="4" bestFit="1" customWidth="1"/>
    <col min="5127" max="5127" width="11.81640625" style="4" bestFit="1" customWidth="1"/>
    <col min="5128" max="5129" width="17.1796875" style="4" customWidth="1"/>
    <col min="5130" max="5130" width="8.81640625" style="4" bestFit="1" customWidth="1"/>
    <col min="5131" max="5131" width="13.1796875" style="4" customWidth="1"/>
    <col min="5132" max="5134" width="6.81640625" style="4"/>
    <col min="5135" max="5138" width="12" style="4" customWidth="1"/>
    <col min="5139" max="5376" width="6.81640625" style="4"/>
    <col min="5377" max="5377" width="11.54296875" style="4" bestFit="1" customWidth="1"/>
    <col min="5378" max="5378" width="59.81640625" style="4" bestFit="1" customWidth="1"/>
    <col min="5379" max="5379" width="15.1796875" style="4" bestFit="1" customWidth="1"/>
    <col min="5380" max="5380" width="8.453125" style="4" bestFit="1" customWidth="1"/>
    <col min="5381" max="5381" width="11.81640625" style="4" bestFit="1" customWidth="1"/>
    <col min="5382" max="5382" width="8.81640625" style="4" bestFit="1" customWidth="1"/>
    <col min="5383" max="5383" width="11.81640625" style="4" bestFit="1" customWidth="1"/>
    <col min="5384" max="5385" width="17.1796875" style="4" customWidth="1"/>
    <col min="5386" max="5386" width="8.81640625" style="4" bestFit="1" customWidth="1"/>
    <col min="5387" max="5387" width="13.1796875" style="4" customWidth="1"/>
    <col min="5388" max="5390" width="6.81640625" style="4"/>
    <col min="5391" max="5394" width="12" style="4" customWidth="1"/>
    <col min="5395" max="5632" width="6.81640625" style="4"/>
    <col min="5633" max="5633" width="11.54296875" style="4" bestFit="1" customWidth="1"/>
    <col min="5634" max="5634" width="59.81640625" style="4" bestFit="1" customWidth="1"/>
    <col min="5635" max="5635" width="15.1796875" style="4" bestFit="1" customWidth="1"/>
    <col min="5636" max="5636" width="8.453125" style="4" bestFit="1" customWidth="1"/>
    <col min="5637" max="5637" width="11.81640625" style="4" bestFit="1" customWidth="1"/>
    <col min="5638" max="5638" width="8.81640625" style="4" bestFit="1" customWidth="1"/>
    <col min="5639" max="5639" width="11.81640625" style="4" bestFit="1" customWidth="1"/>
    <col min="5640" max="5641" width="17.1796875" style="4" customWidth="1"/>
    <col min="5642" max="5642" width="8.81640625" style="4" bestFit="1" customWidth="1"/>
    <col min="5643" max="5643" width="13.1796875" style="4" customWidth="1"/>
    <col min="5644" max="5646" width="6.81640625" style="4"/>
    <col min="5647" max="5650" width="12" style="4" customWidth="1"/>
    <col min="5651" max="5888" width="6.81640625" style="4"/>
    <col min="5889" max="5889" width="11.54296875" style="4" bestFit="1" customWidth="1"/>
    <col min="5890" max="5890" width="59.81640625" style="4" bestFit="1" customWidth="1"/>
    <col min="5891" max="5891" width="15.1796875" style="4" bestFit="1" customWidth="1"/>
    <col min="5892" max="5892" width="8.453125" style="4" bestFit="1" customWidth="1"/>
    <col min="5893" max="5893" width="11.81640625" style="4" bestFit="1" customWidth="1"/>
    <col min="5894" max="5894" width="8.81640625" style="4" bestFit="1" customWidth="1"/>
    <col min="5895" max="5895" width="11.81640625" style="4" bestFit="1" customWidth="1"/>
    <col min="5896" max="5897" width="17.1796875" style="4" customWidth="1"/>
    <col min="5898" max="5898" width="8.81640625" style="4" bestFit="1" customWidth="1"/>
    <col min="5899" max="5899" width="13.1796875" style="4" customWidth="1"/>
    <col min="5900" max="5902" width="6.81640625" style="4"/>
    <col min="5903" max="5906" width="12" style="4" customWidth="1"/>
    <col min="5907" max="6144" width="6.81640625" style="4"/>
    <col min="6145" max="6145" width="11.54296875" style="4" bestFit="1" customWidth="1"/>
    <col min="6146" max="6146" width="59.81640625" style="4" bestFit="1" customWidth="1"/>
    <col min="6147" max="6147" width="15.1796875" style="4" bestFit="1" customWidth="1"/>
    <col min="6148" max="6148" width="8.453125" style="4" bestFit="1" customWidth="1"/>
    <col min="6149" max="6149" width="11.81640625" style="4" bestFit="1" customWidth="1"/>
    <col min="6150" max="6150" width="8.81640625" style="4" bestFit="1" customWidth="1"/>
    <col min="6151" max="6151" width="11.81640625" style="4" bestFit="1" customWidth="1"/>
    <col min="6152" max="6153" width="17.1796875" style="4" customWidth="1"/>
    <col min="6154" max="6154" width="8.81640625" style="4" bestFit="1" customWidth="1"/>
    <col min="6155" max="6155" width="13.1796875" style="4" customWidth="1"/>
    <col min="6156" max="6158" width="6.81640625" style="4"/>
    <col min="6159" max="6162" width="12" style="4" customWidth="1"/>
    <col min="6163" max="6400" width="6.81640625" style="4"/>
    <col min="6401" max="6401" width="11.54296875" style="4" bestFit="1" customWidth="1"/>
    <col min="6402" max="6402" width="59.81640625" style="4" bestFit="1" customWidth="1"/>
    <col min="6403" max="6403" width="15.1796875" style="4" bestFit="1" customWidth="1"/>
    <col min="6404" max="6404" width="8.453125" style="4" bestFit="1" customWidth="1"/>
    <col min="6405" max="6405" width="11.81640625" style="4" bestFit="1" customWidth="1"/>
    <col min="6406" max="6406" width="8.81640625" style="4" bestFit="1" customWidth="1"/>
    <col min="6407" max="6407" width="11.81640625" style="4" bestFit="1" customWidth="1"/>
    <col min="6408" max="6409" width="17.1796875" style="4" customWidth="1"/>
    <col min="6410" max="6410" width="8.81640625" style="4" bestFit="1" customWidth="1"/>
    <col min="6411" max="6411" width="13.1796875" style="4" customWidth="1"/>
    <col min="6412" max="6414" width="6.81640625" style="4"/>
    <col min="6415" max="6418" width="12" style="4" customWidth="1"/>
    <col min="6419" max="6656" width="6.81640625" style="4"/>
    <col min="6657" max="6657" width="11.54296875" style="4" bestFit="1" customWidth="1"/>
    <col min="6658" max="6658" width="59.81640625" style="4" bestFit="1" customWidth="1"/>
    <col min="6659" max="6659" width="15.1796875" style="4" bestFit="1" customWidth="1"/>
    <col min="6660" max="6660" width="8.453125" style="4" bestFit="1" customWidth="1"/>
    <col min="6661" max="6661" width="11.81640625" style="4" bestFit="1" customWidth="1"/>
    <col min="6662" max="6662" width="8.81640625" style="4" bestFit="1" customWidth="1"/>
    <col min="6663" max="6663" width="11.81640625" style="4" bestFit="1" customWidth="1"/>
    <col min="6664" max="6665" width="17.1796875" style="4" customWidth="1"/>
    <col min="6666" max="6666" width="8.81640625" style="4" bestFit="1" customWidth="1"/>
    <col min="6667" max="6667" width="13.1796875" style="4" customWidth="1"/>
    <col min="6668" max="6670" width="6.81640625" style="4"/>
    <col min="6671" max="6674" width="12" style="4" customWidth="1"/>
    <col min="6675" max="6912" width="6.81640625" style="4"/>
    <col min="6913" max="6913" width="11.54296875" style="4" bestFit="1" customWidth="1"/>
    <col min="6914" max="6914" width="59.81640625" style="4" bestFit="1" customWidth="1"/>
    <col min="6915" max="6915" width="15.1796875" style="4" bestFit="1" customWidth="1"/>
    <col min="6916" max="6916" width="8.453125" style="4" bestFit="1" customWidth="1"/>
    <col min="6917" max="6917" width="11.81640625" style="4" bestFit="1" customWidth="1"/>
    <col min="6918" max="6918" width="8.81640625" style="4" bestFit="1" customWidth="1"/>
    <col min="6919" max="6919" width="11.81640625" style="4" bestFit="1" customWidth="1"/>
    <col min="6920" max="6921" width="17.1796875" style="4" customWidth="1"/>
    <col min="6922" max="6922" width="8.81640625" style="4" bestFit="1" customWidth="1"/>
    <col min="6923" max="6923" width="13.1796875" style="4" customWidth="1"/>
    <col min="6924" max="6926" width="6.81640625" style="4"/>
    <col min="6927" max="6930" width="12" style="4" customWidth="1"/>
    <col min="6931" max="7168" width="6.81640625" style="4"/>
    <col min="7169" max="7169" width="11.54296875" style="4" bestFit="1" customWidth="1"/>
    <col min="7170" max="7170" width="59.81640625" style="4" bestFit="1" customWidth="1"/>
    <col min="7171" max="7171" width="15.1796875" style="4" bestFit="1" customWidth="1"/>
    <col min="7172" max="7172" width="8.453125" style="4" bestFit="1" customWidth="1"/>
    <col min="7173" max="7173" width="11.81640625" style="4" bestFit="1" customWidth="1"/>
    <col min="7174" max="7174" width="8.81640625" style="4" bestFit="1" customWidth="1"/>
    <col min="7175" max="7175" width="11.81640625" style="4" bestFit="1" customWidth="1"/>
    <col min="7176" max="7177" width="17.1796875" style="4" customWidth="1"/>
    <col min="7178" max="7178" width="8.81640625" style="4" bestFit="1" customWidth="1"/>
    <col min="7179" max="7179" width="13.1796875" style="4" customWidth="1"/>
    <col min="7180" max="7182" width="6.81640625" style="4"/>
    <col min="7183" max="7186" width="12" style="4" customWidth="1"/>
    <col min="7187" max="7424" width="6.81640625" style="4"/>
    <col min="7425" max="7425" width="11.54296875" style="4" bestFit="1" customWidth="1"/>
    <col min="7426" max="7426" width="59.81640625" style="4" bestFit="1" customWidth="1"/>
    <col min="7427" max="7427" width="15.1796875" style="4" bestFit="1" customWidth="1"/>
    <col min="7428" max="7428" width="8.453125" style="4" bestFit="1" customWidth="1"/>
    <col min="7429" max="7429" width="11.81640625" style="4" bestFit="1" customWidth="1"/>
    <col min="7430" max="7430" width="8.81640625" style="4" bestFit="1" customWidth="1"/>
    <col min="7431" max="7431" width="11.81640625" style="4" bestFit="1" customWidth="1"/>
    <col min="7432" max="7433" width="17.1796875" style="4" customWidth="1"/>
    <col min="7434" max="7434" width="8.81640625" style="4" bestFit="1" customWidth="1"/>
    <col min="7435" max="7435" width="13.1796875" style="4" customWidth="1"/>
    <col min="7436" max="7438" width="6.81640625" style="4"/>
    <col min="7439" max="7442" width="12" style="4" customWidth="1"/>
    <col min="7443" max="7680" width="6.81640625" style="4"/>
    <col min="7681" max="7681" width="11.54296875" style="4" bestFit="1" customWidth="1"/>
    <col min="7682" max="7682" width="59.81640625" style="4" bestFit="1" customWidth="1"/>
    <col min="7683" max="7683" width="15.1796875" style="4" bestFit="1" customWidth="1"/>
    <col min="7684" max="7684" width="8.453125" style="4" bestFit="1" customWidth="1"/>
    <col min="7685" max="7685" width="11.81640625" style="4" bestFit="1" customWidth="1"/>
    <col min="7686" max="7686" width="8.81640625" style="4" bestFit="1" customWidth="1"/>
    <col min="7687" max="7687" width="11.81640625" style="4" bestFit="1" customWidth="1"/>
    <col min="7688" max="7689" width="17.1796875" style="4" customWidth="1"/>
    <col min="7690" max="7690" width="8.81640625" style="4" bestFit="1" customWidth="1"/>
    <col min="7691" max="7691" width="13.1796875" style="4" customWidth="1"/>
    <col min="7692" max="7694" width="6.81640625" style="4"/>
    <col min="7695" max="7698" width="12" style="4" customWidth="1"/>
    <col min="7699" max="7936" width="6.81640625" style="4"/>
    <col min="7937" max="7937" width="11.54296875" style="4" bestFit="1" customWidth="1"/>
    <col min="7938" max="7938" width="59.81640625" style="4" bestFit="1" customWidth="1"/>
    <col min="7939" max="7939" width="15.1796875" style="4" bestFit="1" customWidth="1"/>
    <col min="7940" max="7940" width="8.453125" style="4" bestFit="1" customWidth="1"/>
    <col min="7941" max="7941" width="11.81640625" style="4" bestFit="1" customWidth="1"/>
    <col min="7942" max="7942" width="8.81640625" style="4" bestFit="1" customWidth="1"/>
    <col min="7943" max="7943" width="11.81640625" style="4" bestFit="1" customWidth="1"/>
    <col min="7944" max="7945" width="17.1796875" style="4" customWidth="1"/>
    <col min="7946" max="7946" width="8.81640625" style="4" bestFit="1" customWidth="1"/>
    <col min="7947" max="7947" width="13.1796875" style="4" customWidth="1"/>
    <col min="7948" max="7950" width="6.81640625" style="4"/>
    <col min="7951" max="7954" width="12" style="4" customWidth="1"/>
    <col min="7955" max="8192" width="6.81640625" style="4"/>
    <col min="8193" max="8193" width="11.54296875" style="4" bestFit="1" customWidth="1"/>
    <col min="8194" max="8194" width="59.81640625" style="4" bestFit="1" customWidth="1"/>
    <col min="8195" max="8195" width="15.1796875" style="4" bestFit="1" customWidth="1"/>
    <col min="8196" max="8196" width="8.453125" style="4" bestFit="1" customWidth="1"/>
    <col min="8197" max="8197" width="11.81640625" style="4" bestFit="1" customWidth="1"/>
    <col min="8198" max="8198" width="8.81640625" style="4" bestFit="1" customWidth="1"/>
    <col min="8199" max="8199" width="11.81640625" style="4" bestFit="1" customWidth="1"/>
    <col min="8200" max="8201" width="17.1796875" style="4" customWidth="1"/>
    <col min="8202" max="8202" width="8.81640625" style="4" bestFit="1" customWidth="1"/>
    <col min="8203" max="8203" width="13.1796875" style="4" customWidth="1"/>
    <col min="8204" max="8206" width="6.81640625" style="4"/>
    <col min="8207" max="8210" width="12" style="4" customWidth="1"/>
    <col min="8211" max="8448" width="6.81640625" style="4"/>
    <col min="8449" max="8449" width="11.54296875" style="4" bestFit="1" customWidth="1"/>
    <col min="8450" max="8450" width="59.81640625" style="4" bestFit="1" customWidth="1"/>
    <col min="8451" max="8451" width="15.1796875" style="4" bestFit="1" customWidth="1"/>
    <col min="8452" max="8452" width="8.453125" style="4" bestFit="1" customWidth="1"/>
    <col min="8453" max="8453" width="11.81640625" style="4" bestFit="1" customWidth="1"/>
    <col min="8454" max="8454" width="8.81640625" style="4" bestFit="1" customWidth="1"/>
    <col min="8455" max="8455" width="11.81640625" style="4" bestFit="1" customWidth="1"/>
    <col min="8456" max="8457" width="17.1796875" style="4" customWidth="1"/>
    <col min="8458" max="8458" width="8.81640625" style="4" bestFit="1" customWidth="1"/>
    <col min="8459" max="8459" width="13.1796875" style="4" customWidth="1"/>
    <col min="8460" max="8462" width="6.81640625" style="4"/>
    <col min="8463" max="8466" width="12" style="4" customWidth="1"/>
    <col min="8467" max="8704" width="6.81640625" style="4"/>
    <col min="8705" max="8705" width="11.54296875" style="4" bestFit="1" customWidth="1"/>
    <col min="8706" max="8706" width="59.81640625" style="4" bestFit="1" customWidth="1"/>
    <col min="8707" max="8707" width="15.1796875" style="4" bestFit="1" customWidth="1"/>
    <col min="8708" max="8708" width="8.453125" style="4" bestFit="1" customWidth="1"/>
    <col min="8709" max="8709" width="11.81640625" style="4" bestFit="1" customWidth="1"/>
    <col min="8710" max="8710" width="8.81640625" style="4" bestFit="1" customWidth="1"/>
    <col min="8711" max="8711" width="11.81640625" style="4" bestFit="1" customWidth="1"/>
    <col min="8712" max="8713" width="17.1796875" style="4" customWidth="1"/>
    <col min="8714" max="8714" width="8.81640625" style="4" bestFit="1" customWidth="1"/>
    <col min="8715" max="8715" width="13.1796875" style="4" customWidth="1"/>
    <col min="8716" max="8718" width="6.81640625" style="4"/>
    <col min="8719" max="8722" width="12" style="4" customWidth="1"/>
    <col min="8723" max="8960" width="6.81640625" style="4"/>
    <col min="8961" max="8961" width="11.54296875" style="4" bestFit="1" customWidth="1"/>
    <col min="8962" max="8962" width="59.81640625" style="4" bestFit="1" customWidth="1"/>
    <col min="8963" max="8963" width="15.1796875" style="4" bestFit="1" customWidth="1"/>
    <col min="8964" max="8964" width="8.453125" style="4" bestFit="1" customWidth="1"/>
    <col min="8965" max="8965" width="11.81640625" style="4" bestFit="1" customWidth="1"/>
    <col min="8966" max="8966" width="8.81640625" style="4" bestFit="1" customWidth="1"/>
    <col min="8967" max="8967" width="11.81640625" style="4" bestFit="1" customWidth="1"/>
    <col min="8968" max="8969" width="17.1796875" style="4" customWidth="1"/>
    <col min="8970" max="8970" width="8.81640625" style="4" bestFit="1" customWidth="1"/>
    <col min="8971" max="8971" width="13.1796875" style="4" customWidth="1"/>
    <col min="8972" max="8974" width="6.81640625" style="4"/>
    <col min="8975" max="8978" width="12" style="4" customWidth="1"/>
    <col min="8979" max="9216" width="6.81640625" style="4"/>
    <col min="9217" max="9217" width="11.54296875" style="4" bestFit="1" customWidth="1"/>
    <col min="9218" max="9218" width="59.81640625" style="4" bestFit="1" customWidth="1"/>
    <col min="9219" max="9219" width="15.1796875" style="4" bestFit="1" customWidth="1"/>
    <col min="9220" max="9220" width="8.453125" style="4" bestFit="1" customWidth="1"/>
    <col min="9221" max="9221" width="11.81640625" style="4" bestFit="1" customWidth="1"/>
    <col min="9222" max="9222" width="8.81640625" style="4" bestFit="1" customWidth="1"/>
    <col min="9223" max="9223" width="11.81640625" style="4" bestFit="1" customWidth="1"/>
    <col min="9224" max="9225" width="17.1796875" style="4" customWidth="1"/>
    <col min="9226" max="9226" width="8.81640625" style="4" bestFit="1" customWidth="1"/>
    <col min="9227" max="9227" width="13.1796875" style="4" customWidth="1"/>
    <col min="9228" max="9230" width="6.81640625" style="4"/>
    <col min="9231" max="9234" width="12" style="4" customWidth="1"/>
    <col min="9235" max="9472" width="6.81640625" style="4"/>
    <col min="9473" max="9473" width="11.54296875" style="4" bestFit="1" customWidth="1"/>
    <col min="9474" max="9474" width="59.81640625" style="4" bestFit="1" customWidth="1"/>
    <col min="9475" max="9475" width="15.1796875" style="4" bestFit="1" customWidth="1"/>
    <col min="9476" max="9476" width="8.453125" style="4" bestFit="1" customWidth="1"/>
    <col min="9477" max="9477" width="11.81640625" style="4" bestFit="1" customWidth="1"/>
    <col min="9478" max="9478" width="8.81640625" style="4" bestFit="1" customWidth="1"/>
    <col min="9479" max="9479" width="11.81640625" style="4" bestFit="1" customWidth="1"/>
    <col min="9480" max="9481" width="17.1796875" style="4" customWidth="1"/>
    <col min="9482" max="9482" width="8.81640625" style="4" bestFit="1" customWidth="1"/>
    <col min="9483" max="9483" width="13.1796875" style="4" customWidth="1"/>
    <col min="9484" max="9486" width="6.81640625" style="4"/>
    <col min="9487" max="9490" width="12" style="4" customWidth="1"/>
    <col min="9491" max="9728" width="6.81640625" style="4"/>
    <col min="9729" max="9729" width="11.54296875" style="4" bestFit="1" customWidth="1"/>
    <col min="9730" max="9730" width="59.81640625" style="4" bestFit="1" customWidth="1"/>
    <col min="9731" max="9731" width="15.1796875" style="4" bestFit="1" customWidth="1"/>
    <col min="9732" max="9732" width="8.453125" style="4" bestFit="1" customWidth="1"/>
    <col min="9733" max="9733" width="11.81640625" style="4" bestFit="1" customWidth="1"/>
    <col min="9734" max="9734" width="8.81640625" style="4" bestFit="1" customWidth="1"/>
    <col min="9735" max="9735" width="11.81640625" style="4" bestFit="1" customWidth="1"/>
    <col min="9736" max="9737" width="17.1796875" style="4" customWidth="1"/>
    <col min="9738" max="9738" width="8.81640625" style="4" bestFit="1" customWidth="1"/>
    <col min="9739" max="9739" width="13.1796875" style="4" customWidth="1"/>
    <col min="9740" max="9742" width="6.81640625" style="4"/>
    <col min="9743" max="9746" width="12" style="4" customWidth="1"/>
    <col min="9747" max="9984" width="6.81640625" style="4"/>
    <col min="9985" max="9985" width="11.54296875" style="4" bestFit="1" customWidth="1"/>
    <col min="9986" max="9986" width="59.81640625" style="4" bestFit="1" customWidth="1"/>
    <col min="9987" max="9987" width="15.1796875" style="4" bestFit="1" customWidth="1"/>
    <col min="9988" max="9988" width="8.453125" style="4" bestFit="1" customWidth="1"/>
    <col min="9989" max="9989" width="11.81640625" style="4" bestFit="1" customWidth="1"/>
    <col min="9990" max="9990" width="8.81640625" style="4" bestFit="1" customWidth="1"/>
    <col min="9991" max="9991" width="11.81640625" style="4" bestFit="1" customWidth="1"/>
    <col min="9992" max="9993" width="17.1796875" style="4" customWidth="1"/>
    <col min="9994" max="9994" width="8.81640625" style="4" bestFit="1" customWidth="1"/>
    <col min="9995" max="9995" width="13.1796875" style="4" customWidth="1"/>
    <col min="9996" max="9998" width="6.81640625" style="4"/>
    <col min="9999" max="10002" width="12" style="4" customWidth="1"/>
    <col min="10003" max="10240" width="6.81640625" style="4"/>
    <col min="10241" max="10241" width="11.54296875" style="4" bestFit="1" customWidth="1"/>
    <col min="10242" max="10242" width="59.81640625" style="4" bestFit="1" customWidth="1"/>
    <col min="10243" max="10243" width="15.1796875" style="4" bestFit="1" customWidth="1"/>
    <col min="10244" max="10244" width="8.453125" style="4" bestFit="1" customWidth="1"/>
    <col min="10245" max="10245" width="11.81640625" style="4" bestFit="1" customWidth="1"/>
    <col min="10246" max="10246" width="8.81640625" style="4" bestFit="1" customWidth="1"/>
    <col min="10247" max="10247" width="11.81640625" style="4" bestFit="1" customWidth="1"/>
    <col min="10248" max="10249" width="17.1796875" style="4" customWidth="1"/>
    <col min="10250" max="10250" width="8.81640625" style="4" bestFit="1" customWidth="1"/>
    <col min="10251" max="10251" width="13.1796875" style="4" customWidth="1"/>
    <col min="10252" max="10254" width="6.81640625" style="4"/>
    <col min="10255" max="10258" width="12" style="4" customWidth="1"/>
    <col min="10259" max="10496" width="6.81640625" style="4"/>
    <col min="10497" max="10497" width="11.54296875" style="4" bestFit="1" customWidth="1"/>
    <col min="10498" max="10498" width="59.81640625" style="4" bestFit="1" customWidth="1"/>
    <col min="10499" max="10499" width="15.1796875" style="4" bestFit="1" customWidth="1"/>
    <col min="10500" max="10500" width="8.453125" style="4" bestFit="1" customWidth="1"/>
    <col min="10501" max="10501" width="11.81640625" style="4" bestFit="1" customWidth="1"/>
    <col min="10502" max="10502" width="8.81640625" style="4" bestFit="1" customWidth="1"/>
    <col min="10503" max="10503" width="11.81640625" style="4" bestFit="1" customWidth="1"/>
    <col min="10504" max="10505" width="17.1796875" style="4" customWidth="1"/>
    <col min="10506" max="10506" width="8.81640625" style="4" bestFit="1" customWidth="1"/>
    <col min="10507" max="10507" width="13.1796875" style="4" customWidth="1"/>
    <col min="10508" max="10510" width="6.81640625" style="4"/>
    <col min="10511" max="10514" width="12" style="4" customWidth="1"/>
    <col min="10515" max="10752" width="6.81640625" style="4"/>
    <col min="10753" max="10753" width="11.54296875" style="4" bestFit="1" customWidth="1"/>
    <col min="10754" max="10754" width="59.81640625" style="4" bestFit="1" customWidth="1"/>
    <col min="10755" max="10755" width="15.1796875" style="4" bestFit="1" customWidth="1"/>
    <col min="10756" max="10756" width="8.453125" style="4" bestFit="1" customWidth="1"/>
    <col min="10757" max="10757" width="11.81640625" style="4" bestFit="1" customWidth="1"/>
    <col min="10758" max="10758" width="8.81640625" style="4" bestFit="1" customWidth="1"/>
    <col min="10759" max="10759" width="11.81640625" style="4" bestFit="1" customWidth="1"/>
    <col min="10760" max="10761" width="17.1796875" style="4" customWidth="1"/>
    <col min="10762" max="10762" width="8.81640625" style="4" bestFit="1" customWidth="1"/>
    <col min="10763" max="10763" width="13.1796875" style="4" customWidth="1"/>
    <col min="10764" max="10766" width="6.81640625" style="4"/>
    <col min="10767" max="10770" width="12" style="4" customWidth="1"/>
    <col min="10771" max="11008" width="6.81640625" style="4"/>
    <col min="11009" max="11009" width="11.54296875" style="4" bestFit="1" customWidth="1"/>
    <col min="11010" max="11010" width="59.81640625" style="4" bestFit="1" customWidth="1"/>
    <col min="11011" max="11011" width="15.1796875" style="4" bestFit="1" customWidth="1"/>
    <col min="11012" max="11012" width="8.453125" style="4" bestFit="1" customWidth="1"/>
    <col min="11013" max="11013" width="11.81640625" style="4" bestFit="1" customWidth="1"/>
    <col min="11014" max="11014" width="8.81640625" style="4" bestFit="1" customWidth="1"/>
    <col min="11015" max="11015" width="11.81640625" style="4" bestFit="1" customWidth="1"/>
    <col min="11016" max="11017" width="17.1796875" style="4" customWidth="1"/>
    <col min="11018" max="11018" width="8.81640625" style="4" bestFit="1" customWidth="1"/>
    <col min="11019" max="11019" width="13.1796875" style="4" customWidth="1"/>
    <col min="11020" max="11022" width="6.81640625" style="4"/>
    <col min="11023" max="11026" width="12" style="4" customWidth="1"/>
    <col min="11027" max="11264" width="6.81640625" style="4"/>
    <col min="11265" max="11265" width="11.54296875" style="4" bestFit="1" customWidth="1"/>
    <col min="11266" max="11266" width="59.81640625" style="4" bestFit="1" customWidth="1"/>
    <col min="11267" max="11267" width="15.1796875" style="4" bestFit="1" customWidth="1"/>
    <col min="11268" max="11268" width="8.453125" style="4" bestFit="1" customWidth="1"/>
    <col min="11269" max="11269" width="11.81640625" style="4" bestFit="1" customWidth="1"/>
    <col min="11270" max="11270" width="8.81640625" style="4" bestFit="1" customWidth="1"/>
    <col min="11271" max="11271" width="11.81640625" style="4" bestFit="1" customWidth="1"/>
    <col min="11272" max="11273" width="17.1796875" style="4" customWidth="1"/>
    <col min="11274" max="11274" width="8.81640625" style="4" bestFit="1" customWidth="1"/>
    <col min="11275" max="11275" width="13.1796875" style="4" customWidth="1"/>
    <col min="11276" max="11278" width="6.81640625" style="4"/>
    <col min="11279" max="11282" width="12" style="4" customWidth="1"/>
    <col min="11283" max="11520" width="6.81640625" style="4"/>
    <col min="11521" max="11521" width="11.54296875" style="4" bestFit="1" customWidth="1"/>
    <col min="11522" max="11522" width="59.81640625" style="4" bestFit="1" customWidth="1"/>
    <col min="11523" max="11523" width="15.1796875" style="4" bestFit="1" customWidth="1"/>
    <col min="11524" max="11524" width="8.453125" style="4" bestFit="1" customWidth="1"/>
    <col min="11525" max="11525" width="11.81640625" style="4" bestFit="1" customWidth="1"/>
    <col min="11526" max="11526" width="8.81640625" style="4" bestFit="1" customWidth="1"/>
    <col min="11527" max="11527" width="11.81640625" style="4" bestFit="1" customWidth="1"/>
    <col min="11528" max="11529" width="17.1796875" style="4" customWidth="1"/>
    <col min="11530" max="11530" width="8.81640625" style="4" bestFit="1" customWidth="1"/>
    <col min="11531" max="11531" width="13.1796875" style="4" customWidth="1"/>
    <col min="11532" max="11534" width="6.81640625" style="4"/>
    <col min="11535" max="11538" width="12" style="4" customWidth="1"/>
    <col min="11539" max="11776" width="6.81640625" style="4"/>
    <col min="11777" max="11777" width="11.54296875" style="4" bestFit="1" customWidth="1"/>
    <col min="11778" max="11778" width="59.81640625" style="4" bestFit="1" customWidth="1"/>
    <col min="11779" max="11779" width="15.1796875" style="4" bestFit="1" customWidth="1"/>
    <col min="11780" max="11780" width="8.453125" style="4" bestFit="1" customWidth="1"/>
    <col min="11781" max="11781" width="11.81640625" style="4" bestFit="1" customWidth="1"/>
    <col min="11782" max="11782" width="8.81640625" style="4" bestFit="1" customWidth="1"/>
    <col min="11783" max="11783" width="11.81640625" style="4" bestFit="1" customWidth="1"/>
    <col min="11784" max="11785" width="17.1796875" style="4" customWidth="1"/>
    <col min="11786" max="11786" width="8.81640625" style="4" bestFit="1" customWidth="1"/>
    <col min="11787" max="11787" width="13.1796875" style="4" customWidth="1"/>
    <col min="11788" max="11790" width="6.81640625" style="4"/>
    <col min="11791" max="11794" width="12" style="4" customWidth="1"/>
    <col min="11795" max="12032" width="6.81640625" style="4"/>
    <col min="12033" max="12033" width="11.54296875" style="4" bestFit="1" customWidth="1"/>
    <col min="12034" max="12034" width="59.81640625" style="4" bestFit="1" customWidth="1"/>
    <col min="12035" max="12035" width="15.1796875" style="4" bestFit="1" customWidth="1"/>
    <col min="12036" max="12036" width="8.453125" style="4" bestFit="1" customWidth="1"/>
    <col min="12037" max="12037" width="11.81640625" style="4" bestFit="1" customWidth="1"/>
    <col min="12038" max="12038" width="8.81640625" style="4" bestFit="1" customWidth="1"/>
    <col min="12039" max="12039" width="11.81640625" style="4" bestFit="1" customWidth="1"/>
    <col min="12040" max="12041" width="17.1796875" style="4" customWidth="1"/>
    <col min="12042" max="12042" width="8.81640625" style="4" bestFit="1" customWidth="1"/>
    <col min="12043" max="12043" width="13.1796875" style="4" customWidth="1"/>
    <col min="12044" max="12046" width="6.81640625" style="4"/>
    <col min="12047" max="12050" width="12" style="4" customWidth="1"/>
    <col min="12051" max="12288" width="6.81640625" style="4"/>
    <col min="12289" max="12289" width="11.54296875" style="4" bestFit="1" customWidth="1"/>
    <col min="12290" max="12290" width="59.81640625" style="4" bestFit="1" customWidth="1"/>
    <col min="12291" max="12291" width="15.1796875" style="4" bestFit="1" customWidth="1"/>
    <col min="12292" max="12292" width="8.453125" style="4" bestFit="1" customWidth="1"/>
    <col min="12293" max="12293" width="11.81640625" style="4" bestFit="1" customWidth="1"/>
    <col min="12294" max="12294" width="8.81640625" style="4" bestFit="1" customWidth="1"/>
    <col min="12295" max="12295" width="11.81640625" style="4" bestFit="1" customWidth="1"/>
    <col min="12296" max="12297" width="17.1796875" style="4" customWidth="1"/>
    <col min="12298" max="12298" width="8.81640625" style="4" bestFit="1" customWidth="1"/>
    <col min="12299" max="12299" width="13.1796875" style="4" customWidth="1"/>
    <col min="12300" max="12302" width="6.81640625" style="4"/>
    <col min="12303" max="12306" width="12" style="4" customWidth="1"/>
    <col min="12307" max="12544" width="6.81640625" style="4"/>
    <col min="12545" max="12545" width="11.54296875" style="4" bestFit="1" customWidth="1"/>
    <col min="12546" max="12546" width="59.81640625" style="4" bestFit="1" customWidth="1"/>
    <col min="12547" max="12547" width="15.1796875" style="4" bestFit="1" customWidth="1"/>
    <col min="12548" max="12548" width="8.453125" style="4" bestFit="1" customWidth="1"/>
    <col min="12549" max="12549" width="11.81640625" style="4" bestFit="1" customWidth="1"/>
    <col min="12550" max="12550" width="8.81640625" style="4" bestFit="1" customWidth="1"/>
    <col min="12551" max="12551" width="11.81640625" style="4" bestFit="1" customWidth="1"/>
    <col min="12552" max="12553" width="17.1796875" style="4" customWidth="1"/>
    <col min="12554" max="12554" width="8.81640625" style="4" bestFit="1" customWidth="1"/>
    <col min="12555" max="12555" width="13.1796875" style="4" customWidth="1"/>
    <col min="12556" max="12558" width="6.81640625" style="4"/>
    <col min="12559" max="12562" width="12" style="4" customWidth="1"/>
    <col min="12563" max="12800" width="6.81640625" style="4"/>
    <col min="12801" max="12801" width="11.54296875" style="4" bestFit="1" customWidth="1"/>
    <col min="12802" max="12802" width="59.81640625" style="4" bestFit="1" customWidth="1"/>
    <col min="12803" max="12803" width="15.1796875" style="4" bestFit="1" customWidth="1"/>
    <col min="12804" max="12804" width="8.453125" style="4" bestFit="1" customWidth="1"/>
    <col min="12805" max="12805" width="11.81640625" style="4" bestFit="1" customWidth="1"/>
    <col min="12806" max="12806" width="8.81640625" style="4" bestFit="1" customWidth="1"/>
    <col min="12807" max="12807" width="11.81640625" style="4" bestFit="1" customWidth="1"/>
    <col min="12808" max="12809" width="17.1796875" style="4" customWidth="1"/>
    <col min="12810" max="12810" width="8.81640625" style="4" bestFit="1" customWidth="1"/>
    <col min="12811" max="12811" width="13.1796875" style="4" customWidth="1"/>
    <col min="12812" max="12814" width="6.81640625" style="4"/>
    <col min="12815" max="12818" width="12" style="4" customWidth="1"/>
    <col min="12819" max="13056" width="6.81640625" style="4"/>
    <col min="13057" max="13057" width="11.54296875" style="4" bestFit="1" customWidth="1"/>
    <col min="13058" max="13058" width="59.81640625" style="4" bestFit="1" customWidth="1"/>
    <col min="13059" max="13059" width="15.1796875" style="4" bestFit="1" customWidth="1"/>
    <col min="13060" max="13060" width="8.453125" style="4" bestFit="1" customWidth="1"/>
    <col min="13061" max="13061" width="11.81640625" style="4" bestFit="1" customWidth="1"/>
    <col min="13062" max="13062" width="8.81640625" style="4" bestFit="1" customWidth="1"/>
    <col min="13063" max="13063" width="11.81640625" style="4" bestFit="1" customWidth="1"/>
    <col min="13064" max="13065" width="17.1796875" style="4" customWidth="1"/>
    <col min="13066" max="13066" width="8.81640625" style="4" bestFit="1" customWidth="1"/>
    <col min="13067" max="13067" width="13.1796875" style="4" customWidth="1"/>
    <col min="13068" max="13070" width="6.81640625" style="4"/>
    <col min="13071" max="13074" width="12" style="4" customWidth="1"/>
    <col min="13075" max="13312" width="6.81640625" style="4"/>
    <col min="13313" max="13313" width="11.54296875" style="4" bestFit="1" customWidth="1"/>
    <col min="13314" max="13314" width="59.81640625" style="4" bestFit="1" customWidth="1"/>
    <col min="13315" max="13315" width="15.1796875" style="4" bestFit="1" customWidth="1"/>
    <col min="13316" max="13316" width="8.453125" style="4" bestFit="1" customWidth="1"/>
    <col min="13317" max="13317" width="11.81640625" style="4" bestFit="1" customWidth="1"/>
    <col min="13318" max="13318" width="8.81640625" style="4" bestFit="1" customWidth="1"/>
    <col min="13319" max="13319" width="11.81640625" style="4" bestFit="1" customWidth="1"/>
    <col min="13320" max="13321" width="17.1796875" style="4" customWidth="1"/>
    <col min="13322" max="13322" width="8.81640625" style="4" bestFit="1" customWidth="1"/>
    <col min="13323" max="13323" width="13.1796875" style="4" customWidth="1"/>
    <col min="13324" max="13326" width="6.81640625" style="4"/>
    <col min="13327" max="13330" width="12" style="4" customWidth="1"/>
    <col min="13331" max="13568" width="6.81640625" style="4"/>
    <col min="13569" max="13569" width="11.54296875" style="4" bestFit="1" customWidth="1"/>
    <col min="13570" max="13570" width="59.81640625" style="4" bestFit="1" customWidth="1"/>
    <col min="13571" max="13571" width="15.1796875" style="4" bestFit="1" customWidth="1"/>
    <col min="13572" max="13572" width="8.453125" style="4" bestFit="1" customWidth="1"/>
    <col min="13573" max="13573" width="11.81640625" style="4" bestFit="1" customWidth="1"/>
    <col min="13574" max="13574" width="8.81640625" style="4" bestFit="1" customWidth="1"/>
    <col min="13575" max="13575" width="11.81640625" style="4" bestFit="1" customWidth="1"/>
    <col min="13576" max="13577" width="17.1796875" style="4" customWidth="1"/>
    <col min="13578" max="13578" width="8.81640625" style="4" bestFit="1" customWidth="1"/>
    <col min="13579" max="13579" width="13.1796875" style="4" customWidth="1"/>
    <col min="13580" max="13582" width="6.81640625" style="4"/>
    <col min="13583" max="13586" width="12" style="4" customWidth="1"/>
    <col min="13587" max="13824" width="6.81640625" style="4"/>
    <col min="13825" max="13825" width="11.54296875" style="4" bestFit="1" customWidth="1"/>
    <col min="13826" max="13826" width="59.81640625" style="4" bestFit="1" customWidth="1"/>
    <col min="13827" max="13827" width="15.1796875" style="4" bestFit="1" customWidth="1"/>
    <col min="13828" max="13828" width="8.453125" style="4" bestFit="1" customWidth="1"/>
    <col min="13829" max="13829" width="11.81640625" style="4" bestFit="1" customWidth="1"/>
    <col min="13830" max="13830" width="8.81640625" style="4" bestFit="1" customWidth="1"/>
    <col min="13831" max="13831" width="11.81640625" style="4" bestFit="1" customWidth="1"/>
    <col min="13832" max="13833" width="17.1796875" style="4" customWidth="1"/>
    <col min="13834" max="13834" width="8.81640625" style="4" bestFit="1" customWidth="1"/>
    <col min="13835" max="13835" width="13.1796875" style="4" customWidth="1"/>
    <col min="13836" max="13838" width="6.81640625" style="4"/>
    <col min="13839" max="13842" width="12" style="4" customWidth="1"/>
    <col min="13843" max="14080" width="6.81640625" style="4"/>
    <col min="14081" max="14081" width="11.54296875" style="4" bestFit="1" customWidth="1"/>
    <col min="14082" max="14082" width="59.81640625" style="4" bestFit="1" customWidth="1"/>
    <col min="14083" max="14083" width="15.1796875" style="4" bestFit="1" customWidth="1"/>
    <col min="14084" max="14084" width="8.453125" style="4" bestFit="1" customWidth="1"/>
    <col min="14085" max="14085" width="11.81640625" style="4" bestFit="1" customWidth="1"/>
    <col min="14086" max="14086" width="8.81640625" style="4" bestFit="1" customWidth="1"/>
    <col min="14087" max="14087" width="11.81640625" style="4" bestFit="1" customWidth="1"/>
    <col min="14088" max="14089" width="17.1796875" style="4" customWidth="1"/>
    <col min="14090" max="14090" width="8.81640625" style="4" bestFit="1" customWidth="1"/>
    <col min="14091" max="14091" width="13.1796875" style="4" customWidth="1"/>
    <col min="14092" max="14094" width="6.81640625" style="4"/>
    <col min="14095" max="14098" width="12" style="4" customWidth="1"/>
    <col min="14099" max="14336" width="6.81640625" style="4"/>
    <col min="14337" max="14337" width="11.54296875" style="4" bestFit="1" customWidth="1"/>
    <col min="14338" max="14338" width="59.81640625" style="4" bestFit="1" customWidth="1"/>
    <col min="14339" max="14339" width="15.1796875" style="4" bestFit="1" customWidth="1"/>
    <col min="14340" max="14340" width="8.453125" style="4" bestFit="1" customWidth="1"/>
    <col min="14341" max="14341" width="11.81640625" style="4" bestFit="1" customWidth="1"/>
    <col min="14342" max="14342" width="8.81640625" style="4" bestFit="1" customWidth="1"/>
    <col min="14343" max="14343" width="11.81640625" style="4" bestFit="1" customWidth="1"/>
    <col min="14344" max="14345" width="17.1796875" style="4" customWidth="1"/>
    <col min="14346" max="14346" width="8.81640625" style="4" bestFit="1" customWidth="1"/>
    <col min="14347" max="14347" width="13.1796875" style="4" customWidth="1"/>
    <col min="14348" max="14350" width="6.81640625" style="4"/>
    <col min="14351" max="14354" width="12" style="4" customWidth="1"/>
    <col min="14355" max="14592" width="6.81640625" style="4"/>
    <col min="14593" max="14593" width="11.54296875" style="4" bestFit="1" customWidth="1"/>
    <col min="14594" max="14594" width="59.81640625" style="4" bestFit="1" customWidth="1"/>
    <col min="14595" max="14595" width="15.1796875" style="4" bestFit="1" customWidth="1"/>
    <col min="14596" max="14596" width="8.453125" style="4" bestFit="1" customWidth="1"/>
    <col min="14597" max="14597" width="11.81640625" style="4" bestFit="1" customWidth="1"/>
    <col min="14598" max="14598" width="8.81640625" style="4" bestFit="1" customWidth="1"/>
    <col min="14599" max="14599" width="11.81640625" style="4" bestFit="1" customWidth="1"/>
    <col min="14600" max="14601" width="17.1796875" style="4" customWidth="1"/>
    <col min="14602" max="14602" width="8.81640625" style="4" bestFit="1" customWidth="1"/>
    <col min="14603" max="14603" width="13.1796875" style="4" customWidth="1"/>
    <col min="14604" max="14606" width="6.81640625" style="4"/>
    <col min="14607" max="14610" width="12" style="4" customWidth="1"/>
    <col min="14611" max="14848" width="6.81640625" style="4"/>
    <col min="14849" max="14849" width="11.54296875" style="4" bestFit="1" customWidth="1"/>
    <col min="14850" max="14850" width="59.81640625" style="4" bestFit="1" customWidth="1"/>
    <col min="14851" max="14851" width="15.1796875" style="4" bestFit="1" customWidth="1"/>
    <col min="14852" max="14852" width="8.453125" style="4" bestFit="1" customWidth="1"/>
    <col min="14853" max="14853" width="11.81640625" style="4" bestFit="1" customWidth="1"/>
    <col min="14854" max="14854" width="8.81640625" style="4" bestFit="1" customWidth="1"/>
    <col min="14855" max="14855" width="11.81640625" style="4" bestFit="1" customWidth="1"/>
    <col min="14856" max="14857" width="17.1796875" style="4" customWidth="1"/>
    <col min="14858" max="14858" width="8.81640625" style="4" bestFit="1" customWidth="1"/>
    <col min="14859" max="14859" width="13.1796875" style="4" customWidth="1"/>
    <col min="14860" max="14862" width="6.81640625" style="4"/>
    <col min="14863" max="14866" width="12" style="4" customWidth="1"/>
    <col min="14867" max="15104" width="6.81640625" style="4"/>
    <col min="15105" max="15105" width="11.54296875" style="4" bestFit="1" customWidth="1"/>
    <col min="15106" max="15106" width="59.81640625" style="4" bestFit="1" customWidth="1"/>
    <col min="15107" max="15107" width="15.1796875" style="4" bestFit="1" customWidth="1"/>
    <col min="15108" max="15108" width="8.453125" style="4" bestFit="1" customWidth="1"/>
    <col min="15109" max="15109" width="11.81640625" style="4" bestFit="1" customWidth="1"/>
    <col min="15110" max="15110" width="8.81640625" style="4" bestFit="1" customWidth="1"/>
    <col min="15111" max="15111" width="11.81640625" style="4" bestFit="1" customWidth="1"/>
    <col min="15112" max="15113" width="17.1796875" style="4" customWidth="1"/>
    <col min="15114" max="15114" width="8.81640625" style="4" bestFit="1" customWidth="1"/>
    <col min="15115" max="15115" width="13.1796875" style="4" customWidth="1"/>
    <col min="15116" max="15118" width="6.81640625" style="4"/>
    <col min="15119" max="15122" width="12" style="4" customWidth="1"/>
    <col min="15123" max="15360" width="6.81640625" style="4"/>
    <col min="15361" max="15361" width="11.54296875" style="4" bestFit="1" customWidth="1"/>
    <col min="15362" max="15362" width="59.81640625" style="4" bestFit="1" customWidth="1"/>
    <col min="15363" max="15363" width="15.1796875" style="4" bestFit="1" customWidth="1"/>
    <col min="15364" max="15364" width="8.453125" style="4" bestFit="1" customWidth="1"/>
    <col min="15365" max="15365" width="11.81640625" style="4" bestFit="1" customWidth="1"/>
    <col min="15366" max="15366" width="8.81640625" style="4" bestFit="1" customWidth="1"/>
    <col min="15367" max="15367" width="11.81640625" style="4" bestFit="1" customWidth="1"/>
    <col min="15368" max="15369" width="17.1796875" style="4" customWidth="1"/>
    <col min="15370" max="15370" width="8.81640625" style="4" bestFit="1" customWidth="1"/>
    <col min="15371" max="15371" width="13.1796875" style="4" customWidth="1"/>
    <col min="15372" max="15374" width="6.81640625" style="4"/>
    <col min="15375" max="15378" width="12" style="4" customWidth="1"/>
    <col min="15379" max="15616" width="6.81640625" style="4"/>
    <col min="15617" max="15617" width="11.54296875" style="4" bestFit="1" customWidth="1"/>
    <col min="15618" max="15618" width="59.81640625" style="4" bestFit="1" customWidth="1"/>
    <col min="15619" max="15619" width="15.1796875" style="4" bestFit="1" customWidth="1"/>
    <col min="15620" max="15620" width="8.453125" style="4" bestFit="1" customWidth="1"/>
    <col min="15621" max="15621" width="11.81640625" style="4" bestFit="1" customWidth="1"/>
    <col min="15622" max="15622" width="8.81640625" style="4" bestFit="1" customWidth="1"/>
    <col min="15623" max="15623" width="11.81640625" style="4" bestFit="1" customWidth="1"/>
    <col min="15624" max="15625" width="17.1796875" style="4" customWidth="1"/>
    <col min="15626" max="15626" width="8.81640625" style="4" bestFit="1" customWidth="1"/>
    <col min="15627" max="15627" width="13.1796875" style="4" customWidth="1"/>
    <col min="15628" max="15630" width="6.81640625" style="4"/>
    <col min="15631" max="15634" width="12" style="4" customWidth="1"/>
    <col min="15635" max="15872" width="6.81640625" style="4"/>
    <col min="15873" max="15873" width="11.54296875" style="4" bestFit="1" customWidth="1"/>
    <col min="15874" max="15874" width="59.81640625" style="4" bestFit="1" customWidth="1"/>
    <col min="15875" max="15875" width="15.1796875" style="4" bestFit="1" customWidth="1"/>
    <col min="15876" max="15876" width="8.453125" style="4" bestFit="1" customWidth="1"/>
    <col min="15877" max="15877" width="11.81640625" style="4" bestFit="1" customWidth="1"/>
    <col min="15878" max="15878" width="8.81640625" style="4" bestFit="1" customWidth="1"/>
    <col min="15879" max="15879" width="11.81640625" style="4" bestFit="1" customWidth="1"/>
    <col min="15880" max="15881" width="17.1796875" style="4" customWidth="1"/>
    <col min="15882" max="15882" width="8.81640625" style="4" bestFit="1" customWidth="1"/>
    <col min="15883" max="15883" width="13.1796875" style="4" customWidth="1"/>
    <col min="15884" max="15886" width="6.81640625" style="4"/>
    <col min="15887" max="15890" width="12" style="4" customWidth="1"/>
    <col min="15891" max="16128" width="6.81640625" style="4"/>
    <col min="16129" max="16129" width="11.54296875" style="4" bestFit="1" customWidth="1"/>
    <col min="16130" max="16130" width="59.81640625" style="4" bestFit="1" customWidth="1"/>
    <col min="16131" max="16131" width="15.1796875" style="4" bestFit="1" customWidth="1"/>
    <col min="16132" max="16132" width="8.453125" style="4" bestFit="1" customWidth="1"/>
    <col min="16133" max="16133" width="11.81640625" style="4" bestFit="1" customWidth="1"/>
    <col min="16134" max="16134" width="8.81640625" style="4" bestFit="1" customWidth="1"/>
    <col min="16135" max="16135" width="11.81640625" style="4" bestFit="1" customWidth="1"/>
    <col min="16136" max="16137" width="17.1796875" style="4" customWidth="1"/>
    <col min="16138" max="16138" width="8.81640625" style="4" bestFit="1" customWidth="1"/>
    <col min="16139" max="16139" width="13.1796875" style="4" customWidth="1"/>
    <col min="16140" max="16142" width="6.81640625" style="4"/>
    <col min="16143" max="16146" width="12" style="4" customWidth="1"/>
    <col min="16147" max="16384" width="6.81640625" style="4"/>
  </cols>
  <sheetData>
    <row r="1" spans="1:18" ht="12.75" customHeight="1">
      <c r="A1" s="1"/>
      <c r="B1" s="1"/>
      <c r="C1" s="2"/>
      <c r="D1" s="2"/>
      <c r="E1" s="2"/>
      <c r="F1" s="2"/>
      <c r="G1" s="2"/>
      <c r="H1" s="2"/>
      <c r="I1" s="2"/>
      <c r="K1" s="2"/>
      <c r="L1" s="2"/>
      <c r="M1" s="2"/>
      <c r="N1" s="2"/>
      <c r="O1" s="2"/>
      <c r="P1" s="2"/>
      <c r="Q1" s="2"/>
      <c r="R1" s="2"/>
    </row>
    <row r="2" spans="1:18" ht="12.5">
      <c r="A2" s="1"/>
      <c r="B2" s="1"/>
      <c r="C2" s="2"/>
      <c r="D2" s="2"/>
      <c r="E2" s="2"/>
      <c r="F2" s="2"/>
      <c r="G2" s="2"/>
      <c r="H2" s="2"/>
      <c r="J2" s="39" t="s">
        <v>6</v>
      </c>
      <c r="K2" s="39" t="s">
        <v>7</v>
      </c>
      <c r="L2" s="39" t="s">
        <v>32</v>
      </c>
      <c r="M2" s="2"/>
      <c r="N2" s="2"/>
      <c r="O2" s="2"/>
    </row>
    <row r="3" spans="1:18" ht="12.5">
      <c r="A3" s="1"/>
      <c r="C3" s="2"/>
      <c r="D3" s="2"/>
      <c r="E3" s="2"/>
      <c r="F3" s="2"/>
      <c r="G3" s="2"/>
      <c r="H3" s="2"/>
      <c r="J3" s="47" t="s">
        <v>50</v>
      </c>
      <c r="K3" s="47" t="s">
        <v>50</v>
      </c>
      <c r="L3" s="38" t="s">
        <v>82</v>
      </c>
      <c r="M3" s="2"/>
      <c r="N3" s="2"/>
      <c r="O3" s="2"/>
    </row>
    <row r="4" spans="1:18" ht="12.5">
      <c r="A4" s="1"/>
      <c r="B4" s="33"/>
      <c r="C4" s="2"/>
      <c r="D4" s="2"/>
      <c r="E4" s="2"/>
      <c r="F4" s="2"/>
      <c r="G4" s="2"/>
      <c r="H4" s="2"/>
      <c r="J4" s="86"/>
      <c r="K4" s="86"/>
      <c r="L4" s="37"/>
      <c r="M4" s="2"/>
      <c r="N4" s="2"/>
      <c r="O4" s="2"/>
    </row>
    <row r="5" spans="1:18" ht="12.5">
      <c r="A5" s="1"/>
      <c r="B5" s="33"/>
      <c r="C5" s="2"/>
      <c r="D5" s="2"/>
      <c r="E5" s="2"/>
      <c r="F5" s="2"/>
      <c r="G5" s="2"/>
      <c r="H5" s="2"/>
      <c r="J5" s="86"/>
      <c r="K5" s="86"/>
      <c r="L5" s="37"/>
      <c r="M5" s="2"/>
      <c r="N5" s="2"/>
      <c r="O5" s="2"/>
    </row>
    <row r="6" spans="1:18" ht="12.5">
      <c r="A6" s="1"/>
      <c r="B6" s="33" t="s">
        <v>31</v>
      </c>
      <c r="C6" s="2"/>
      <c r="D6" s="2"/>
      <c r="E6" s="2"/>
      <c r="F6" s="2"/>
      <c r="G6" s="2"/>
      <c r="H6" s="2"/>
      <c r="J6" s="86"/>
      <c r="K6" s="86"/>
      <c r="L6" s="37"/>
      <c r="M6" s="2"/>
      <c r="N6" s="2"/>
      <c r="O6" s="2"/>
    </row>
    <row r="7" spans="1:18" ht="12.75" customHeight="1">
      <c r="A7" s="3"/>
      <c r="B7" s="69" t="s">
        <v>87</v>
      </c>
      <c r="C7" s="2"/>
      <c r="D7" s="2"/>
      <c r="E7" s="2"/>
      <c r="F7" s="2"/>
      <c r="G7" s="2"/>
      <c r="H7" s="2"/>
      <c r="I7" s="36"/>
      <c r="K7" s="36"/>
      <c r="L7" s="37"/>
      <c r="M7" s="2"/>
      <c r="N7" s="2"/>
      <c r="O7" s="2"/>
    </row>
    <row r="8" spans="1:18" ht="12.75" customHeight="1">
      <c r="A8" s="3"/>
      <c r="B8" s="45" t="s">
        <v>49</v>
      </c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</row>
    <row r="9" spans="1:18" ht="12.75" customHeight="1">
      <c r="A9" s="44"/>
      <c r="B9" s="85" t="s">
        <v>73</v>
      </c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</row>
    <row r="10" spans="1:18" ht="6" customHeight="1" thickBot="1">
      <c r="A10" s="2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41"/>
      <c r="N10" s="41"/>
      <c r="O10" s="41"/>
    </row>
    <row r="11" spans="1:18" ht="12.75" customHeight="1" thickTop="1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42"/>
      <c r="N11" s="42"/>
      <c r="O11" s="42"/>
    </row>
    <row r="12" spans="1:18" ht="12.75" customHeight="1">
      <c r="B12" s="40" t="s">
        <v>8</v>
      </c>
    </row>
    <row r="13" spans="1:18" ht="7" customHeight="1">
      <c r="B13" s="40"/>
    </row>
    <row r="14" spans="1:18" ht="12.75" customHeight="1">
      <c r="B14" s="87" t="s">
        <v>83</v>
      </c>
    </row>
    <row r="15" spans="1:18" ht="12.75" customHeight="1">
      <c r="B15" s="6"/>
    </row>
    <row r="16" spans="1:18" ht="12.75" customHeight="1">
      <c r="B16" s="40" t="s">
        <v>33</v>
      </c>
      <c r="C16" s="2"/>
    </row>
    <row r="17" spans="1:6" ht="7" customHeight="1">
      <c r="B17" s="40"/>
      <c r="C17" s="2"/>
    </row>
    <row r="18" spans="1:6" ht="12.75" customHeight="1">
      <c r="B18" s="70"/>
      <c r="C18" s="71" t="s">
        <v>54</v>
      </c>
      <c r="D18" s="71" t="s">
        <v>55</v>
      </c>
    </row>
    <row r="19" spans="1:6" ht="12.75" customHeight="1">
      <c r="B19" s="72" t="s">
        <v>34</v>
      </c>
      <c r="C19" s="73" t="s">
        <v>35</v>
      </c>
      <c r="D19" s="73" t="s">
        <v>35</v>
      </c>
    </row>
    <row r="20" spans="1:6" ht="12.75" customHeight="1">
      <c r="B20" s="72" t="s">
        <v>36</v>
      </c>
      <c r="C20" s="73" t="s">
        <v>35</v>
      </c>
      <c r="D20" s="73" t="s">
        <v>35</v>
      </c>
    </row>
    <row r="21" spans="1:6" ht="12.75" customHeight="1">
      <c r="B21" s="72" t="s">
        <v>37</v>
      </c>
      <c r="C21" s="73" t="s">
        <v>35</v>
      </c>
      <c r="D21" s="73" t="s">
        <v>35</v>
      </c>
    </row>
    <row r="22" spans="1:6" ht="12.75" customHeight="1">
      <c r="B22" s="7"/>
    </row>
    <row r="23" spans="1:6" ht="12.75" customHeight="1">
      <c r="B23" s="40" t="s">
        <v>9</v>
      </c>
    </row>
    <row r="24" spans="1:6" ht="7" customHeight="1">
      <c r="B24" s="40"/>
    </row>
    <row r="25" spans="1:6" ht="12.75" customHeight="1">
      <c r="A25" s="75" t="s">
        <v>12</v>
      </c>
      <c r="B25" s="77" t="s">
        <v>86</v>
      </c>
    </row>
    <row r="26" spans="1:6" ht="12.75" customHeight="1">
      <c r="A26" s="75" t="s">
        <v>13</v>
      </c>
      <c r="B26" s="77" t="s">
        <v>84</v>
      </c>
    </row>
    <row r="27" spans="1:6" ht="12.75" customHeight="1">
      <c r="A27" s="75" t="s">
        <v>14</v>
      </c>
      <c r="B27" s="77" t="s">
        <v>85</v>
      </c>
    </row>
    <row r="28" spans="1:6" ht="12.75" customHeight="1">
      <c r="A28" s="75" t="s">
        <v>15</v>
      </c>
      <c r="B28" s="20" t="s">
        <v>67</v>
      </c>
      <c r="E28" s="9"/>
      <c r="F28" s="8"/>
    </row>
    <row r="30" spans="1:6" ht="12.75" customHeight="1">
      <c r="B30" s="40" t="s">
        <v>10</v>
      </c>
      <c r="C30" s="7"/>
      <c r="D30" s="7"/>
      <c r="E30" s="16"/>
      <c r="F30" s="7"/>
    </row>
    <row r="31" spans="1:6" ht="12.75" customHeight="1">
      <c r="B31" s="40"/>
      <c r="C31" s="7"/>
      <c r="D31" s="7"/>
      <c r="E31" s="16"/>
      <c r="F31" s="7"/>
    </row>
    <row r="32" spans="1:6" ht="12.75" customHeight="1">
      <c r="B32" s="40"/>
      <c r="C32" s="7"/>
      <c r="D32" s="7"/>
      <c r="E32" s="16"/>
      <c r="F32" s="7"/>
    </row>
    <row r="33" spans="2:6" ht="12.75" customHeight="1">
      <c r="B33" s="40"/>
      <c r="C33" s="7"/>
      <c r="D33" s="7"/>
      <c r="E33" s="16"/>
      <c r="F33" s="7"/>
    </row>
    <row r="34" spans="2:6" ht="12.75" customHeight="1">
      <c r="B34" s="40"/>
      <c r="C34" s="7"/>
      <c r="D34" s="7"/>
      <c r="E34" s="16"/>
      <c r="F34" s="7"/>
    </row>
    <row r="35" spans="2:6" ht="12.75" customHeight="1">
      <c r="B35" s="40"/>
      <c r="C35" s="7"/>
      <c r="D35" s="7"/>
      <c r="E35" s="16"/>
      <c r="F35" s="7"/>
    </row>
    <row r="36" spans="2:6" ht="12.75" customHeight="1">
      <c r="B36" s="40"/>
      <c r="C36" s="7"/>
      <c r="D36" s="7"/>
      <c r="E36" s="16"/>
      <c r="F36" s="7"/>
    </row>
    <row r="37" spans="2:6" ht="12.75" customHeight="1">
      <c r="B37" s="40"/>
      <c r="C37" s="7"/>
      <c r="D37" s="7"/>
      <c r="E37" s="16"/>
      <c r="F37" s="7"/>
    </row>
    <row r="38" spans="2:6" ht="12.75" customHeight="1">
      <c r="B38" s="40"/>
      <c r="C38" s="7"/>
      <c r="D38" s="7"/>
      <c r="E38" s="16"/>
      <c r="F38" s="7"/>
    </row>
    <row r="39" spans="2:6" ht="12.75" customHeight="1">
      <c r="B39" s="40"/>
      <c r="C39" s="7"/>
      <c r="D39" s="7"/>
      <c r="E39" s="16"/>
      <c r="F39" s="7"/>
    </row>
    <row r="40" spans="2:6" ht="12.75" customHeight="1">
      <c r="B40" s="40"/>
      <c r="C40" s="43" t="s">
        <v>96</v>
      </c>
      <c r="D40" s="7"/>
      <c r="E40" s="16"/>
      <c r="F40" s="7"/>
    </row>
    <row r="41" spans="2:6" ht="12.75" customHeight="1">
      <c r="B41" s="40"/>
      <c r="C41" s="7"/>
      <c r="D41" s="7"/>
      <c r="E41" s="16"/>
      <c r="F41" s="7"/>
    </row>
    <row r="42" spans="2:6" ht="12.75" customHeight="1">
      <c r="B42" s="40"/>
      <c r="C42" s="7"/>
      <c r="D42" s="7"/>
      <c r="E42" s="16"/>
      <c r="F42" s="7"/>
    </row>
    <row r="43" spans="2:6" ht="12.75" customHeight="1">
      <c r="B43" s="40"/>
      <c r="C43" s="7"/>
      <c r="D43" s="7"/>
      <c r="E43" s="16"/>
      <c r="F43" s="7"/>
    </row>
    <row r="44" spans="2:6" ht="12.75" customHeight="1">
      <c r="B44" s="40"/>
      <c r="C44" s="7"/>
      <c r="D44" s="7"/>
      <c r="E44" s="16"/>
      <c r="F44" s="7"/>
    </row>
    <row r="45" spans="2:6" ht="12.75" customHeight="1">
      <c r="B45" s="40"/>
      <c r="C45" s="7"/>
      <c r="D45" s="7"/>
      <c r="E45" s="16"/>
      <c r="F45" s="7"/>
    </row>
    <row r="46" spans="2:6" ht="12.75" customHeight="1">
      <c r="B46" s="40"/>
      <c r="C46" s="7"/>
      <c r="D46" s="7"/>
      <c r="E46" s="16"/>
      <c r="F46" s="7"/>
    </row>
    <row r="47" spans="2:6" ht="12.75" customHeight="1">
      <c r="B47" s="40"/>
      <c r="C47" s="7"/>
      <c r="D47" s="7"/>
      <c r="E47" s="16"/>
      <c r="F47" s="7"/>
    </row>
    <row r="48" spans="2:6" ht="12.75" customHeight="1">
      <c r="B48" s="40"/>
      <c r="C48" s="7"/>
      <c r="D48" s="7"/>
      <c r="E48" s="16"/>
      <c r="F48" s="7"/>
    </row>
    <row r="50" spans="1:11" ht="12.75" customHeight="1">
      <c r="H50" s="32"/>
      <c r="K50" s="29"/>
    </row>
    <row r="51" spans="1:11" ht="12.75" customHeight="1">
      <c r="H51" s="32"/>
      <c r="K51" s="29"/>
    </row>
    <row r="52" spans="1:11" ht="12.75" customHeight="1">
      <c r="B52" s="40" t="s">
        <v>38</v>
      </c>
    </row>
    <row r="53" spans="1:11" ht="7" customHeight="1">
      <c r="B53" s="40"/>
    </row>
    <row r="54" spans="1:11" ht="12.75" customHeight="1">
      <c r="B54" s="76"/>
    </row>
    <row r="55" spans="1:11" ht="12.75" customHeight="1">
      <c r="B55" s="2"/>
    </row>
    <row r="56" spans="1:11" ht="12.75" customHeight="1">
      <c r="B56" s="2"/>
    </row>
    <row r="57" spans="1:11" ht="12.75" customHeight="1">
      <c r="B57" s="2"/>
    </row>
    <row r="58" spans="1:11" ht="12.75" customHeight="1">
      <c r="A58" s="77"/>
      <c r="B58" s="40" t="s">
        <v>98</v>
      </c>
    </row>
    <row r="59" spans="1:11" ht="7" customHeight="1">
      <c r="A59" s="77"/>
      <c r="B59" s="2"/>
    </row>
    <row r="60" spans="1:11" ht="12.75" customHeight="1">
      <c r="A60" s="51" t="s">
        <v>70</v>
      </c>
      <c r="B60" s="2"/>
    </row>
    <row r="61" spans="1:11" ht="12.75" customHeight="1">
      <c r="A61" s="51" t="s">
        <v>71</v>
      </c>
      <c r="B61" s="2"/>
    </row>
    <row r="62" spans="1:11" ht="12.75" customHeight="1">
      <c r="A62" s="51" t="s">
        <v>72</v>
      </c>
      <c r="B62" s="2"/>
    </row>
    <row r="63" spans="1:11" ht="12.75" customHeight="1">
      <c r="B63" s="40"/>
    </row>
    <row r="64" spans="1:11" ht="12.75" customHeight="1">
      <c r="A64" s="50"/>
      <c r="B64" s="40" t="s">
        <v>52</v>
      </c>
    </row>
    <row r="65" spans="1:2" ht="7" customHeight="1">
      <c r="A65" s="50"/>
      <c r="B65" s="40"/>
    </row>
    <row r="66" spans="1:2" ht="12.75" customHeight="1">
      <c r="A66" s="51" t="s">
        <v>56</v>
      </c>
      <c r="B66" s="40"/>
    </row>
    <row r="67" spans="1:2" ht="12.75" customHeight="1">
      <c r="A67" s="51" t="s">
        <v>57</v>
      </c>
      <c r="B67" s="40"/>
    </row>
    <row r="68" spans="1:2" ht="12.75" customHeight="1">
      <c r="A68" s="51" t="s">
        <v>58</v>
      </c>
      <c r="B68" s="2"/>
    </row>
    <row r="69" spans="1:2" ht="12.75" customHeight="1">
      <c r="A69" s="50"/>
      <c r="B69" s="52"/>
    </row>
    <row r="70" spans="1:2" ht="12.75" customHeight="1">
      <c r="A70" s="50"/>
      <c r="B70" s="40" t="s">
        <v>53</v>
      </c>
    </row>
    <row r="71" spans="1:2" ht="7" customHeight="1">
      <c r="A71" s="50"/>
      <c r="B71" s="40"/>
    </row>
    <row r="72" spans="1:2" ht="12.75" customHeight="1">
      <c r="A72" s="51" t="s">
        <v>59</v>
      </c>
      <c r="B72" s="40"/>
    </row>
    <row r="73" spans="1:2" ht="12.75" customHeight="1">
      <c r="A73" s="51" t="s">
        <v>60</v>
      </c>
      <c r="B73" s="2"/>
    </row>
    <row r="74" spans="1:2" ht="12.75" customHeight="1">
      <c r="A74" s="51" t="s">
        <v>61</v>
      </c>
      <c r="B74" s="28"/>
    </row>
    <row r="75" spans="1:2" ht="12.75" customHeight="1">
      <c r="A75" s="51"/>
      <c r="B75" s="28"/>
    </row>
    <row r="76" spans="1:2" ht="12.75" customHeight="1">
      <c r="A76" s="53"/>
      <c r="B76" s="40" t="s">
        <v>48</v>
      </c>
    </row>
    <row r="77" spans="1:2" ht="7" customHeight="1">
      <c r="A77" s="53"/>
      <c r="B77" s="40"/>
    </row>
    <row r="78" spans="1:2" ht="12.75" customHeight="1">
      <c r="A78" s="53"/>
      <c r="B78" s="43" t="s">
        <v>62</v>
      </c>
    </row>
  </sheetData>
  <pageMargins left="0" right="0" top="0" bottom="0" header="0" footer="0"/>
  <pageSetup paperSize="9" fitToWidth="0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8020-B964-459E-85E2-DA5655E3685B}">
  <dimension ref="A1:AS77"/>
  <sheetViews>
    <sheetView showGridLines="0" zoomScale="80" zoomScaleNormal="80" workbookViewId="0">
      <selection activeCell="AS39" sqref="AS39"/>
    </sheetView>
  </sheetViews>
  <sheetFormatPr baseColWidth="10" defaultColWidth="11.453125" defaultRowHeight="12.5"/>
  <cols>
    <col min="1" max="1" width="6.54296875" style="4" customWidth="1"/>
    <col min="2" max="2" width="20.453125" style="4" customWidth="1"/>
    <col min="3" max="3" width="13.1796875" style="4" customWidth="1"/>
    <col min="4" max="7" width="11.453125" style="4"/>
    <col min="8" max="8" width="16.90625" style="4" customWidth="1"/>
    <col min="9" max="9" width="3.54296875" style="4" customWidth="1"/>
    <col min="10" max="15" width="11.453125" style="4"/>
    <col min="16" max="17" width="14.1796875" style="4" customWidth="1"/>
    <col min="18" max="20" width="11.453125" style="4"/>
    <col min="21" max="21" width="2.81640625" style="4" customWidth="1"/>
    <col min="22" max="34" width="11.453125" style="4"/>
    <col min="35" max="35" width="2.54296875" style="4" customWidth="1"/>
    <col min="36" max="37" width="11.453125" style="4"/>
    <col min="38" max="38" width="14.54296875" style="4" customWidth="1"/>
    <col min="39" max="40" width="11.453125" style="4"/>
    <col min="41" max="41" width="2.54296875" style="4" customWidth="1"/>
    <col min="42" max="44" width="15.54296875" customWidth="1"/>
    <col min="45" max="45" width="15.54296875" style="4" customWidth="1"/>
    <col min="46" max="16384" width="11.453125" style="4"/>
  </cols>
  <sheetData>
    <row r="1" spans="1:45">
      <c r="A1" s="14"/>
      <c r="B1" s="15"/>
      <c r="C1" s="15"/>
      <c r="D1" s="15"/>
      <c r="E1" s="15"/>
      <c r="F1" s="15"/>
      <c r="G1" s="7"/>
      <c r="H1" s="16"/>
      <c r="I1" s="17"/>
      <c r="J1" s="14"/>
      <c r="K1" s="18"/>
      <c r="L1" s="18"/>
    </row>
    <row r="2" spans="1:45">
      <c r="A2" s="14"/>
      <c r="B2" s="19"/>
      <c r="C2" s="20"/>
      <c r="I2" s="21"/>
      <c r="J2" s="14"/>
    </row>
    <row r="3" spans="1:45">
      <c r="A3" s="14"/>
      <c r="B3" s="22"/>
      <c r="C3" s="20"/>
      <c r="I3" s="21"/>
      <c r="J3" s="14"/>
      <c r="AQ3" s="39" t="s">
        <v>6</v>
      </c>
      <c r="AR3" s="39" t="s">
        <v>7</v>
      </c>
      <c r="AS3" s="39" t="s">
        <v>32</v>
      </c>
    </row>
    <row r="4" spans="1:45">
      <c r="A4" s="14"/>
      <c r="B4" s="20"/>
      <c r="C4" s="20"/>
      <c r="D4" s="20"/>
      <c r="E4" s="25"/>
      <c r="F4" s="21"/>
      <c r="G4" s="7"/>
      <c r="H4" s="16"/>
      <c r="I4" s="17"/>
      <c r="J4" s="7"/>
      <c r="K4" s="7"/>
      <c r="L4" s="7"/>
      <c r="AQ4" s="23" t="s">
        <v>50</v>
      </c>
      <c r="AR4" s="24" t="s">
        <v>50</v>
      </c>
      <c r="AS4" s="38" t="s">
        <v>95</v>
      </c>
    </row>
    <row r="5" spans="1:45">
      <c r="A5" s="14"/>
      <c r="B5" s="20"/>
      <c r="C5" s="20"/>
      <c r="D5" s="20"/>
      <c r="E5" s="25"/>
      <c r="F5" s="21"/>
      <c r="G5" s="7"/>
      <c r="H5" s="16"/>
      <c r="I5" s="17"/>
      <c r="J5" s="7"/>
      <c r="K5" s="7"/>
      <c r="L5" s="7"/>
    </row>
    <row r="6" spans="1:45">
      <c r="B6" s="33" t="s">
        <v>31</v>
      </c>
      <c r="C6" s="2"/>
      <c r="D6" s="2"/>
      <c r="E6" s="2"/>
      <c r="F6" s="2"/>
    </row>
    <row r="7" spans="1:45">
      <c r="B7" s="48" t="s">
        <v>39</v>
      </c>
      <c r="C7" s="2"/>
      <c r="D7" s="2"/>
      <c r="E7" s="2"/>
      <c r="F7" s="2"/>
    </row>
    <row r="8" spans="1:45">
      <c r="B8" s="45" t="s">
        <v>49</v>
      </c>
      <c r="C8" s="2"/>
      <c r="D8" s="2"/>
      <c r="E8" s="2"/>
      <c r="F8" s="2"/>
    </row>
    <row r="9" spans="1:45">
      <c r="B9" s="46" t="s">
        <v>73</v>
      </c>
      <c r="C9" s="2"/>
      <c r="D9" s="2"/>
      <c r="E9" s="2"/>
      <c r="F9" s="2"/>
      <c r="AP9" s="4"/>
      <c r="AQ9" s="4"/>
      <c r="AR9" s="4"/>
    </row>
    <row r="10" spans="1:45" ht="3" customHeight="1" thickBo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</row>
    <row r="11" spans="1:45" ht="13" thickTop="1">
      <c r="A11" s="18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/>
    </row>
    <row r="12" spans="1:45">
      <c r="A12" s="18"/>
      <c r="B12" s="40" t="s">
        <v>8</v>
      </c>
      <c r="C12" s="18"/>
      <c r="D12" s="18"/>
      <c r="E12" s="18"/>
      <c r="F12" s="18"/>
      <c r="G12" s="18"/>
      <c r="H12" s="26"/>
      <c r="I12" s="27"/>
      <c r="J12" s="18"/>
      <c r="K12" s="18"/>
      <c r="L12" s="18"/>
      <c r="M12" s="18"/>
      <c r="N12" s="18"/>
      <c r="O12" s="2"/>
      <c r="P12" s="2"/>
      <c r="Q12" s="2"/>
      <c r="R12" s="2"/>
      <c r="S12" s="2"/>
      <c r="T12" s="2"/>
      <c r="V12" s="2"/>
      <c r="W12" s="2"/>
      <c r="X12" s="2"/>
      <c r="Y12" s="2"/>
      <c r="Z12" s="2"/>
    </row>
    <row r="13" spans="1:45" ht="7" customHeight="1">
      <c r="A13" s="18"/>
      <c r="B13" s="40"/>
      <c r="C13" s="18"/>
      <c r="D13" s="18"/>
      <c r="E13" s="18"/>
      <c r="F13" s="18"/>
      <c r="G13" s="18"/>
      <c r="H13" s="26"/>
      <c r="I13" s="27"/>
      <c r="J13" s="18"/>
      <c r="K13" s="18"/>
      <c r="L13" s="18"/>
      <c r="M13" s="18"/>
      <c r="N13" s="18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</row>
    <row r="14" spans="1:45">
      <c r="A14" s="18"/>
      <c r="B14" s="81" t="s">
        <v>81</v>
      </c>
      <c r="C14" s="82"/>
      <c r="D14" s="82"/>
      <c r="E14" s="82"/>
      <c r="F14" s="82"/>
      <c r="G14" s="82"/>
      <c r="H14" s="83"/>
      <c r="I14" s="84"/>
      <c r="J14" s="82"/>
      <c r="K14" s="82"/>
      <c r="L14" s="18"/>
      <c r="M14" s="18"/>
      <c r="N14" s="18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</row>
    <row r="15" spans="1:45">
      <c r="A15" s="18"/>
      <c r="B15" s="6"/>
      <c r="C15" s="18"/>
      <c r="D15" s="18"/>
      <c r="E15" s="18"/>
      <c r="F15" s="18"/>
      <c r="G15" s="18"/>
      <c r="H15" s="26"/>
      <c r="I15" s="27"/>
      <c r="J15" s="18"/>
      <c r="K15" s="18"/>
      <c r="L15" s="18"/>
      <c r="M15" s="18"/>
      <c r="N15" s="18"/>
      <c r="O15" s="2"/>
      <c r="P15" s="2"/>
      <c r="Q15" s="2"/>
      <c r="R15" s="2"/>
      <c r="S15" s="2"/>
      <c r="T15" s="2"/>
      <c r="V15" s="2"/>
      <c r="W15" s="2"/>
      <c r="X15" s="2"/>
      <c r="Y15" s="2"/>
      <c r="Z15" s="2"/>
    </row>
    <row r="16" spans="1:45">
      <c r="A16" s="18"/>
      <c r="B16" s="40" t="s">
        <v>33</v>
      </c>
      <c r="C16" s="2"/>
      <c r="D16" s="18"/>
      <c r="E16" s="18"/>
      <c r="F16" s="18"/>
      <c r="G16" s="18"/>
      <c r="H16" s="26"/>
      <c r="I16" s="27"/>
      <c r="J16" s="18"/>
      <c r="K16" s="18"/>
      <c r="L16" s="18"/>
      <c r="M16" s="18"/>
      <c r="N16" s="18"/>
      <c r="O16" s="2"/>
      <c r="P16" s="2"/>
      <c r="Q16" s="2"/>
      <c r="R16" s="2"/>
      <c r="S16" s="2"/>
      <c r="T16" s="2"/>
      <c r="V16" s="2"/>
      <c r="W16" s="2"/>
      <c r="X16" s="2"/>
      <c r="Y16" s="2"/>
      <c r="Z16" s="2"/>
    </row>
    <row r="17" spans="1:45" ht="7" customHeight="1">
      <c r="A17" s="18"/>
      <c r="B17" s="40"/>
      <c r="C17" s="2"/>
      <c r="D17" s="18"/>
      <c r="E17" s="18"/>
      <c r="F17" s="18"/>
      <c r="G17" s="18"/>
      <c r="H17" s="26"/>
      <c r="I17" s="27"/>
      <c r="J17" s="18"/>
      <c r="K17" s="18"/>
      <c r="L17" s="18"/>
      <c r="M17" s="18"/>
      <c r="N17" s="18"/>
      <c r="O17" s="2"/>
      <c r="P17" s="2"/>
      <c r="Q17" s="2"/>
      <c r="R17" s="2"/>
      <c r="S17" s="2"/>
      <c r="T17" s="2"/>
      <c r="V17" s="2"/>
      <c r="W17" s="2"/>
      <c r="X17" s="2"/>
      <c r="Y17" s="2"/>
      <c r="Z17" s="2"/>
    </row>
    <row r="18" spans="1:45">
      <c r="A18" s="18"/>
      <c r="B18" s="70"/>
      <c r="C18" s="71" t="s">
        <v>54</v>
      </c>
      <c r="D18" s="71" t="s">
        <v>55</v>
      </c>
      <c r="E18" s="18"/>
      <c r="F18" s="18"/>
      <c r="G18" s="18"/>
      <c r="H18" s="26"/>
      <c r="I18" s="27"/>
      <c r="J18" s="18"/>
      <c r="K18" s="18"/>
      <c r="L18" s="18"/>
      <c r="M18" s="18"/>
      <c r="N18" s="18"/>
      <c r="O18" s="2"/>
      <c r="P18" s="2"/>
      <c r="Q18" s="2"/>
      <c r="R18" s="2"/>
      <c r="S18" s="2"/>
      <c r="T18" s="2"/>
      <c r="V18" s="2"/>
      <c r="W18" s="2"/>
      <c r="X18" s="2"/>
      <c r="Y18" s="2"/>
      <c r="Z18" s="2"/>
    </row>
    <row r="19" spans="1:45">
      <c r="A19" s="18"/>
      <c r="B19" s="72" t="s">
        <v>34</v>
      </c>
      <c r="C19" s="73" t="s">
        <v>35</v>
      </c>
      <c r="D19" s="73" t="s">
        <v>35</v>
      </c>
      <c r="E19" s="18"/>
      <c r="F19" s="18"/>
      <c r="G19" s="18"/>
      <c r="H19" s="26"/>
      <c r="I19" s="27"/>
      <c r="J19" s="18"/>
      <c r="K19" s="18"/>
      <c r="L19" s="18"/>
      <c r="M19" s="18"/>
      <c r="N19" s="18"/>
      <c r="O19" s="2"/>
      <c r="P19" s="2"/>
      <c r="Q19" s="2"/>
      <c r="R19" s="2"/>
      <c r="S19" s="2"/>
      <c r="T19" s="2"/>
      <c r="V19" s="2"/>
      <c r="W19" s="2"/>
      <c r="X19" s="2"/>
      <c r="Y19" s="2"/>
      <c r="Z19" s="2"/>
    </row>
    <row r="20" spans="1:45">
      <c r="A20" s="18"/>
      <c r="B20" s="72" t="s">
        <v>36</v>
      </c>
      <c r="C20" s="73" t="s">
        <v>35</v>
      </c>
      <c r="D20" s="73" t="s">
        <v>35</v>
      </c>
      <c r="E20" s="18"/>
      <c r="F20" s="18"/>
      <c r="G20" s="18"/>
      <c r="H20" s="26"/>
      <c r="I20" s="27"/>
      <c r="J20" s="18"/>
      <c r="K20" s="18"/>
      <c r="L20" s="18"/>
      <c r="M20" s="18"/>
      <c r="N20" s="18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</row>
    <row r="21" spans="1:45">
      <c r="A21" s="18"/>
      <c r="B21" s="72" t="s">
        <v>37</v>
      </c>
      <c r="C21" s="73" t="s">
        <v>35</v>
      </c>
      <c r="D21" s="73" t="s">
        <v>35</v>
      </c>
      <c r="E21" s="18"/>
      <c r="F21" s="18"/>
      <c r="G21" s="18"/>
      <c r="H21" s="26"/>
      <c r="I21" s="27"/>
      <c r="J21" s="18"/>
      <c r="K21" s="18"/>
      <c r="L21" s="18"/>
      <c r="M21" s="18"/>
      <c r="N21" s="18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</row>
    <row r="22" spans="1:45">
      <c r="A22" s="18"/>
      <c r="B22" s="6"/>
      <c r="C22" s="18"/>
      <c r="D22" s="18"/>
      <c r="E22" s="18"/>
      <c r="F22" s="18"/>
      <c r="G22" s="18"/>
      <c r="H22" s="26"/>
      <c r="I22" s="27"/>
      <c r="J22" s="18"/>
      <c r="K22" s="18"/>
      <c r="L22" s="18"/>
      <c r="M22" s="18"/>
      <c r="N22" s="18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</row>
    <row r="23" spans="1:45">
      <c r="A23" s="18"/>
      <c r="B23" s="18"/>
      <c r="C23" s="18"/>
      <c r="D23" s="18"/>
      <c r="E23" s="18"/>
      <c r="F23" s="18"/>
      <c r="G23" s="18"/>
      <c r="H23" s="26"/>
      <c r="I23" s="27"/>
      <c r="J23" s="18"/>
      <c r="K23" s="18"/>
      <c r="L23" s="18"/>
      <c r="M23" s="18"/>
      <c r="N23" s="18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</row>
    <row r="24" spans="1:45">
      <c r="A24" s="18"/>
      <c r="B24" s="40" t="s">
        <v>11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</row>
    <row r="25" spans="1:45" ht="7" customHeight="1">
      <c r="A25" s="18"/>
      <c r="B25" s="40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</row>
    <row r="26" spans="1:45">
      <c r="A26" s="75" t="s">
        <v>12</v>
      </c>
      <c r="B26" s="2" t="s">
        <v>97</v>
      </c>
      <c r="C26" s="2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"/>
      <c r="P26" s="2"/>
      <c r="Q26" s="2"/>
      <c r="R26" s="2"/>
      <c r="S26" s="2"/>
      <c r="T26" s="2"/>
      <c r="V26" s="2"/>
      <c r="W26" s="2"/>
      <c r="X26" s="2"/>
      <c r="Y26" s="2"/>
      <c r="Z26" s="2"/>
    </row>
    <row r="27" spans="1:45">
      <c r="A27" s="75" t="s">
        <v>13</v>
      </c>
      <c r="B27" s="2" t="s">
        <v>88</v>
      </c>
      <c r="C27" s="2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</row>
    <row r="28" spans="1:45">
      <c r="A28" s="75" t="s">
        <v>14</v>
      </c>
      <c r="B28" s="2" t="s">
        <v>89</v>
      </c>
      <c r="C28" s="2"/>
      <c r="D28" s="18"/>
      <c r="E28" s="18"/>
      <c r="F28" s="18"/>
      <c r="G28" s="18"/>
      <c r="H28" s="26"/>
      <c r="I28" s="27"/>
      <c r="J28" s="18"/>
      <c r="K28" s="18"/>
      <c r="L28" s="18"/>
      <c r="M28" s="18"/>
      <c r="N28" s="18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</row>
    <row r="29" spans="1:45">
      <c r="A29" s="75" t="s">
        <v>15</v>
      </c>
      <c r="B29" s="74" t="s">
        <v>67</v>
      </c>
      <c r="C29" s="2"/>
      <c r="D29" s="18"/>
      <c r="E29" s="18"/>
      <c r="F29" s="18"/>
      <c r="G29" s="18"/>
      <c r="H29" s="26"/>
      <c r="I29" s="27"/>
      <c r="J29" s="18"/>
      <c r="K29" s="18"/>
      <c r="L29" s="18"/>
      <c r="M29" s="18"/>
      <c r="N29" s="18"/>
      <c r="O29" s="2"/>
      <c r="P29" s="2"/>
      <c r="Q29" s="2"/>
      <c r="R29" s="2"/>
      <c r="S29" s="2"/>
      <c r="T29" s="2"/>
      <c r="V29" s="2"/>
      <c r="W29" s="2"/>
      <c r="X29" s="2"/>
      <c r="Y29" s="2"/>
      <c r="Z29" s="2"/>
    </row>
    <row r="31" spans="1:45">
      <c r="B31" s="40" t="s">
        <v>10</v>
      </c>
      <c r="AP31" s="2"/>
      <c r="AQ31" s="2"/>
      <c r="AR31" s="2"/>
      <c r="AS31" s="2"/>
    </row>
    <row r="32" spans="1:45">
      <c r="B32" s="40"/>
      <c r="AP32" s="2"/>
      <c r="AQ32" s="2"/>
      <c r="AR32" s="2"/>
      <c r="AS32" s="2"/>
    </row>
    <row r="33" spans="2:45">
      <c r="B33" s="18"/>
      <c r="C33" s="18"/>
      <c r="AP33" s="2"/>
      <c r="AQ33" s="2"/>
      <c r="AR33" s="2"/>
      <c r="AS33" s="2"/>
    </row>
    <row r="34" spans="2:45">
      <c r="B34" s="103" t="s">
        <v>64</v>
      </c>
      <c r="C34" s="103"/>
      <c r="D34" s="103"/>
      <c r="E34" s="103"/>
      <c r="F34" s="103"/>
      <c r="G34" s="103"/>
      <c r="H34" s="103"/>
      <c r="J34" s="104" t="s">
        <v>65</v>
      </c>
      <c r="K34" s="105"/>
      <c r="L34" s="105"/>
      <c r="M34" s="105"/>
      <c r="N34" s="105"/>
      <c r="O34" s="106"/>
      <c r="P34" s="104" t="s">
        <v>66</v>
      </c>
      <c r="Q34" s="105"/>
      <c r="R34" s="105"/>
      <c r="S34" s="106"/>
      <c r="T34" s="107" t="s">
        <v>47</v>
      </c>
      <c r="V34" s="101" t="s">
        <v>79</v>
      </c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J34" s="100" t="s">
        <v>41</v>
      </c>
      <c r="AK34" s="100"/>
      <c r="AL34" s="100"/>
      <c r="AM34" s="100"/>
      <c r="AN34" s="100"/>
      <c r="AP34" s="94" t="s">
        <v>91</v>
      </c>
      <c r="AQ34" s="95"/>
      <c r="AR34" s="95"/>
      <c r="AS34" s="96"/>
    </row>
    <row r="35" spans="2:45" s="5" customFormat="1" ht="17.25" customHeight="1">
      <c r="B35" s="100" t="s">
        <v>63</v>
      </c>
      <c r="C35" s="100"/>
      <c r="D35" s="100"/>
      <c r="E35" s="100"/>
      <c r="F35" s="100"/>
      <c r="G35" s="100"/>
      <c r="H35" s="100"/>
      <c r="I35" s="62"/>
      <c r="J35" s="110" t="s">
        <v>40</v>
      </c>
      <c r="K35" s="111"/>
      <c r="L35" s="111"/>
      <c r="M35" s="111"/>
      <c r="N35" s="111"/>
      <c r="O35" s="111"/>
      <c r="P35" s="111"/>
      <c r="Q35" s="111"/>
      <c r="R35" s="111"/>
      <c r="S35" s="112"/>
      <c r="T35" s="108"/>
      <c r="V35" s="97" t="s">
        <v>80</v>
      </c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59"/>
      <c r="AJ35" s="100"/>
      <c r="AK35" s="100"/>
      <c r="AL35" s="100"/>
      <c r="AM35" s="100"/>
      <c r="AN35" s="100"/>
      <c r="AO35" s="60"/>
      <c r="AP35" s="97"/>
      <c r="AQ35" s="98"/>
      <c r="AR35" s="98"/>
      <c r="AS35" s="99"/>
    </row>
    <row r="36" spans="2:45" s="5" customFormat="1" ht="37.5">
      <c r="B36" s="63" t="s">
        <v>0</v>
      </c>
      <c r="C36" s="64" t="s">
        <v>1</v>
      </c>
      <c r="D36" s="64" t="s">
        <v>90</v>
      </c>
      <c r="E36" s="64" t="s">
        <v>2</v>
      </c>
      <c r="F36" s="65" t="s">
        <v>3</v>
      </c>
      <c r="G36" s="66" t="s">
        <v>4</v>
      </c>
      <c r="H36" s="64" t="s">
        <v>74</v>
      </c>
      <c r="I36" s="61"/>
      <c r="J36" s="63" t="s">
        <v>75</v>
      </c>
      <c r="K36" s="64" t="s">
        <v>16</v>
      </c>
      <c r="L36" s="64" t="s">
        <v>17</v>
      </c>
      <c r="M36" s="64" t="s">
        <v>18</v>
      </c>
      <c r="N36" s="64" t="s">
        <v>92</v>
      </c>
      <c r="O36" s="65" t="s">
        <v>103</v>
      </c>
      <c r="P36" s="66" t="s">
        <v>100</v>
      </c>
      <c r="Q36" s="66" t="s">
        <v>101</v>
      </c>
      <c r="R36" s="64" t="s">
        <v>45</v>
      </c>
      <c r="S36" s="67" t="s">
        <v>46</v>
      </c>
      <c r="T36" s="109"/>
      <c r="V36" s="63" t="s">
        <v>20</v>
      </c>
      <c r="W36" s="64" t="s">
        <v>21</v>
      </c>
      <c r="X36" s="64" t="s">
        <v>22</v>
      </c>
      <c r="Y36" s="64" t="s">
        <v>23</v>
      </c>
      <c r="Z36" s="65" t="s">
        <v>24</v>
      </c>
      <c r="AA36" s="66" t="s">
        <v>25</v>
      </c>
      <c r="AB36" s="64" t="s">
        <v>26</v>
      </c>
      <c r="AC36" s="67" t="s">
        <v>27</v>
      </c>
      <c r="AD36" s="67" t="s">
        <v>28</v>
      </c>
      <c r="AE36" s="63" t="s">
        <v>44</v>
      </c>
      <c r="AF36" s="64" t="s">
        <v>43</v>
      </c>
      <c r="AG36" s="64" t="s">
        <v>77</v>
      </c>
      <c r="AH36" s="64" t="s">
        <v>76</v>
      </c>
      <c r="AI36" s="59"/>
      <c r="AJ36" s="63" t="s">
        <v>29</v>
      </c>
      <c r="AK36" s="63" t="s">
        <v>5</v>
      </c>
      <c r="AL36" s="63" t="s">
        <v>30</v>
      </c>
      <c r="AM36" s="63" t="s">
        <v>19</v>
      </c>
      <c r="AN36" s="63" t="s">
        <v>42</v>
      </c>
      <c r="AO36" s="60"/>
      <c r="AP36" s="79" t="s">
        <v>92</v>
      </c>
      <c r="AQ36" s="79" t="s">
        <v>102</v>
      </c>
      <c r="AR36" s="79" t="s">
        <v>93</v>
      </c>
      <c r="AS36" s="79" t="s">
        <v>99</v>
      </c>
    </row>
    <row r="37" spans="2:45">
      <c r="B37" s="49"/>
      <c r="C37" s="49"/>
      <c r="D37" s="54"/>
      <c r="E37" s="49"/>
      <c r="F37" s="55"/>
      <c r="G37" s="55"/>
      <c r="H37" s="55"/>
      <c r="J37" s="49"/>
      <c r="K37" s="49"/>
      <c r="L37" s="49"/>
      <c r="M37" s="49"/>
      <c r="N37" s="49"/>
      <c r="O37" s="49"/>
      <c r="P37" s="49"/>
      <c r="Q37" s="49"/>
      <c r="R37" s="57">
        <f>+Q37*12%</f>
        <v>0</v>
      </c>
      <c r="S37" s="57">
        <f>+SUM(P37:R37)</f>
        <v>0</v>
      </c>
      <c r="T37" s="58">
        <f>+H37-P37</f>
        <v>0</v>
      </c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68">
        <f>+AD37+AE37</f>
        <v>0</v>
      </c>
      <c r="AG37" s="68"/>
      <c r="AH37" s="68"/>
      <c r="AJ37" s="49"/>
      <c r="AK37" s="49"/>
      <c r="AL37" s="49"/>
      <c r="AM37" s="49"/>
      <c r="AN37" s="55">
        <f>+S37-AM37</f>
        <v>0</v>
      </c>
      <c r="AP37" s="88">
        <v>0</v>
      </c>
      <c r="AQ37" s="88">
        <v>0</v>
      </c>
      <c r="AR37" s="88">
        <f t="shared" ref="AR37:AR45" si="0">+N37-AP37</f>
        <v>0</v>
      </c>
      <c r="AS37" s="88">
        <f t="shared" ref="AS37:AS45" si="1">+(N37*O37)-AQ37</f>
        <v>0</v>
      </c>
    </row>
    <row r="38" spans="2:45">
      <c r="B38" s="49"/>
      <c r="C38" s="49"/>
      <c r="D38" s="56"/>
      <c r="E38" s="49"/>
      <c r="F38" s="55"/>
      <c r="G38" s="55"/>
      <c r="H38" s="55"/>
      <c r="J38" s="49"/>
      <c r="K38" s="49"/>
      <c r="L38" s="49"/>
      <c r="M38" s="49"/>
      <c r="N38" s="49"/>
      <c r="O38" s="49"/>
      <c r="P38" s="49"/>
      <c r="Q38" s="49"/>
      <c r="R38" s="57">
        <f t="shared" ref="R38:R45" si="2">+Q38*12%</f>
        <v>0</v>
      </c>
      <c r="S38" s="57">
        <f t="shared" ref="S38:S45" si="3">+SUM(P38:R38)</f>
        <v>0</v>
      </c>
      <c r="T38" s="58">
        <f t="shared" ref="T38:T45" si="4">+H38-P38</f>
        <v>0</v>
      </c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68">
        <f t="shared" ref="AF38:AF45" si="5">+AD38+AE38</f>
        <v>0</v>
      </c>
      <c r="AG38" s="68"/>
      <c r="AH38" s="68"/>
      <c r="AJ38" s="49"/>
      <c r="AK38" s="49"/>
      <c r="AL38" s="49"/>
      <c r="AM38" s="49"/>
      <c r="AN38" s="55">
        <f t="shared" ref="AN38:AN45" si="6">+S38-AM38</f>
        <v>0</v>
      </c>
      <c r="AP38" s="88">
        <v>0</v>
      </c>
      <c r="AQ38" s="88">
        <v>0</v>
      </c>
      <c r="AR38" s="88">
        <f t="shared" si="0"/>
        <v>0</v>
      </c>
      <c r="AS38" s="88">
        <f t="shared" si="1"/>
        <v>0</v>
      </c>
    </row>
    <row r="39" spans="2:45">
      <c r="B39" s="49"/>
      <c r="C39" s="49"/>
      <c r="D39" s="56"/>
      <c r="E39" s="49"/>
      <c r="F39" s="55"/>
      <c r="G39" s="55"/>
      <c r="H39" s="55"/>
      <c r="J39" s="49"/>
      <c r="K39" s="49"/>
      <c r="L39" s="49"/>
      <c r="M39" s="49"/>
      <c r="N39" s="49"/>
      <c r="O39" s="49"/>
      <c r="P39" s="49"/>
      <c r="Q39" s="49"/>
      <c r="R39" s="57">
        <f t="shared" si="2"/>
        <v>0</v>
      </c>
      <c r="S39" s="57">
        <f t="shared" si="3"/>
        <v>0</v>
      </c>
      <c r="T39" s="58">
        <f t="shared" si="4"/>
        <v>0</v>
      </c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68">
        <f t="shared" si="5"/>
        <v>0</v>
      </c>
      <c r="AG39" s="68"/>
      <c r="AH39" s="68"/>
      <c r="AJ39" s="49"/>
      <c r="AK39" s="49"/>
      <c r="AL39" s="49"/>
      <c r="AM39" s="49"/>
      <c r="AN39" s="55">
        <f t="shared" si="6"/>
        <v>0</v>
      </c>
      <c r="AP39" s="88">
        <v>0</v>
      </c>
      <c r="AQ39" s="88">
        <v>0</v>
      </c>
      <c r="AR39" s="88">
        <f t="shared" si="0"/>
        <v>0</v>
      </c>
      <c r="AS39" s="88">
        <f t="shared" si="1"/>
        <v>0</v>
      </c>
    </row>
    <row r="40" spans="2:45">
      <c r="B40" s="49"/>
      <c r="C40" s="49"/>
      <c r="D40" s="54"/>
      <c r="E40" s="49"/>
      <c r="F40" s="55"/>
      <c r="G40" s="55"/>
      <c r="H40" s="55"/>
      <c r="J40" s="49"/>
      <c r="K40" s="49"/>
      <c r="L40" s="49"/>
      <c r="M40" s="49"/>
      <c r="N40" s="49"/>
      <c r="O40" s="49"/>
      <c r="P40" s="49"/>
      <c r="Q40" s="49"/>
      <c r="R40" s="57">
        <f t="shared" si="2"/>
        <v>0</v>
      </c>
      <c r="S40" s="57">
        <f t="shared" si="3"/>
        <v>0</v>
      </c>
      <c r="T40" s="58">
        <f t="shared" si="4"/>
        <v>0</v>
      </c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68">
        <f t="shared" si="5"/>
        <v>0</v>
      </c>
      <c r="AG40" s="68"/>
      <c r="AH40" s="68"/>
      <c r="AJ40" s="49"/>
      <c r="AK40" s="49"/>
      <c r="AL40" s="49"/>
      <c r="AM40" s="49"/>
      <c r="AN40" s="55">
        <f t="shared" si="6"/>
        <v>0</v>
      </c>
      <c r="AP40" s="88">
        <v>0</v>
      </c>
      <c r="AQ40" s="88">
        <v>0</v>
      </c>
      <c r="AR40" s="88">
        <f t="shared" si="0"/>
        <v>0</v>
      </c>
      <c r="AS40" s="88">
        <f t="shared" si="1"/>
        <v>0</v>
      </c>
    </row>
    <row r="41" spans="2:45">
      <c r="B41" s="49"/>
      <c r="C41" s="49"/>
      <c r="D41" s="56"/>
      <c r="E41" s="49"/>
      <c r="F41" s="55"/>
      <c r="G41" s="55"/>
      <c r="H41" s="55"/>
      <c r="J41" s="49"/>
      <c r="K41" s="49"/>
      <c r="L41" s="49"/>
      <c r="M41" s="49"/>
      <c r="N41" s="49"/>
      <c r="O41" s="49"/>
      <c r="P41" s="49"/>
      <c r="Q41" s="49"/>
      <c r="R41" s="57">
        <f t="shared" si="2"/>
        <v>0</v>
      </c>
      <c r="S41" s="57">
        <f t="shared" si="3"/>
        <v>0</v>
      </c>
      <c r="T41" s="58">
        <f t="shared" si="4"/>
        <v>0</v>
      </c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68">
        <f t="shared" si="5"/>
        <v>0</v>
      </c>
      <c r="AG41" s="68"/>
      <c r="AH41" s="68"/>
      <c r="AJ41" s="49"/>
      <c r="AK41" s="49"/>
      <c r="AL41" s="49"/>
      <c r="AM41" s="49"/>
      <c r="AN41" s="55">
        <f t="shared" si="6"/>
        <v>0</v>
      </c>
      <c r="AP41" s="88">
        <v>0</v>
      </c>
      <c r="AQ41" s="88">
        <v>0</v>
      </c>
      <c r="AR41" s="88">
        <f t="shared" si="0"/>
        <v>0</v>
      </c>
      <c r="AS41" s="88">
        <f t="shared" si="1"/>
        <v>0</v>
      </c>
    </row>
    <row r="42" spans="2:45">
      <c r="B42" s="49"/>
      <c r="C42" s="49"/>
      <c r="D42" s="54"/>
      <c r="E42" s="49"/>
      <c r="F42" s="55"/>
      <c r="G42" s="55"/>
      <c r="H42" s="55"/>
      <c r="J42" s="49"/>
      <c r="K42" s="49"/>
      <c r="L42" s="49"/>
      <c r="M42" s="49"/>
      <c r="N42" s="49"/>
      <c r="O42" s="49"/>
      <c r="P42" s="49"/>
      <c r="Q42" s="49"/>
      <c r="R42" s="57">
        <f t="shared" si="2"/>
        <v>0</v>
      </c>
      <c r="S42" s="57">
        <f t="shared" si="3"/>
        <v>0</v>
      </c>
      <c r="T42" s="58">
        <f t="shared" si="4"/>
        <v>0</v>
      </c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68">
        <f t="shared" si="5"/>
        <v>0</v>
      </c>
      <c r="AG42" s="68"/>
      <c r="AH42" s="68"/>
      <c r="AJ42" s="49"/>
      <c r="AK42" s="49"/>
      <c r="AL42" s="49"/>
      <c r="AM42" s="49"/>
      <c r="AN42" s="55">
        <f t="shared" si="6"/>
        <v>0</v>
      </c>
      <c r="AP42" s="88">
        <v>0</v>
      </c>
      <c r="AQ42" s="88">
        <v>0</v>
      </c>
      <c r="AR42" s="88">
        <f t="shared" si="0"/>
        <v>0</v>
      </c>
      <c r="AS42" s="88">
        <f t="shared" si="1"/>
        <v>0</v>
      </c>
    </row>
    <row r="43" spans="2:45">
      <c r="B43" s="49"/>
      <c r="C43" s="49"/>
      <c r="D43" s="56"/>
      <c r="E43" s="49"/>
      <c r="F43" s="55"/>
      <c r="G43" s="55"/>
      <c r="H43" s="55"/>
      <c r="J43" s="49"/>
      <c r="K43" s="49"/>
      <c r="L43" s="49"/>
      <c r="M43" s="49"/>
      <c r="N43" s="49"/>
      <c r="O43" s="49"/>
      <c r="P43" s="49"/>
      <c r="Q43" s="49"/>
      <c r="R43" s="57">
        <f t="shared" si="2"/>
        <v>0</v>
      </c>
      <c r="S43" s="57">
        <f t="shared" si="3"/>
        <v>0</v>
      </c>
      <c r="T43" s="58">
        <f t="shared" si="4"/>
        <v>0</v>
      </c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68">
        <f t="shared" si="5"/>
        <v>0</v>
      </c>
      <c r="AG43" s="68"/>
      <c r="AH43" s="68"/>
      <c r="AJ43" s="49"/>
      <c r="AK43" s="49"/>
      <c r="AL43" s="49"/>
      <c r="AM43" s="49"/>
      <c r="AN43" s="55">
        <f t="shared" si="6"/>
        <v>0</v>
      </c>
      <c r="AP43" s="88">
        <v>0</v>
      </c>
      <c r="AQ43" s="88">
        <v>0</v>
      </c>
      <c r="AR43" s="88">
        <f t="shared" si="0"/>
        <v>0</v>
      </c>
      <c r="AS43" s="88">
        <f t="shared" si="1"/>
        <v>0</v>
      </c>
    </row>
    <row r="44" spans="2:45">
      <c r="B44" s="49"/>
      <c r="C44" s="49"/>
      <c r="D44" s="56"/>
      <c r="E44" s="49"/>
      <c r="F44" s="55"/>
      <c r="G44" s="55"/>
      <c r="H44" s="55"/>
      <c r="J44" s="49"/>
      <c r="K44" s="49"/>
      <c r="L44" s="49"/>
      <c r="M44" s="49"/>
      <c r="N44" s="49"/>
      <c r="O44" s="49"/>
      <c r="P44" s="49"/>
      <c r="Q44" s="49"/>
      <c r="R44" s="57">
        <f t="shared" si="2"/>
        <v>0</v>
      </c>
      <c r="S44" s="57">
        <f t="shared" si="3"/>
        <v>0</v>
      </c>
      <c r="T44" s="58">
        <f t="shared" si="4"/>
        <v>0</v>
      </c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68">
        <f t="shared" si="5"/>
        <v>0</v>
      </c>
      <c r="AG44" s="68"/>
      <c r="AH44" s="68"/>
      <c r="AJ44" s="49"/>
      <c r="AK44" s="49"/>
      <c r="AL44" s="49"/>
      <c r="AM44" s="49"/>
      <c r="AN44" s="55">
        <f t="shared" si="6"/>
        <v>0</v>
      </c>
      <c r="AP44" s="88">
        <v>0</v>
      </c>
      <c r="AQ44" s="88">
        <v>0</v>
      </c>
      <c r="AR44" s="88">
        <f t="shared" si="0"/>
        <v>0</v>
      </c>
      <c r="AS44" s="88">
        <f t="shared" si="1"/>
        <v>0</v>
      </c>
    </row>
    <row r="45" spans="2:45">
      <c r="B45" s="49"/>
      <c r="C45" s="49"/>
      <c r="D45" s="54"/>
      <c r="E45" s="49"/>
      <c r="F45" s="55"/>
      <c r="G45" s="55"/>
      <c r="H45" s="55"/>
      <c r="J45" s="49"/>
      <c r="K45" s="49"/>
      <c r="L45" s="49"/>
      <c r="M45" s="49"/>
      <c r="N45" s="49"/>
      <c r="O45" s="49"/>
      <c r="P45" s="49"/>
      <c r="Q45" s="49"/>
      <c r="R45" s="57">
        <f t="shared" si="2"/>
        <v>0</v>
      </c>
      <c r="S45" s="57">
        <f t="shared" si="3"/>
        <v>0</v>
      </c>
      <c r="T45" s="58">
        <f t="shared" si="4"/>
        <v>0</v>
      </c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68">
        <f t="shared" si="5"/>
        <v>0</v>
      </c>
      <c r="AG45" s="68"/>
      <c r="AH45" s="68"/>
      <c r="AI45" s="11"/>
      <c r="AJ45" s="49"/>
      <c r="AK45" s="49"/>
      <c r="AL45" s="49"/>
      <c r="AM45" s="49"/>
      <c r="AN45" s="55">
        <f t="shared" si="6"/>
        <v>0</v>
      </c>
      <c r="AP45" s="88">
        <v>0</v>
      </c>
      <c r="AQ45" s="88">
        <v>0</v>
      </c>
      <c r="AR45" s="88">
        <f t="shared" si="0"/>
        <v>0</v>
      </c>
      <c r="AS45" s="88">
        <f t="shared" si="1"/>
        <v>0</v>
      </c>
    </row>
    <row r="46" spans="2:45" ht="4.5" customHeight="1">
      <c r="B46" s="11"/>
      <c r="C46" s="11"/>
      <c r="D46" s="12"/>
      <c r="E46" s="11"/>
      <c r="F46" s="13"/>
      <c r="G46" s="13"/>
      <c r="H46" s="13"/>
      <c r="AP46" s="89"/>
      <c r="AQ46" s="89"/>
      <c r="AR46" s="89"/>
      <c r="AS46" s="89"/>
    </row>
    <row r="47" spans="2:45" ht="13" thickBot="1">
      <c r="G47" s="10"/>
      <c r="H47" s="93">
        <f>+SUM(H37:H45)</f>
        <v>0</v>
      </c>
      <c r="R47"/>
      <c r="S47"/>
      <c r="T47" s="93">
        <f t="shared" ref="T47" si="7">+SUM(T37:T45)</f>
        <v>0</v>
      </c>
      <c r="AF47" s="91">
        <f t="shared" ref="AF47" si="8">+SUM(AF37:AF45)</f>
        <v>0</v>
      </c>
      <c r="AN47" s="93">
        <f t="shared" ref="AN47" si="9">+SUM(AN37:AN45)</f>
        <v>0</v>
      </c>
      <c r="AP47" s="89"/>
      <c r="AQ47" s="90"/>
      <c r="AR47" s="92">
        <f>+SUM(AR37:AR45)</f>
        <v>0</v>
      </c>
      <c r="AS47" s="92">
        <f>+SUM(AS37:AS45)</f>
        <v>0</v>
      </c>
    </row>
    <row r="48" spans="2:45" ht="13" thickTop="1">
      <c r="H48" s="30" t="s">
        <v>94</v>
      </c>
      <c r="AP48" s="2"/>
      <c r="AQ48" s="2"/>
      <c r="AR48" s="78"/>
      <c r="AS48" s="78"/>
    </row>
    <row r="49" spans="1:8">
      <c r="H49" s="30"/>
    </row>
    <row r="50" spans="1:8">
      <c r="B50" s="40" t="s">
        <v>38</v>
      </c>
      <c r="H50" s="30"/>
    </row>
    <row r="51" spans="1:8" ht="7" customHeight="1">
      <c r="B51" s="40"/>
      <c r="H51" s="30"/>
    </row>
    <row r="52" spans="1:8">
      <c r="A52" s="31"/>
      <c r="B52" s="28" t="s">
        <v>68</v>
      </c>
      <c r="C52" s="2"/>
      <c r="H52" s="30"/>
    </row>
    <row r="53" spans="1:8">
      <c r="A53" s="31"/>
      <c r="B53" s="28" t="s">
        <v>78</v>
      </c>
      <c r="C53" s="2"/>
      <c r="H53" s="30"/>
    </row>
    <row r="54" spans="1:8">
      <c r="A54" s="31"/>
      <c r="B54" s="28" t="s">
        <v>69</v>
      </c>
      <c r="C54" s="2"/>
      <c r="H54" s="30"/>
    </row>
    <row r="55" spans="1:8">
      <c r="B55" s="2" t="s">
        <v>51</v>
      </c>
    </row>
    <row r="56" spans="1:8">
      <c r="B56" s="2"/>
    </row>
    <row r="57" spans="1:8">
      <c r="A57" s="77"/>
      <c r="B57" s="40" t="s">
        <v>98</v>
      </c>
    </row>
    <row r="58" spans="1:8" ht="7" customHeight="1">
      <c r="A58" s="77"/>
      <c r="B58" s="2"/>
    </row>
    <row r="59" spans="1:8">
      <c r="A59" s="51" t="s">
        <v>70</v>
      </c>
      <c r="B59" s="80"/>
    </row>
    <row r="60" spans="1:8">
      <c r="A60" s="51" t="s">
        <v>71</v>
      </c>
      <c r="B60" s="80"/>
    </row>
    <row r="61" spans="1:8">
      <c r="A61" s="51" t="s">
        <v>72</v>
      </c>
      <c r="B61" s="80"/>
    </row>
    <row r="63" spans="1:8">
      <c r="A63" s="50"/>
      <c r="B63" s="40" t="s">
        <v>52</v>
      </c>
    </row>
    <row r="64" spans="1:8" ht="7" customHeight="1">
      <c r="A64" s="50"/>
      <c r="B64" s="40"/>
    </row>
    <row r="65" spans="1:2">
      <c r="A65" s="51" t="s">
        <v>56</v>
      </c>
      <c r="B65" s="40"/>
    </row>
    <row r="66" spans="1:2">
      <c r="A66" s="51" t="s">
        <v>57</v>
      </c>
      <c r="B66" s="40"/>
    </row>
    <row r="67" spans="1:2">
      <c r="A67" s="51" t="s">
        <v>58</v>
      </c>
      <c r="B67" s="2"/>
    </row>
    <row r="68" spans="1:2">
      <c r="A68" s="50"/>
      <c r="B68" s="52"/>
    </row>
    <row r="69" spans="1:2">
      <c r="A69" s="50"/>
      <c r="B69" s="40" t="s">
        <v>53</v>
      </c>
    </row>
    <row r="70" spans="1:2" ht="7" customHeight="1">
      <c r="A70" s="50"/>
      <c r="B70" s="40"/>
    </row>
    <row r="71" spans="1:2">
      <c r="A71" s="51" t="s">
        <v>59</v>
      </c>
      <c r="B71" s="40"/>
    </row>
    <row r="72" spans="1:2">
      <c r="A72" s="51" t="s">
        <v>60</v>
      </c>
      <c r="B72" s="2"/>
    </row>
    <row r="73" spans="1:2">
      <c r="A73" s="51" t="s">
        <v>61</v>
      </c>
      <c r="B73" s="28"/>
    </row>
    <row r="74" spans="1:2">
      <c r="A74" s="51"/>
      <c r="B74" s="28"/>
    </row>
    <row r="75" spans="1:2">
      <c r="A75" s="53"/>
      <c r="B75" s="40" t="s">
        <v>48</v>
      </c>
    </row>
    <row r="76" spans="1:2" ht="7" customHeight="1">
      <c r="A76" s="53"/>
      <c r="B76" s="40"/>
    </row>
    <row r="77" spans="1:2">
      <c r="A77" s="53"/>
      <c r="B77" s="43" t="s">
        <v>62</v>
      </c>
    </row>
  </sheetData>
  <mergeCells count="10">
    <mergeCell ref="AP34:AS35"/>
    <mergeCell ref="AJ34:AN35"/>
    <mergeCell ref="V34:AH34"/>
    <mergeCell ref="V35:AH35"/>
    <mergeCell ref="B35:H35"/>
    <mergeCell ref="B34:H34"/>
    <mergeCell ref="P34:S34"/>
    <mergeCell ref="T34:T36"/>
    <mergeCell ref="J34:O34"/>
    <mergeCell ref="J35:S35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110.06.01</vt:lpstr>
      <vt:lpstr>110.06.02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2023-03-07T22:17:04Z</dcterms:created>
  <dcterms:modified xsi:type="dcterms:W3CDTF">2026-04-17T00:04:56Z</dcterms:modified>
</cp:coreProperties>
</file>